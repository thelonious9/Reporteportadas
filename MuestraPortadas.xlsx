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AFB6D858-21F1-4EDF-9B9C-ED9D4B9E98B0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</calcChain>
</file>

<file path=xl/sharedStrings.xml><?xml version="1.0" encoding="utf-8"?>
<sst xmlns="http://schemas.openxmlformats.org/spreadsheetml/2006/main" count="538" uniqueCount="170">
  <si>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</si>
  <si>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</si>
  <si>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</si>
  <si>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</si>
  <si>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</si>
  <si>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</si>
  <si>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</si>
  <si>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</si>
  <si>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</si>
  <si>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</si>
  <si>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</si>
  <si>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</si>
  <si>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</si>
  <si>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</si>
  <si>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</si>
  <si>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</si>
  <si>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</si>
  <si>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</si>
  <si>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</si>
  <si>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</si>
  <si>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</si>
  <si>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</si>
  <si>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</si>
  <si>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</si>
  <si>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</si>
  <si>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</si>
  <si>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</si>
  <si>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</si>
  <si>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</si>
  <si>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</si>
  <si>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</si>
  <si>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</si>
  <si>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</si>
  <si>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</si>
  <si>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</si>
  <si>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</si>
  <si>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</si>
  <si>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</si>
  <si>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</si>
  <si>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</si>
  <si>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</si>
  <si>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</si>
  <si>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</si>
  <si>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</si>
  <si>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</si>
  <si>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</si>
  <si>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</si>
  <si>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</si>
  <si>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</si>
  <si>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</si>
  <si>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</si>
  <si>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</si>
  <si>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</si>
  <si>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</si>
  <si>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</si>
  <si>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</si>
  <si>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</si>
  <si>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</si>
  <si>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</si>
  <si>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</si>
  <si>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</si>
  <si>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</si>
  <si>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</si>
  <si>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</si>
  <si>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</si>
  <si>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</si>
  <si>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</si>
  <si>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</si>
  <si>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</si>
  <si>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</si>
  <si>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</si>
  <si>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</si>
  <si>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</si>
  <si>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</si>
  <si>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</si>
  <si>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Positiva</t>
  </si>
  <si>
    <t>Effetá</t>
  </si>
  <si>
    <t>Publicidad</t>
  </si>
  <si>
    <t>Pachuca Brilla</t>
  </si>
  <si>
    <t>Plaza Juárez</t>
  </si>
  <si>
    <t>Policía municipal</t>
  </si>
  <si>
    <t>Regreso A Clases</t>
  </si>
  <si>
    <t>Milenio Hidalgo</t>
  </si>
  <si>
    <t>Conagua</t>
  </si>
  <si>
    <t>ASEH</t>
  </si>
  <si>
    <t>Síntesis</t>
  </si>
  <si>
    <t>Estafa Siniestra</t>
  </si>
  <si>
    <t>Presas alcanzan hasta 80% de su nivel de almacenamiento</t>
  </si>
  <si>
    <t>Monitoreo De Presas</t>
  </si>
  <si>
    <t>Llama la SEP federal a privilegiar el diálogo</t>
  </si>
  <si>
    <t>Conflicto predio escolar</t>
  </si>
  <si>
    <t>Aumentan las ventas en la Central</t>
  </si>
  <si>
    <t>Dan banderazo al nuevo ciclo 2026-2027</t>
  </si>
  <si>
    <t>Mosco Culex frena creación de empleo</t>
  </si>
  <si>
    <t>Mosco Culex</t>
  </si>
  <si>
    <t>Impugna Espacio Hidalgo pérdida de registro</t>
  </si>
  <si>
    <t>pérdida de registro</t>
  </si>
  <si>
    <t>Destinan 121 mil mdp a educación</t>
  </si>
  <si>
    <t>Crecen en 20 mdd las remesas</t>
  </si>
  <si>
    <t>Remesas</t>
  </si>
  <si>
    <t>Adeudan partidos 101 mdp por multas</t>
  </si>
  <si>
    <t>Multas Partidos</t>
  </si>
  <si>
    <t>Superan la meta de esterilización</t>
  </si>
  <si>
    <t>Campaña de esterilización</t>
  </si>
  <si>
    <t>El capitán de acero</t>
  </si>
  <si>
    <t>Adiós a la albiceleste</t>
  </si>
  <si>
    <t>Se dispara 76% la violencia escolar en Hidalgo: SEPH</t>
  </si>
  <si>
    <t>Violencia Escolar</t>
  </si>
  <si>
    <t>Contra reloj, la aprobación de la reforma electoral</t>
  </si>
  <si>
    <t>Reforma Electoral</t>
  </si>
  <si>
    <t>Inician ciclo académico 569 mil 987 estudiantes</t>
  </si>
  <si>
    <t>Frena proyectos en región Tula la falta de socialización, dice funcionario</t>
  </si>
  <si>
    <t>Proyectos Federales</t>
  </si>
  <si>
    <t>Descarta Rico injerencia de Adán en candidaturas</t>
  </si>
  <si>
    <t>Intervención en candidaturas</t>
  </si>
  <si>
    <t>Destinan en solo cuatro años 121 mmdp a ramo educativo</t>
  </si>
  <si>
    <t>Impulso A La Educación</t>
  </si>
  <si>
    <t>Premia la FIL una tradición poética"": Belli</t>
  </si>
  <si>
    <t>Coche bomba: Enfrenta Zacatecas nuevo ataque; van 17</t>
  </si>
  <si>
    <t>Crimen Organizado</t>
  </si>
  <si>
    <t>Pierde Espacio Hidalgo todos sus derechos ante el IEEH</t>
  </si>
  <si>
    <t>Messi se retira de la selección</t>
  </si>
  <si>
    <t>Magistrados determinarán hoy a quien encabezará el Poder Judicial del estado</t>
  </si>
  <si>
    <t>Nombramientos</t>
  </si>
  <si>
    <t>Said Vargas descarta el poder reelegirse en la sección 15</t>
  </si>
  <si>
    <t>Reelección</t>
  </si>
  <si>
    <t>Vigilarán condiciones de la infraestructura en escuelas</t>
  </si>
  <si>
    <t>Infraestructura escolar</t>
  </si>
  <si>
    <t>El ciclo anterior reportaron mil 380 denuncias contra docentes, pocas confirmadas</t>
  </si>
  <si>
    <t>Denuncias contra docentes</t>
  </si>
  <si>
    <t>Incorporan tecnología para fortalecer rehabilitación</t>
  </si>
  <si>
    <t>Innovación tecnológica</t>
  </si>
  <si>
    <t>Aprobación presidenta Claudia Sheinbaum</t>
  </si>
  <si>
    <t>Aprobación Sheinbaum</t>
  </si>
  <si>
    <t>Prevén 60 mil nuevas viviendas durante el actual gobierno federal</t>
  </si>
  <si>
    <t>Plan Nacional De Vivienda</t>
  </si>
  <si>
    <t>Guanajuato y Zacatecas terminan agosto con 5 muertos y 11 heridos</t>
  </si>
  <si>
    <t>Incidencia Delictiva</t>
  </si>
  <si>
    <t>Inicia CSP segundo tercio con éxito: apoyo de 69.9%</t>
  </si>
  <si>
    <t>La justicia debe ser eficaz, pero también debe ser legal, responsable y respetuosa de los derechos de todas las  personas”.</t>
  </si>
  <si>
    <t>Destacan sector público y privado oportunidades de inversión en ""Es tiempo de Hidalgo""</t>
  </si>
  <si>
    <t>Atracción De Inversiones</t>
  </si>
  <si>
    <t>Registran mil 385 casos de violencia escolar; más de la mitad resueltos: Castrejón Valdez</t>
  </si>
  <si>
    <t>Convocan a tramitar el testamento y proteger el patrimonio</t>
  </si>
  <si>
    <t>Testamento</t>
  </si>
  <si>
    <t>Margarita esperó 24 años para volver a abrazar a su hijo</t>
  </si>
  <si>
    <t>Apoyo A Migrantes</t>
  </si>
  <si>
    <t>Vivienda para el Bienestar alcanza 52.5% de su meta en Hidalgo</t>
  </si>
  <si>
    <t>Pachuca se pinta de verde, blanco y rojo</t>
  </si>
  <si>
    <t>Fiestas Patrias</t>
  </si>
  <si>
    <t>PRD Hidalgo llama a cerrar filas con Claudia Sheinbaum y Julio Menchaca</t>
  </si>
  <si>
    <t>Respaldo gobernador</t>
  </si>
  <si>
    <t>Said Vargas destaca reelegirse en el SNTE Hidalgo</t>
  </si>
  <si>
    <t>IEEH quita registro a Espacio Hidalgo</t>
  </si>
  <si>
    <t>Hidalgo suma más de 253 mil millones de inversión federal</t>
  </si>
  <si>
    <t>Informe De Gobierno</t>
  </si>
  <si>
    <t>Menchaca reporta inversión de 121 mil millones en educación</t>
  </si>
  <si>
    <t>En cuatro años, gobierno de Hidalgo ha destinado 121 mil millones de pesos a la educación</t>
  </si>
  <si>
    <t>Seguridad de Pachuca despliega operativo de regreso a clases para proteger a más de 17 mil estudiantes</t>
  </si>
  <si>
    <t>Más de 253 mil mdp de inversión federal están en marcha en Hidalgo</t>
  </si>
  <si>
    <t>Julio Menchaca consolida vinculación estratégica con el sector privado</t>
  </si>
  <si>
    <t>Anuncio de inversiones</t>
  </si>
  <si>
    <t>Hidalgo es potencia en marcha</t>
  </si>
  <si>
    <t>Apoyo A Mipymes</t>
  </si>
  <si>
    <t>Descartan a Omar Fayad de la ""Estafa Sinietra""</t>
  </si>
  <si>
    <t>Messi anuncia su retiro de la selección argentina</t>
  </si>
  <si>
    <t>La esperanza queda de que vengan mejores tiempos, pese a lo nublado que se ve todo por la delincuencia que cubre ya a casi todo el país ...</t>
  </si>
  <si>
    <t>Editorial</t>
  </si>
  <si>
    <t>Gobiero y gasolineros renuevan pacto para contener precios</t>
  </si>
  <si>
    <t>En marcha más de 253 mil mdp de inversión federal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</si>
</sst>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5" totalsRowShown="0" headerRowDxfId="5" headerRowBorderDxfId="4">
  <autoFilter ref="A1:J55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5"/>
  <sheetViews>
    <sheetView tabSelected="1" topLeftCell="A35" workbookViewId="0">
      <selection activeCell="A55" sqref="A55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t="30" x14ac:dyDescent="0.25">
      <c r="A2" s="11">
        <v>46266</v>
      </c>
      <c r="B2" t="s">
        <v>67</v>
      </c>
      <c r="C2" s="5" t="s">
        <v>87</v>
      </c>
      <c r="D2" t="s">
        <v>12</v>
      </c>
      <c r="E2" t="s">
        <v>14</v>
      </c>
      <c r="F2" t="s">
        <v>83</v>
      </c>
      <c r="G2" t="s">
        <v>88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46266</v>
      </c>
      <c r="B3" t="s">
        <v>67</v>
      </c>
      <c r="C3" s="5" t="s">
        <v>89</v>
      </c>
      <c r="D3" t="s">
        <v>12</v>
      </c>
      <c r="E3" t="s">
        <v>14</v>
      </c>
      <c r="F3" t="s">
        <v>14</v>
      </c>
      <c r="G3" t="s">
        <v>90</v>
      </c>
      <c r="H3" t="s">
        <v>11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46266</v>
      </c>
      <c r="B4" t="s">
        <v>67</v>
      </c>
      <c r="C4" s="5" t="s">
        <v>91</v>
      </c>
      <c r="D4" t="s">
        <v>9</v>
      </c>
      <c r="E4" t="s">
        <v>10</v>
      </c>
      <c r="F4" t="s">
        <v>10</v>
      </c>
      <c r="G4" t="s">
        <v>81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46266</v>
      </c>
      <c r="B5" t="s">
        <v>67</v>
      </c>
      <c r="C5" s="5" t="s">
        <v>92</v>
      </c>
      <c r="D5" t="s">
        <v>12</v>
      </c>
      <c r="E5" t="s">
        <v>24</v>
      </c>
      <c r="F5" t="s">
        <v>24</v>
      </c>
      <c r="G5" t="s">
        <v>81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Gobernador</v>
      </c>
    </row>
    <row r="6" spans="1:10" x14ac:dyDescent="0.25">
      <c r="A6" s="11">
        <v>46266</v>
      </c>
      <c r="B6" t="s">
        <v>67</v>
      </c>
      <c r="C6" s="5" t="s">
        <v>93</v>
      </c>
      <c r="D6" t="s">
        <v>13</v>
      </c>
      <c r="E6" t="s">
        <v>14</v>
      </c>
      <c r="F6" t="s">
        <v>83</v>
      </c>
      <c r="G6" t="s">
        <v>94</v>
      </c>
      <c r="H6" t="s">
        <v>70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46266</v>
      </c>
      <c r="B7" t="s">
        <v>71</v>
      </c>
      <c r="C7" s="5" t="s">
        <v>95</v>
      </c>
      <c r="D7" t="s">
        <v>12</v>
      </c>
      <c r="E7" t="s">
        <v>63</v>
      </c>
      <c r="F7" t="s">
        <v>63</v>
      </c>
      <c r="G7" t="s">
        <v>96</v>
      </c>
      <c r="H7" t="s">
        <v>11</v>
      </c>
      <c r="I7" t="str">
        <f>_xlfn.XLOOKUP(Tabla1[[#This Row],[Dependencia]],Tabla2[Dependencia],Tabla2[Clasificación],"XXX",0)</f>
        <v>Partidos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46266</v>
      </c>
      <c r="B8" t="s">
        <v>71</v>
      </c>
      <c r="C8" s="5" t="s">
        <v>97</v>
      </c>
      <c r="D8" t="s">
        <v>9</v>
      </c>
      <c r="E8" t="s">
        <v>24</v>
      </c>
      <c r="F8" t="s">
        <v>24</v>
      </c>
      <c r="G8" t="s">
        <v>81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46266</v>
      </c>
      <c r="B9" t="s">
        <v>71</v>
      </c>
      <c r="C9" s="5" t="s">
        <v>98</v>
      </c>
      <c r="D9" t="s">
        <v>12</v>
      </c>
      <c r="E9" t="s">
        <v>19</v>
      </c>
      <c r="F9" t="s">
        <v>19</v>
      </c>
      <c r="G9" t="s">
        <v>99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46266</v>
      </c>
      <c r="B10" t="s">
        <v>71</v>
      </c>
      <c r="C10" s="5" t="s">
        <v>100</v>
      </c>
      <c r="D10" t="s">
        <v>12</v>
      </c>
      <c r="E10" t="s">
        <v>40</v>
      </c>
      <c r="F10" t="s">
        <v>40</v>
      </c>
      <c r="G10" t="s">
        <v>101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46266</v>
      </c>
      <c r="B11" t="s">
        <v>71</v>
      </c>
      <c r="C11" s="5" t="s">
        <v>102</v>
      </c>
      <c r="D11" t="s">
        <v>12</v>
      </c>
      <c r="E11" t="s">
        <v>15</v>
      </c>
      <c r="F11" t="s">
        <v>15</v>
      </c>
      <c r="G11" t="s">
        <v>103</v>
      </c>
      <c r="H11" t="s">
        <v>75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46266</v>
      </c>
      <c r="B12" t="s">
        <v>74</v>
      </c>
      <c r="C12" s="5" t="s">
        <v>104</v>
      </c>
      <c r="D12" t="s">
        <v>12</v>
      </c>
      <c r="E12" t="s">
        <v>10</v>
      </c>
      <c r="F12" t="s">
        <v>10</v>
      </c>
      <c r="G12" t="s">
        <v>73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46266</v>
      </c>
      <c r="B13" t="s">
        <v>74</v>
      </c>
      <c r="C13" s="5" t="s">
        <v>105</v>
      </c>
      <c r="D13" t="s">
        <v>12</v>
      </c>
      <c r="E13" t="s">
        <v>10</v>
      </c>
      <c r="F13" t="s">
        <v>10</v>
      </c>
      <c r="G13" t="s">
        <v>73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46266</v>
      </c>
      <c r="B14" t="s">
        <v>74</v>
      </c>
      <c r="C14" s="5" t="s">
        <v>106</v>
      </c>
      <c r="D14" t="s">
        <v>13</v>
      </c>
      <c r="E14" t="s">
        <v>26</v>
      </c>
      <c r="F14" t="s">
        <v>26</v>
      </c>
      <c r="G14" t="s">
        <v>107</v>
      </c>
      <c r="H14" t="s">
        <v>70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1">
        <v>46266</v>
      </c>
      <c r="B15" t="s">
        <v>74</v>
      </c>
      <c r="C15" s="5" t="s">
        <v>108</v>
      </c>
      <c r="D15" t="s">
        <v>12</v>
      </c>
      <c r="E15" t="s">
        <v>33</v>
      </c>
      <c r="F15" t="s">
        <v>33</v>
      </c>
      <c r="G15" t="s">
        <v>109</v>
      </c>
      <c r="H15" t="s">
        <v>70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46266</v>
      </c>
      <c r="B16" t="s">
        <v>74</v>
      </c>
      <c r="C16" s="5" t="s">
        <v>110</v>
      </c>
      <c r="D16" t="s">
        <v>9</v>
      </c>
      <c r="E16" t="s">
        <v>26</v>
      </c>
      <c r="F16" t="s">
        <v>26</v>
      </c>
      <c r="G16" t="s">
        <v>81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46266</v>
      </c>
      <c r="B17" t="s">
        <v>74</v>
      </c>
      <c r="C17" s="5" t="s">
        <v>111</v>
      </c>
      <c r="D17" t="s">
        <v>12</v>
      </c>
      <c r="E17" t="s">
        <v>47</v>
      </c>
      <c r="F17" t="s">
        <v>2</v>
      </c>
      <c r="G17" t="s">
        <v>112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46266</v>
      </c>
      <c r="B18" t="s">
        <v>74</v>
      </c>
      <c r="C18" s="5" t="s">
        <v>113</v>
      </c>
      <c r="D18" t="s">
        <v>12</v>
      </c>
      <c r="E18" t="s">
        <v>18</v>
      </c>
      <c r="F18" t="s">
        <v>2</v>
      </c>
      <c r="G18" t="s">
        <v>114</v>
      </c>
      <c r="H18" t="s">
        <v>11</v>
      </c>
      <c r="I18" t="str">
        <f>_xlfn.XLOOKUP(Tabla1[[#This Row],[Dependencia]],Tabla2[Dependencia],Tabla2[Clasificación],"XXX",0)</f>
        <v>Partidos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46266</v>
      </c>
      <c r="B19" t="s">
        <v>82</v>
      </c>
      <c r="C19" s="5" t="s">
        <v>115</v>
      </c>
      <c r="D19" t="s">
        <v>13</v>
      </c>
      <c r="E19" t="s">
        <v>26</v>
      </c>
      <c r="F19" t="s">
        <v>26</v>
      </c>
      <c r="G19" t="s">
        <v>116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11">
        <v>46266</v>
      </c>
      <c r="B20" t="s">
        <v>82</v>
      </c>
      <c r="C20" s="5" t="s">
        <v>117</v>
      </c>
      <c r="D20" t="s">
        <v>12</v>
      </c>
      <c r="E20" t="s">
        <v>10</v>
      </c>
      <c r="F20" t="s">
        <v>10</v>
      </c>
      <c r="G20" t="s">
        <v>72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46266</v>
      </c>
      <c r="B21" t="s">
        <v>82</v>
      </c>
      <c r="C21" s="5" t="s">
        <v>118</v>
      </c>
      <c r="D21" t="s">
        <v>9</v>
      </c>
      <c r="E21" t="s">
        <v>14</v>
      </c>
      <c r="F21" t="s">
        <v>14</v>
      </c>
      <c r="G21" t="s">
        <v>119</v>
      </c>
      <c r="H21" t="s">
        <v>70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46266</v>
      </c>
      <c r="B22" t="s">
        <v>82</v>
      </c>
      <c r="C22" s="5" t="s">
        <v>120</v>
      </c>
      <c r="D22" t="s">
        <v>12</v>
      </c>
      <c r="E22" t="s">
        <v>63</v>
      </c>
      <c r="F22" t="s">
        <v>63</v>
      </c>
      <c r="G22" t="s">
        <v>96</v>
      </c>
      <c r="H22" t="s">
        <v>70</v>
      </c>
      <c r="I22" t="str">
        <f>_xlfn.XLOOKUP(Tabla1[[#This Row],[Dependencia]],Tabla2[Dependencia],Tabla2[Clasificación],"XXX",0)</f>
        <v>Partidos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46266</v>
      </c>
      <c r="B23" t="s">
        <v>82</v>
      </c>
      <c r="C23" s="5" t="s">
        <v>121</v>
      </c>
      <c r="D23" t="s">
        <v>12</v>
      </c>
      <c r="E23" t="s">
        <v>10</v>
      </c>
      <c r="F23" t="s">
        <v>10</v>
      </c>
      <c r="G23" t="s">
        <v>73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46266</v>
      </c>
      <c r="B24" t="s">
        <v>82</v>
      </c>
      <c r="C24" s="5" t="s">
        <v>122</v>
      </c>
      <c r="D24" t="s">
        <v>12</v>
      </c>
      <c r="E24" t="s">
        <v>58</v>
      </c>
      <c r="F24" t="s">
        <v>58</v>
      </c>
      <c r="G24" t="s">
        <v>123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46266</v>
      </c>
      <c r="B25" t="s">
        <v>82</v>
      </c>
      <c r="C25" s="5" t="s">
        <v>124</v>
      </c>
      <c r="D25" t="s">
        <v>12</v>
      </c>
      <c r="E25" t="s">
        <v>10</v>
      </c>
      <c r="F25" t="s">
        <v>10</v>
      </c>
      <c r="G25" t="s">
        <v>125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46266</v>
      </c>
      <c r="B26" t="s">
        <v>82</v>
      </c>
      <c r="C26" s="5" t="s">
        <v>126</v>
      </c>
      <c r="D26" t="s">
        <v>12</v>
      </c>
      <c r="E26" t="s">
        <v>26</v>
      </c>
      <c r="F26" t="s">
        <v>26</v>
      </c>
      <c r="G26" t="s">
        <v>127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11">
        <v>46266</v>
      </c>
      <c r="B27" t="s">
        <v>82</v>
      </c>
      <c r="C27" s="5" t="s">
        <v>128</v>
      </c>
      <c r="D27" t="s">
        <v>12</v>
      </c>
      <c r="E27" t="s">
        <v>26</v>
      </c>
      <c r="F27" t="s">
        <v>26</v>
      </c>
      <c r="G27" t="s">
        <v>129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11">
        <v>46266</v>
      </c>
      <c r="B28" t="s">
        <v>82</v>
      </c>
      <c r="C28" s="5" t="s">
        <v>130</v>
      </c>
      <c r="D28" t="s">
        <v>12</v>
      </c>
      <c r="E28" t="s">
        <v>36</v>
      </c>
      <c r="F28" t="s">
        <v>36</v>
      </c>
      <c r="G28" t="s">
        <v>131</v>
      </c>
      <c r="H28" t="s">
        <v>75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25">
      <c r="A29" s="11">
        <v>46266</v>
      </c>
      <c r="B29" t="s">
        <v>68</v>
      </c>
      <c r="C29" s="5" t="s">
        <v>132</v>
      </c>
      <c r="D29" t="s">
        <v>9</v>
      </c>
      <c r="E29" t="s">
        <v>14</v>
      </c>
      <c r="F29" t="s">
        <v>14</v>
      </c>
      <c r="G29" t="s">
        <v>133</v>
      </c>
      <c r="H29" t="s">
        <v>75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46266</v>
      </c>
      <c r="B30" t="s">
        <v>68</v>
      </c>
      <c r="C30" s="5" t="s">
        <v>134</v>
      </c>
      <c r="D30" t="s">
        <v>12</v>
      </c>
      <c r="E30" t="s">
        <v>47</v>
      </c>
      <c r="F30" t="s">
        <v>2</v>
      </c>
      <c r="G30" t="s">
        <v>135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46266</v>
      </c>
      <c r="B31" t="s">
        <v>68</v>
      </c>
      <c r="C31" s="5" t="s">
        <v>136</v>
      </c>
      <c r="D31" t="s">
        <v>12</v>
      </c>
      <c r="E31" t="s">
        <v>14</v>
      </c>
      <c r="F31" t="s">
        <v>14</v>
      </c>
      <c r="G31" t="s">
        <v>137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46266</v>
      </c>
      <c r="B32" t="s">
        <v>68</v>
      </c>
      <c r="C32" s="5" t="s">
        <v>138</v>
      </c>
      <c r="D32" t="s">
        <v>13</v>
      </c>
      <c r="E32" t="s">
        <v>14</v>
      </c>
      <c r="F32" t="s">
        <v>14</v>
      </c>
      <c r="G32" t="s">
        <v>133</v>
      </c>
      <c r="H32" t="s">
        <v>75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45" x14ac:dyDescent="0.25">
      <c r="A33" s="11">
        <v>46266</v>
      </c>
      <c r="B33" t="s">
        <v>68</v>
      </c>
      <c r="C33" s="5" t="s">
        <v>139</v>
      </c>
      <c r="D33" t="s">
        <v>12</v>
      </c>
      <c r="E33" t="s">
        <v>10</v>
      </c>
      <c r="F33" t="s">
        <v>10</v>
      </c>
      <c r="G33" t="s">
        <v>72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46266</v>
      </c>
      <c r="B34" t="s">
        <v>85</v>
      </c>
      <c r="C34" s="5" t="s">
        <v>140</v>
      </c>
      <c r="D34" t="s">
        <v>13</v>
      </c>
      <c r="E34" t="s">
        <v>38</v>
      </c>
      <c r="F34" t="s">
        <v>38</v>
      </c>
      <c r="G34" t="s">
        <v>141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46266</v>
      </c>
      <c r="B35" t="s">
        <v>85</v>
      </c>
      <c r="C35" s="5" t="s">
        <v>142</v>
      </c>
      <c r="D35" t="s">
        <v>12</v>
      </c>
      <c r="E35" t="s">
        <v>26</v>
      </c>
      <c r="F35" t="s">
        <v>2</v>
      </c>
      <c r="G35" t="s">
        <v>107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46266</v>
      </c>
      <c r="B36" t="s">
        <v>85</v>
      </c>
      <c r="C36" s="5" t="s">
        <v>143</v>
      </c>
      <c r="D36" t="s">
        <v>12</v>
      </c>
      <c r="E36" t="s">
        <v>10</v>
      </c>
      <c r="F36" t="s">
        <v>10</v>
      </c>
      <c r="G36" t="s">
        <v>144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46266</v>
      </c>
      <c r="B37" t="s">
        <v>85</v>
      </c>
      <c r="C37" s="5" t="s">
        <v>145</v>
      </c>
      <c r="D37" t="s">
        <v>12</v>
      </c>
      <c r="E37" t="s">
        <v>19</v>
      </c>
      <c r="F37" t="s">
        <v>19</v>
      </c>
      <c r="G37" t="s">
        <v>146</v>
      </c>
      <c r="H37" t="s">
        <v>75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46266</v>
      </c>
      <c r="B38" t="s">
        <v>85</v>
      </c>
      <c r="C38" s="5" t="s">
        <v>147</v>
      </c>
      <c r="D38" t="s">
        <v>12</v>
      </c>
      <c r="E38" t="s">
        <v>14</v>
      </c>
      <c r="F38" t="s">
        <v>14</v>
      </c>
      <c r="G38" t="s">
        <v>135</v>
      </c>
      <c r="H38" t="s">
        <v>75</v>
      </c>
      <c r="I38" t="str">
        <f>_xlfn.XLOOKUP(Tabla1[[#This Row],[Dependencia]],Tabla2[Dependencia],Tabla2[Clasificación],"XXX",0)</f>
        <v>Presidencia de la República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46266</v>
      </c>
      <c r="B39" t="s">
        <v>76</v>
      </c>
      <c r="C39" s="5" t="s">
        <v>148</v>
      </c>
      <c r="D39" t="s">
        <v>9</v>
      </c>
      <c r="E39" t="s">
        <v>10</v>
      </c>
      <c r="F39" t="s">
        <v>10</v>
      </c>
      <c r="G39" t="s">
        <v>149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46266</v>
      </c>
      <c r="B40" t="s">
        <v>76</v>
      </c>
      <c r="C40" s="5" t="s">
        <v>150</v>
      </c>
      <c r="D40" t="s">
        <v>13</v>
      </c>
      <c r="E40" t="s">
        <v>48</v>
      </c>
      <c r="F40" t="s">
        <v>48</v>
      </c>
      <c r="G40" t="s">
        <v>151</v>
      </c>
      <c r="H40" t="s">
        <v>11</v>
      </c>
      <c r="I40" t="str">
        <f>_xlfn.XLOOKUP(Tabla1[[#This Row],[Dependencia]],Tabla2[Dependencia],Tabla2[Clasificación],"XXX",0)</f>
        <v>Partidos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46266</v>
      </c>
      <c r="B41" t="s">
        <v>76</v>
      </c>
      <c r="C41" s="5" t="s">
        <v>152</v>
      </c>
      <c r="D41" t="s">
        <v>12</v>
      </c>
      <c r="E41" t="s">
        <v>10</v>
      </c>
      <c r="F41" t="s">
        <v>10</v>
      </c>
      <c r="G41" t="s">
        <v>125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46266</v>
      </c>
      <c r="B42" t="s">
        <v>76</v>
      </c>
      <c r="C42" s="5" t="s">
        <v>153</v>
      </c>
      <c r="D42" t="s">
        <v>12</v>
      </c>
      <c r="E42" t="s">
        <v>63</v>
      </c>
      <c r="F42" t="s">
        <v>63</v>
      </c>
      <c r="G42" t="s">
        <v>96</v>
      </c>
      <c r="H42" t="s">
        <v>70</v>
      </c>
      <c r="I42" t="str">
        <f>_xlfn.XLOOKUP(Tabla1[[#This Row],[Dependencia]],Tabla2[Dependencia],Tabla2[Clasificación],"XXX",0)</f>
        <v>Partidos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46266</v>
      </c>
      <c r="B43" t="s">
        <v>76</v>
      </c>
      <c r="C43" s="5" t="s">
        <v>154</v>
      </c>
      <c r="D43" t="s">
        <v>12</v>
      </c>
      <c r="E43" t="s">
        <v>14</v>
      </c>
      <c r="F43" t="s">
        <v>14</v>
      </c>
      <c r="G43" t="s">
        <v>155</v>
      </c>
      <c r="H43" t="s">
        <v>75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46266</v>
      </c>
      <c r="B44" t="s">
        <v>76</v>
      </c>
      <c r="C44" s="5" t="s">
        <v>156</v>
      </c>
      <c r="D44" t="s">
        <v>12</v>
      </c>
      <c r="E44" t="s">
        <v>24</v>
      </c>
      <c r="F44" t="s">
        <v>24</v>
      </c>
      <c r="G44" t="s">
        <v>116</v>
      </c>
      <c r="H44" t="s">
        <v>75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46266</v>
      </c>
      <c r="B45" t="s">
        <v>78</v>
      </c>
      <c r="C45" s="5" t="s">
        <v>157</v>
      </c>
      <c r="D45" t="s">
        <v>13</v>
      </c>
      <c r="E45" t="s">
        <v>24</v>
      </c>
      <c r="F45" t="s">
        <v>24</v>
      </c>
      <c r="G45" t="s">
        <v>116</v>
      </c>
      <c r="H45" t="s">
        <v>75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ht="30" x14ac:dyDescent="0.25">
      <c r="A46" s="11">
        <v>46266</v>
      </c>
      <c r="B46" t="s">
        <v>78</v>
      </c>
      <c r="C46" s="5" t="s">
        <v>158</v>
      </c>
      <c r="D46" t="s">
        <v>12</v>
      </c>
      <c r="E46" t="s">
        <v>16</v>
      </c>
      <c r="F46" t="s">
        <v>80</v>
      </c>
      <c r="G46" t="s">
        <v>81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46266</v>
      </c>
      <c r="B47" t="s">
        <v>78</v>
      </c>
      <c r="C47" s="5" t="s">
        <v>159</v>
      </c>
      <c r="D47" t="s">
        <v>12</v>
      </c>
      <c r="E47" t="s">
        <v>47</v>
      </c>
      <c r="F47" t="s">
        <v>2</v>
      </c>
      <c r="G47" t="s">
        <v>141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46266</v>
      </c>
      <c r="B48" t="s">
        <v>78</v>
      </c>
      <c r="C48" s="5" t="s">
        <v>160</v>
      </c>
      <c r="D48" t="s">
        <v>12</v>
      </c>
      <c r="E48" t="s">
        <v>24</v>
      </c>
      <c r="F48" t="s">
        <v>24</v>
      </c>
      <c r="G48" t="s">
        <v>161</v>
      </c>
      <c r="H48" t="s">
        <v>75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ht="30" x14ac:dyDescent="0.25">
      <c r="A49" s="11">
        <v>46266</v>
      </c>
      <c r="B49" t="s">
        <v>78</v>
      </c>
      <c r="C49" s="5" t="s">
        <v>158</v>
      </c>
      <c r="D49" t="s">
        <v>12</v>
      </c>
      <c r="E49" t="s">
        <v>16</v>
      </c>
      <c r="F49" t="s">
        <v>80</v>
      </c>
      <c r="G49" t="s">
        <v>81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46266</v>
      </c>
      <c r="B50" t="s">
        <v>78</v>
      </c>
      <c r="C50" s="5" t="s">
        <v>162</v>
      </c>
      <c r="D50" t="s">
        <v>77</v>
      </c>
      <c r="E50" t="s">
        <v>38</v>
      </c>
      <c r="F50" t="s">
        <v>38</v>
      </c>
      <c r="G50" t="s">
        <v>163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11">
        <v>46266</v>
      </c>
      <c r="B51" t="s">
        <v>79</v>
      </c>
      <c r="C51" s="5" t="s">
        <v>164</v>
      </c>
      <c r="D51" t="s">
        <v>13</v>
      </c>
      <c r="E51" t="s">
        <v>33</v>
      </c>
      <c r="F51" t="s">
        <v>84</v>
      </c>
      <c r="G51" t="s">
        <v>86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x14ac:dyDescent="0.25">
      <c r="A52" s="11">
        <v>46266</v>
      </c>
      <c r="B52" t="s">
        <v>79</v>
      </c>
      <c r="C52" s="5" t="s">
        <v>165</v>
      </c>
      <c r="D52" t="s">
        <v>12</v>
      </c>
      <c r="E52" t="s">
        <v>10</v>
      </c>
      <c r="F52" t="s">
        <v>10</v>
      </c>
      <c r="G52" t="s">
        <v>73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ht="45" x14ac:dyDescent="0.25">
      <c r="A53" s="11">
        <v>46266</v>
      </c>
      <c r="B53" t="s">
        <v>79</v>
      </c>
      <c r="C53" s="5" t="s">
        <v>166</v>
      </c>
      <c r="D53" t="s">
        <v>167</v>
      </c>
      <c r="E53" t="s">
        <v>14</v>
      </c>
      <c r="F53" t="s">
        <v>14</v>
      </c>
      <c r="G53" t="s">
        <v>119</v>
      </c>
      <c r="H53" t="s">
        <v>70</v>
      </c>
      <c r="I53" t="str">
        <f>_xlfn.XLOOKUP(Tabla1[[#This Row],[Dependencia]],Tabla2[Dependencia],Tabla2[Clasificación],"XXX",0)</f>
        <v>Presidencia de la República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46266</v>
      </c>
      <c r="B54" t="s">
        <v>79</v>
      </c>
      <c r="C54" s="5" t="s">
        <v>168</v>
      </c>
      <c r="D54" t="s">
        <v>12</v>
      </c>
      <c r="E54" t="s">
        <v>14</v>
      </c>
      <c r="F54" t="s">
        <v>14</v>
      </c>
      <c r="G54" t="s">
        <v>72</v>
      </c>
      <c r="H54" t="s">
        <v>11</v>
      </c>
      <c r="I54" t="str">
        <f>_xlfn.XLOOKUP(Tabla1[[#This Row],[Dependencia]],Tabla2[Dependencia],Tabla2[Clasificación],"XXX",0)</f>
        <v>Presidencia de la República</v>
      </c>
      <c r="J54" t="str">
        <f>_xlfn.XLOOKUP(Tabla1[[#This Row],[Dependencia]],Tabla3[Dependencia],Tabla3[Nivel],"Otros",0)</f>
        <v>Otros</v>
      </c>
    </row>
    <row r="55" spans="1:10" x14ac:dyDescent="0.25">
      <c r="A55" s="11">
        <v>46266</v>
      </c>
      <c r="B55" t="s">
        <v>79</v>
      </c>
      <c r="C55" s="5" t="s">
        <v>169</v>
      </c>
      <c r="D55" t="s">
        <v>12</v>
      </c>
      <c r="E55" t="s">
        <v>24</v>
      </c>
      <c r="F55" t="s">
        <v>24</v>
      </c>
      <c r="G55" t="s">
        <v>112</v>
      </c>
      <c r="H55" t="s">
        <v>75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2026-09-01T14:45:02Z</dcterms:modified>
</cp:coreProperties>
</file>