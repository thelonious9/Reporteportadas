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4EF76B69-5FAF-4177-91C4-4C547215B118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I2" i="1"/>
  <c r="J2" i="1"/>
</calcChain>
</file>

<file path=xl/sharedStrings.xml><?xml version="1.0" encoding="utf-8"?>
<sst xmlns="http://schemas.openxmlformats.org/spreadsheetml/2006/main" count="650" uniqueCount="197">
  <si>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</si>
  <si>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</si>
  <si>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</si>
  <si>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</si>
  <si>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</si>
  <si>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</si>
  <si>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</si>
  <si>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</si>
  <si>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</si>
  <si>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</si>
  <si>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</si>
  <si>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</si>
  <si>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</si>
  <si>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</si>
  <si>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</si>
  <si>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</si>
  <si>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</si>
  <si>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</si>
  <si>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</si>
  <si>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</si>
  <si>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</si>
  <si>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</si>
  <si>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</si>
  <si>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</si>
  <si>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</si>
  <si>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</si>
  <si>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</si>
  <si>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</si>
  <si>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</si>
  <si>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</si>
  <si>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</si>
  <si>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</si>
  <si>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</si>
  <si>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</si>
  <si>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</si>
  <si>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</si>
  <si>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</si>
  <si>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</si>
  <si>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</si>
  <si>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</si>
  <si>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</si>
  <si>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</si>
  <si>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</si>
  <si>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</si>
  <si>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</si>
  <si>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</si>
  <si>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</si>
  <si>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</si>
  <si>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</si>
  <si>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</si>
  <si>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</si>
  <si>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</si>
  <si>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</si>
  <si>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</si>
  <si>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</si>
  <si>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</si>
  <si>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</si>
  <si>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</si>
  <si>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</si>
  <si>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</si>
  <si>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</si>
  <si>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</si>
  <si>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</si>
  <si>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</si>
  <si>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</si>
  <si>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</si>
  <si>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</si>
  <si>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</si>
  <si>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</si>
  <si>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</si>
  <si>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</si>
  <si>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</si>
  <si>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</si>
  <si>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</si>
  <si>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</si>
  <si>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</si>
  <si>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Criterio</t>
  </si>
  <si>
    <t>Zunoticia</t>
  </si>
  <si>
    <t>Nivel</t>
  </si>
  <si>
    <t>Marfeca</t>
  </si>
  <si>
    <t>Gabinete</t>
  </si>
  <si>
    <t>Cintillo</t>
  </si>
  <si>
    <t>Plaza Juárez</t>
  </si>
  <si>
    <t>Mundial De Futbol</t>
  </si>
  <si>
    <t>Deportes</t>
  </si>
  <si>
    <t>Alcalde</t>
  </si>
  <si>
    <t>Combate a la delincuencia</t>
  </si>
  <si>
    <t>Reforma Electoral</t>
  </si>
  <si>
    <t>Fraude</t>
  </si>
  <si>
    <t>Editorial</t>
  </si>
  <si>
    <t>Crean reglas para peleas profesionales</t>
  </si>
  <si>
    <t>Sheinbaum presenta su plan B electoral</t>
  </si>
  <si>
    <t>Plan B</t>
  </si>
  <si>
    <t>Pequeños comercios prefieren el efectivo</t>
  </si>
  <si>
    <t>Irán reitera cierre de ruta clave del crudo</t>
  </si>
  <si>
    <t>Temas internacionales</t>
  </si>
  <si>
    <t>Acusa CNTE falta defensa sindical</t>
  </si>
  <si>
    <t>Leyenda de Las Calderas del Progreso</t>
  </si>
  <si>
    <t>Escamoles a precio alto por sobreexplotación</t>
  </si>
  <si>
    <t>Línea de alta tensión detonará más inversiones</t>
  </si>
  <si>
    <t>Atracción De Inversiones</t>
  </si>
  <si>
    <t>HACEN SU LUCHITA</t>
  </si>
  <si>
    <t>Iniciativa</t>
  </si>
  <si>
    <t>Llegan las rutas a Almoloya</t>
  </si>
  <si>
    <t>Ruta de la Transformación</t>
  </si>
  <si>
    <t>Regidores de 5 municipios cuestan 42 mdp</t>
  </si>
  <si>
    <t>Regidor</t>
  </si>
  <si>
    <t>Salarios Regidores</t>
  </si>
  <si>
    <t>Hay algo que conviene dejar claro desde el principio: la transparencia no pertenece a las instituciones, pertenece a la ciudadanía, los...</t>
  </si>
  <si>
    <t>Combate a la corrupción</t>
  </si>
  <si>
    <t>C4 en Mineral de la Reforma</t>
  </si>
  <si>
    <t>C4</t>
  </si>
  <si>
    <t>DURA PRUEBA PARA LA ZAGA</t>
  </si>
  <si>
    <t>SUEÑAN CON  EL MUNDIAL</t>
  </si>
  <si>
    <t>LA CENTRAL DE ABASTOS, “UNA BOMBA DE TIEMPO”</t>
  </si>
  <si>
    <t>Central De Abastos</t>
  </si>
  <si>
    <t>PREPARAN LA EDICIÓN  2026 DEL VIACRUCIS  DEL BARRIO LAS LAJAS</t>
  </si>
  <si>
    <t>Viacrucis</t>
  </si>
  <si>
    <t>Impiden la salida de alumnos de la UAEH</t>
  </si>
  <si>
    <t>Seguridad</t>
  </si>
  <si>
    <t>TANIA MEZA NO  PODRÁ RETOMAR INICIATIVA SOBRE EL PERIODISMO</t>
  </si>
  <si>
    <t>GLMorena</t>
  </si>
  <si>
    <t>Ley de Protección a Periodistas</t>
  </si>
  <si>
    <t>Denuncian violación a intimidad en 73% de municipios del estado</t>
  </si>
  <si>
    <t>Violencia digital</t>
  </si>
  <si>
    <t>Hacen frente en Pachuca a bandas y narcomenudistas</t>
  </si>
  <si>
    <t>Destinan 100 mdp para la construcción de C4</t>
  </si>
  <si>
    <t>Se imponen concesionados y Guardia disuade a Uber y Didi</t>
  </si>
  <si>
    <t>En 6 cabildos ven un posible recorte a las regidurías</t>
  </si>
  <si>
    <t>Operativos de movilidad detectan 43 taxis que dan servicios sin tener placas</t>
  </si>
  <si>
    <t>Operativo de transporte</t>
  </si>
  <si>
    <t>Gana chileno Radic el Nóbel de arquitectura</t>
  </si>
  <si>
    <t>El Plan B es una iniciativa constitucional, no para leyes secundarias: Morena</t>
  </si>
  <si>
    <t>El beisbol como una expresión de diversidad</t>
  </si>
  <si>
    <t>Hidalgo destina  $11 millones para  sus 30 diputados</t>
  </si>
  <si>
    <t>Sube a 20  el número de muertes  por influenza</t>
  </si>
  <si>
    <t>Influenza</t>
  </si>
  <si>
    <t>Avanzan trabajos para la reubicación de ambulantes</t>
  </si>
  <si>
    <t>Ambulantaje</t>
  </si>
  <si>
    <t>Presenta  Sheinbaum su  plan electoral B</t>
  </si>
  <si>
    <t>Leyes hay, que las cumplan es otra cosa, y el comentario viene a cuento porque de nueva cuenta la Ley de  Protección a los Derechos de los Periodistas, impulsada por los legisladores, en este caso concreto por la  diputada morenista Tania Meza Escorza, fue frenada cuando apenas iba a entrar a discusión”.</t>
  </si>
  <si>
    <t>Anuncia Menchaca nuevos proyectos de  infraestructura para Almoloya</t>
  </si>
  <si>
    <t>Reconoce embajadora de Sudáfrica  la seguridad que priva en Hidalgo</t>
  </si>
  <si>
    <t>Investiga Fiscalía de Delitos Electorales  presunto fraude cibernético contra Panalh</t>
  </si>
  <si>
    <t>Fede</t>
  </si>
  <si>
    <t>Lanzan alerta roja por fuertes rachas de  viento en Hidalgo</t>
  </si>
  <si>
    <t>PC</t>
  </si>
  <si>
    <t>Alerta Meteorológica</t>
  </si>
  <si>
    <t>CEAA advierte sobre la temporada de estiaje en Hidalgo</t>
  </si>
  <si>
    <t>Sipdus</t>
  </si>
  <si>
    <t>CEAA</t>
  </si>
  <si>
    <t>Mitigación estiaje</t>
  </si>
  <si>
    <t>El carnaval #Huejutla 2026 ya está aquí</t>
  </si>
  <si>
    <t>Carnavales</t>
  </si>
  <si>
    <t>Julio Menchaca destina más de 57 mdp para obras públicas en Almoloya</t>
  </si>
  <si>
    <t>Solicitan a delegados evitar tiradero clandestinos de basura</t>
  </si>
  <si>
    <t>Basurero Clandestino</t>
  </si>
  <si>
    <t>Llama obispo de Huejutla a vivir la cuaresma con reflexón y conversión</t>
  </si>
  <si>
    <t>Deteriorada e intransitable la carretera federal 102</t>
  </si>
  <si>
    <t>SICT</t>
  </si>
  <si>
    <t>Carretera En Mal Estado</t>
  </si>
  <si>
    <t>Medécigo busca 100 millones para nuevo C4</t>
  </si>
  <si>
    <t>Claudia Sheinbaum plantea reducir gastos en congresos</t>
  </si>
  <si>
    <t>Irrumpen en Cabildo de Tepeji y agreden al oficial mayor</t>
  </si>
  <si>
    <t>Agresión</t>
  </si>
  <si>
    <t>Entre mareos y miedo</t>
  </si>
  <si>
    <t>Pemex</t>
  </si>
  <si>
    <t>Fuga de hidrocarburo</t>
  </si>
  <si>
    <t>MC Hidalgo reclamando lo que votó recortar</t>
  </si>
  <si>
    <t>De 45 millones en Tepeapulco, exalcaldesa debe solventar 25</t>
  </si>
  <si>
    <t>Observaciones ASEH</t>
  </si>
  <si>
    <t>Menchaca destina 57 millones en Almoloya</t>
  </si>
  <si>
    <t>Diputados de Hidalgo se dividen en votación de Reforma Electoral</t>
  </si>
  <si>
    <t>Prevén rachas de viento fuertes en Hidalgo; piden extremar precauciones</t>
  </si>
  <si>
    <t>Claudia Sandoval camina y escucha al pueblo, ahora en Tezoquipa</t>
  </si>
  <si>
    <t>Atención a la ciudadanía</t>
  </si>
  <si>
    <t>Menchaca destina más de 57 mdp para obras públicas en Almoloya</t>
  </si>
  <si>
    <t>Realizan Feria de Servicios municipales</t>
  </si>
  <si>
    <t>Feria de servicios</t>
  </si>
  <si>
    <t>Se fortalece el diálogo entre juventudes y autoridades en encuentro estatal</t>
  </si>
  <si>
    <t>Atención a jóvenes</t>
  </si>
  <si>
    <t>Xochitlán de las Flores se transforma mediante diálogo y el trabajo en conjunto</t>
  </si>
  <si>
    <t>Diálogo institucional fortalece al magisterio hidalguense</t>
  </si>
  <si>
    <t>Menchaca pide denunciar formalmente a funcionarios señalados en tendederos del 8M</t>
  </si>
  <si>
    <t>Marcha 8M</t>
  </si>
  <si>
    <t>Fuertes rachas de viento en HIdalgo</t>
  </si>
  <si>
    <t>Lanzan convocatoria 2016 para apoyar a cuidadores de personas con discapacidad</t>
  </si>
  <si>
    <t>Cuidadores De Adultos Mayores</t>
  </si>
  <si>
    <t>¿Buscas trabajo? este viernes realizarán feria nacional de empleo para las mujeres</t>
  </si>
  <si>
    <t>Feria De Empleo</t>
  </si>
  <si>
    <t>Embajadora de Sudáfrica recorrió más puntos de la entidad de cara al mundial</t>
  </si>
  <si>
    <t>Tuzas vencen 2-0 a Tijuana en liga MX femenil</t>
  </si>
  <si>
    <t>Atraparon a 4 vinculados a la célula de ""Los Polos""</t>
  </si>
  <si>
    <t>Emiten recomendaciones contra la extorsión sexual digital</t>
  </si>
  <si>
    <t>Morena y la 4T tienen fisuras, como quedó demostrado con los votos en contra de legisladores morenistas en la fallida Reforma Electoral</t>
  </si>
  <si>
    <t>Destinan más de 57 mdp para obras en Almoloya</t>
  </si>
  <si>
    <t>Crean iniciativa para homologar investigación de feminicidios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</si>
</sst>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5" headerRowBorderDxfId="4">
  <autoFilter ref="A1:J7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topLeftCell="A61" workbookViewId="0">
      <selection activeCell="A2" sqref="A2:H7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78</v>
      </c>
    </row>
    <row r="2" spans="1:10" x14ac:dyDescent="0.35">
      <c r="A2" s="5">
        <v>46094</v>
      </c>
      <c r="B2" t="s">
        <v>71</v>
      </c>
      <c r="C2" s="6" t="s">
        <v>90</v>
      </c>
      <c r="D2" t="s">
        <v>12</v>
      </c>
      <c r="E2" t="s">
        <v>17</v>
      </c>
      <c r="F2" t="s">
        <v>17</v>
      </c>
      <c r="G2" t="s">
        <v>84</v>
      </c>
      <c r="H2" t="s">
        <v>11</v>
      </c>
      <c r="I2" t="str">
        <f>_xlfn.XLOOKUP(Tabla1[[#This Row],[Dependencia]],Tabla2[Dependencia],Tabla2[Clasificación],"No indexado")</f>
        <v>Alcaldías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46094</v>
      </c>
      <c r="B3" t="s">
        <v>71</v>
      </c>
      <c r="C3" s="6" t="s">
        <v>91</v>
      </c>
      <c r="D3" t="s">
        <v>12</v>
      </c>
      <c r="E3" t="s">
        <v>14</v>
      </c>
      <c r="F3" t="s">
        <v>14</v>
      </c>
      <c r="G3" t="s">
        <v>92</v>
      </c>
      <c r="H3" t="s">
        <v>11</v>
      </c>
      <c r="I3" t="str">
        <f>_xlfn.XLOOKUP(Tabla1[[#This Row],[Dependencia]],Tabla2[Dependencia],Tabla2[Clasificación],"No indexado")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46094</v>
      </c>
      <c r="B4" t="s">
        <v>71</v>
      </c>
      <c r="C4" s="6" t="s">
        <v>93</v>
      </c>
      <c r="D4" t="s">
        <v>13</v>
      </c>
      <c r="E4" t="s">
        <v>10</v>
      </c>
      <c r="F4" t="s">
        <v>10</v>
      </c>
      <c r="G4" t="s">
        <v>70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46094</v>
      </c>
      <c r="B5" t="s">
        <v>71</v>
      </c>
      <c r="C5" s="6" t="s">
        <v>94</v>
      </c>
      <c r="D5" t="s">
        <v>12</v>
      </c>
      <c r="E5" t="s">
        <v>10</v>
      </c>
      <c r="F5" t="s">
        <v>10</v>
      </c>
      <c r="G5" t="s">
        <v>95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46094</v>
      </c>
      <c r="B6" t="s">
        <v>71</v>
      </c>
      <c r="C6" s="6" t="s">
        <v>96</v>
      </c>
      <c r="D6" t="s">
        <v>12</v>
      </c>
      <c r="E6" t="s">
        <v>10</v>
      </c>
      <c r="F6" t="s">
        <v>10</v>
      </c>
      <c r="G6" t="s">
        <v>70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46094</v>
      </c>
      <c r="B7" t="s">
        <v>71</v>
      </c>
      <c r="C7" s="6" t="s">
        <v>97</v>
      </c>
      <c r="D7" t="s">
        <v>12</v>
      </c>
      <c r="E7" t="s">
        <v>10</v>
      </c>
      <c r="F7" t="s">
        <v>10</v>
      </c>
      <c r="G7" t="s">
        <v>70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46094</v>
      </c>
      <c r="B8" t="s">
        <v>71</v>
      </c>
      <c r="C8" s="6" t="s">
        <v>98</v>
      </c>
      <c r="D8" t="s">
        <v>12</v>
      </c>
      <c r="E8" t="s">
        <v>10</v>
      </c>
      <c r="F8" t="s">
        <v>10</v>
      </c>
      <c r="G8" t="s">
        <v>70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46094</v>
      </c>
      <c r="B9" t="s">
        <v>72</v>
      </c>
      <c r="C9" s="6" t="s">
        <v>99</v>
      </c>
      <c r="D9" t="s">
        <v>13</v>
      </c>
      <c r="E9" t="s">
        <v>59</v>
      </c>
      <c r="F9" t="s">
        <v>2</v>
      </c>
      <c r="G9" t="s">
        <v>100</v>
      </c>
      <c r="H9" t="s">
        <v>26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46094</v>
      </c>
      <c r="B10" t="s">
        <v>72</v>
      </c>
      <c r="C10" s="6" t="s">
        <v>101</v>
      </c>
      <c r="D10" t="s">
        <v>9</v>
      </c>
      <c r="E10" t="s">
        <v>17</v>
      </c>
      <c r="F10" t="s">
        <v>17</v>
      </c>
      <c r="G10" t="s">
        <v>102</v>
      </c>
      <c r="H10" t="s">
        <v>11</v>
      </c>
      <c r="I10" t="str">
        <f>_xlfn.XLOOKUP(Tabla1[[#This Row],[Dependencia]],Tabla2[Dependencia],Tabla2[Clasificación],"No indexado")</f>
        <v>Alcaldías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46094</v>
      </c>
      <c r="B11" t="s">
        <v>72</v>
      </c>
      <c r="C11" s="6" t="s">
        <v>103</v>
      </c>
      <c r="D11" t="s">
        <v>12</v>
      </c>
      <c r="E11" t="s">
        <v>25</v>
      </c>
      <c r="F11" t="s">
        <v>25</v>
      </c>
      <c r="G11" t="s">
        <v>104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35">
      <c r="A12" s="5">
        <v>46094</v>
      </c>
      <c r="B12" t="s">
        <v>72</v>
      </c>
      <c r="C12" s="6" t="s">
        <v>105</v>
      </c>
      <c r="D12" t="s">
        <v>12</v>
      </c>
      <c r="E12" t="s">
        <v>17</v>
      </c>
      <c r="F12" t="s">
        <v>106</v>
      </c>
      <c r="G12" t="s">
        <v>107</v>
      </c>
      <c r="H12" t="s">
        <v>16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ht="43.5" x14ac:dyDescent="0.35">
      <c r="A13" s="5">
        <v>46094</v>
      </c>
      <c r="B13" t="s">
        <v>72</v>
      </c>
      <c r="C13" s="6" t="s">
        <v>108</v>
      </c>
      <c r="D13" t="s">
        <v>12</v>
      </c>
      <c r="E13" t="s">
        <v>39</v>
      </c>
      <c r="F13" t="s">
        <v>2</v>
      </c>
      <c r="G13" t="s">
        <v>109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5">
        <v>46094</v>
      </c>
      <c r="B14" t="s">
        <v>72</v>
      </c>
      <c r="C14" s="6" t="s">
        <v>110</v>
      </c>
      <c r="D14" t="s">
        <v>12</v>
      </c>
      <c r="E14" t="s">
        <v>17</v>
      </c>
      <c r="F14" t="s">
        <v>85</v>
      </c>
      <c r="G14" t="s">
        <v>111</v>
      </c>
      <c r="H14" t="s">
        <v>11</v>
      </c>
      <c r="I14" t="str">
        <f>_xlfn.XLOOKUP(Tabla1[[#This Row],[Dependencia]],Tabla2[Dependencia],Tabla2[Clasificación],"No indexado")</f>
        <v>Alcaldías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46094</v>
      </c>
      <c r="B15" t="s">
        <v>76</v>
      </c>
      <c r="C15" s="6" t="s">
        <v>112</v>
      </c>
      <c r="D15" t="s">
        <v>12</v>
      </c>
      <c r="E15" t="s">
        <v>10</v>
      </c>
      <c r="F15" t="s">
        <v>10</v>
      </c>
      <c r="G15" t="s">
        <v>84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46094</v>
      </c>
      <c r="B16" t="s">
        <v>76</v>
      </c>
      <c r="C16" s="6" t="s">
        <v>113</v>
      </c>
      <c r="D16" t="s">
        <v>12</v>
      </c>
      <c r="E16" t="s">
        <v>10</v>
      </c>
      <c r="F16" t="s">
        <v>10</v>
      </c>
      <c r="G16" t="s">
        <v>84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46094</v>
      </c>
      <c r="B17" t="s">
        <v>76</v>
      </c>
      <c r="C17" s="6" t="s">
        <v>114</v>
      </c>
      <c r="D17" t="s">
        <v>13</v>
      </c>
      <c r="E17" t="s">
        <v>22</v>
      </c>
      <c r="F17" t="s">
        <v>22</v>
      </c>
      <c r="G17" t="s">
        <v>115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46094</v>
      </c>
      <c r="B18" t="s">
        <v>76</v>
      </c>
      <c r="C18" s="6" t="s">
        <v>116</v>
      </c>
      <c r="D18" t="s">
        <v>9</v>
      </c>
      <c r="E18" t="s">
        <v>10</v>
      </c>
      <c r="F18" t="s">
        <v>10</v>
      </c>
      <c r="G18" t="s">
        <v>117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46094</v>
      </c>
      <c r="B19" t="s">
        <v>76</v>
      </c>
      <c r="C19" s="6" t="s">
        <v>118</v>
      </c>
      <c r="D19" t="s">
        <v>12</v>
      </c>
      <c r="E19" t="s">
        <v>64</v>
      </c>
      <c r="F19" t="s">
        <v>64</v>
      </c>
      <c r="G19" t="s">
        <v>119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46094</v>
      </c>
      <c r="B20" t="s">
        <v>76</v>
      </c>
      <c r="C20" s="6" t="s">
        <v>120</v>
      </c>
      <c r="D20" t="s">
        <v>12</v>
      </c>
      <c r="E20" t="s">
        <v>38</v>
      </c>
      <c r="F20" t="s">
        <v>121</v>
      </c>
      <c r="G20" t="s">
        <v>122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29" x14ac:dyDescent="0.35">
      <c r="A21" s="5">
        <v>46094</v>
      </c>
      <c r="B21" t="s">
        <v>73</v>
      </c>
      <c r="C21" s="6" t="s">
        <v>123</v>
      </c>
      <c r="D21" t="s">
        <v>13</v>
      </c>
      <c r="E21" t="s">
        <v>18</v>
      </c>
      <c r="F21" t="s">
        <v>18</v>
      </c>
      <c r="G21" t="s">
        <v>124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46094</v>
      </c>
      <c r="B22" t="s">
        <v>73</v>
      </c>
      <c r="C22" s="6" t="s">
        <v>125</v>
      </c>
      <c r="D22" t="s">
        <v>12</v>
      </c>
      <c r="E22" t="s">
        <v>23</v>
      </c>
      <c r="F22" t="s">
        <v>23</v>
      </c>
      <c r="G22" t="s">
        <v>86</v>
      </c>
      <c r="H22" t="s">
        <v>26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46094</v>
      </c>
      <c r="B23" t="s">
        <v>73</v>
      </c>
      <c r="C23" s="6" t="s">
        <v>126</v>
      </c>
      <c r="D23" t="s">
        <v>12</v>
      </c>
      <c r="E23" t="s">
        <v>17</v>
      </c>
      <c r="F23" t="s">
        <v>17</v>
      </c>
      <c r="G23" t="s">
        <v>111</v>
      </c>
      <c r="H23" t="s">
        <v>11</v>
      </c>
      <c r="I23" t="str">
        <f>_xlfn.XLOOKUP(Tabla1[[#This Row],[Dependencia]],Tabla2[Dependencia],Tabla2[Clasificación],"No indexado")</f>
        <v>Alcaldías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46094</v>
      </c>
      <c r="B24" t="s">
        <v>73</v>
      </c>
      <c r="C24" s="6" t="s">
        <v>127</v>
      </c>
      <c r="D24" t="s">
        <v>9</v>
      </c>
      <c r="E24" t="s">
        <v>14</v>
      </c>
      <c r="F24" t="s">
        <v>14</v>
      </c>
      <c r="G24" t="s">
        <v>83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46094</v>
      </c>
      <c r="B25" t="s">
        <v>73</v>
      </c>
      <c r="C25" s="6" t="s">
        <v>128</v>
      </c>
      <c r="D25" t="s">
        <v>12</v>
      </c>
      <c r="E25" t="s">
        <v>17</v>
      </c>
      <c r="F25" t="s">
        <v>17</v>
      </c>
      <c r="G25" t="s">
        <v>107</v>
      </c>
      <c r="H25" t="s">
        <v>11</v>
      </c>
      <c r="I25" t="str">
        <f>_xlfn.XLOOKUP(Tabla1[[#This Row],[Dependencia]],Tabla2[Dependencia],Tabla2[Clasificación],"No indexado")</f>
        <v>Alcaldías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46094</v>
      </c>
      <c r="B26" t="s">
        <v>73</v>
      </c>
      <c r="C26" s="6" t="s">
        <v>129</v>
      </c>
      <c r="D26" t="s">
        <v>12</v>
      </c>
      <c r="E26" t="s">
        <v>31</v>
      </c>
      <c r="F26" t="s">
        <v>31</v>
      </c>
      <c r="G26" t="s">
        <v>130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46094</v>
      </c>
      <c r="B27" t="s">
        <v>73</v>
      </c>
      <c r="C27" s="6" t="s">
        <v>131</v>
      </c>
      <c r="D27" t="s">
        <v>12</v>
      </c>
      <c r="E27" t="s">
        <v>10</v>
      </c>
      <c r="F27" t="s">
        <v>10</v>
      </c>
      <c r="G27" t="s">
        <v>70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46094</v>
      </c>
      <c r="B28" t="s">
        <v>73</v>
      </c>
      <c r="C28" s="6" t="s">
        <v>132</v>
      </c>
      <c r="D28" t="s">
        <v>12</v>
      </c>
      <c r="E28" t="s">
        <v>19</v>
      </c>
      <c r="F28" t="s">
        <v>19</v>
      </c>
      <c r="G28" t="s">
        <v>92</v>
      </c>
      <c r="H28" t="s">
        <v>11</v>
      </c>
      <c r="I28" t="str">
        <f>_xlfn.XLOOKUP(Tabla1[[#This Row],[Dependencia]],Tabla2[Dependencia],Tabla2[Clasificación],"No indexado")</f>
        <v>Partidos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46094</v>
      </c>
      <c r="B29" t="s">
        <v>73</v>
      </c>
      <c r="C29" s="6" t="s">
        <v>133</v>
      </c>
      <c r="D29" t="s">
        <v>12</v>
      </c>
      <c r="E29" t="s">
        <v>10</v>
      </c>
      <c r="F29" t="s">
        <v>10</v>
      </c>
      <c r="G29" t="s">
        <v>84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46094</v>
      </c>
      <c r="B30" t="s">
        <v>74</v>
      </c>
      <c r="C30" s="6" t="s">
        <v>134</v>
      </c>
      <c r="D30" t="s">
        <v>13</v>
      </c>
      <c r="E30" t="s">
        <v>17</v>
      </c>
      <c r="F30" t="s">
        <v>106</v>
      </c>
      <c r="G30" t="s">
        <v>107</v>
      </c>
      <c r="H30" t="s">
        <v>11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46094</v>
      </c>
      <c r="B31" t="s">
        <v>74</v>
      </c>
      <c r="C31" s="6" t="s">
        <v>135</v>
      </c>
      <c r="D31" t="s">
        <v>12</v>
      </c>
      <c r="E31" t="s">
        <v>15</v>
      </c>
      <c r="F31" t="s">
        <v>15</v>
      </c>
      <c r="G31" t="s">
        <v>136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46094</v>
      </c>
      <c r="B32" t="s">
        <v>74</v>
      </c>
      <c r="C32" s="6" t="s">
        <v>137</v>
      </c>
      <c r="D32" t="s">
        <v>9</v>
      </c>
      <c r="E32" t="s">
        <v>17</v>
      </c>
      <c r="F32" t="s">
        <v>17</v>
      </c>
      <c r="G32" t="s">
        <v>138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x14ac:dyDescent="0.35">
      <c r="A33" s="5">
        <v>46094</v>
      </c>
      <c r="B33" t="s">
        <v>74</v>
      </c>
      <c r="C33" s="6" t="s">
        <v>139</v>
      </c>
      <c r="D33" t="s">
        <v>12</v>
      </c>
      <c r="E33" t="s">
        <v>14</v>
      </c>
      <c r="F33" t="s">
        <v>14</v>
      </c>
      <c r="G33" t="s">
        <v>92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87" x14ac:dyDescent="0.35">
      <c r="A34" s="5">
        <v>46094</v>
      </c>
      <c r="B34" t="s">
        <v>74</v>
      </c>
      <c r="C34" s="6" t="s">
        <v>140</v>
      </c>
      <c r="D34" t="s">
        <v>12</v>
      </c>
      <c r="E34" t="s">
        <v>38</v>
      </c>
      <c r="F34" t="s">
        <v>121</v>
      </c>
      <c r="G34" t="s">
        <v>122</v>
      </c>
      <c r="H34" t="s">
        <v>16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46094</v>
      </c>
      <c r="B35" t="s">
        <v>75</v>
      </c>
      <c r="C35" s="6" t="s">
        <v>141</v>
      </c>
      <c r="D35" t="s">
        <v>13</v>
      </c>
      <c r="E35" t="s">
        <v>25</v>
      </c>
      <c r="F35" t="s">
        <v>25</v>
      </c>
      <c r="G35" t="s">
        <v>104</v>
      </c>
      <c r="H35" t="s">
        <v>26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5">
        <v>46094</v>
      </c>
      <c r="B36" t="s">
        <v>75</v>
      </c>
      <c r="C36" s="6" t="s">
        <v>142</v>
      </c>
      <c r="D36" t="s">
        <v>12</v>
      </c>
      <c r="E36" t="s">
        <v>33</v>
      </c>
      <c r="F36" t="s">
        <v>2</v>
      </c>
      <c r="G36" t="s">
        <v>83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46094</v>
      </c>
      <c r="B37" t="s">
        <v>75</v>
      </c>
      <c r="C37" s="6" t="s">
        <v>143</v>
      </c>
      <c r="D37" t="s">
        <v>12</v>
      </c>
      <c r="E37" t="s">
        <v>18</v>
      </c>
      <c r="F37" t="s">
        <v>144</v>
      </c>
      <c r="G37" t="s">
        <v>88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46094</v>
      </c>
      <c r="B38" t="s">
        <v>75</v>
      </c>
      <c r="C38" s="6" t="s">
        <v>145</v>
      </c>
      <c r="D38" t="s">
        <v>12</v>
      </c>
      <c r="E38" t="s">
        <v>24</v>
      </c>
      <c r="F38" t="s">
        <v>146</v>
      </c>
      <c r="G38" t="s">
        <v>147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46094</v>
      </c>
      <c r="B39" t="s">
        <v>77</v>
      </c>
      <c r="C39" s="6" t="s">
        <v>148</v>
      </c>
      <c r="D39" t="s">
        <v>13</v>
      </c>
      <c r="E39" t="s">
        <v>149</v>
      </c>
      <c r="F39" t="s">
        <v>150</v>
      </c>
      <c r="G39" t="s">
        <v>151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5">
        <v>46094</v>
      </c>
      <c r="B40" t="s">
        <v>77</v>
      </c>
      <c r="C40" s="6" t="s">
        <v>152</v>
      </c>
      <c r="D40" t="s">
        <v>12</v>
      </c>
      <c r="E40" t="s">
        <v>17</v>
      </c>
      <c r="F40" t="s">
        <v>17</v>
      </c>
      <c r="G40" t="s">
        <v>153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46094</v>
      </c>
      <c r="B41" t="s">
        <v>77</v>
      </c>
      <c r="C41" s="6" t="s">
        <v>154</v>
      </c>
      <c r="D41" t="s">
        <v>12</v>
      </c>
      <c r="E41" t="s">
        <v>25</v>
      </c>
      <c r="F41" t="s">
        <v>25</v>
      </c>
      <c r="G41" t="s">
        <v>104</v>
      </c>
      <c r="H41" t="s">
        <v>26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35">
      <c r="A42" s="5">
        <v>46094</v>
      </c>
      <c r="B42" t="s">
        <v>77</v>
      </c>
      <c r="C42" s="6" t="s">
        <v>155</v>
      </c>
      <c r="D42" t="s">
        <v>12</v>
      </c>
      <c r="E42" t="s">
        <v>17</v>
      </c>
      <c r="F42" t="s">
        <v>17</v>
      </c>
      <c r="G42" t="s">
        <v>156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29" x14ac:dyDescent="0.35">
      <c r="A43" s="5">
        <v>46094</v>
      </c>
      <c r="B43" t="s">
        <v>77</v>
      </c>
      <c r="C43" s="6" t="s">
        <v>157</v>
      </c>
      <c r="D43" t="s">
        <v>12</v>
      </c>
      <c r="E43" t="s">
        <v>10</v>
      </c>
      <c r="F43" t="s">
        <v>10</v>
      </c>
      <c r="G43" t="s">
        <v>70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46094</v>
      </c>
      <c r="B44" t="s">
        <v>77</v>
      </c>
      <c r="C44" s="6" t="s">
        <v>158</v>
      </c>
      <c r="D44" t="s">
        <v>12</v>
      </c>
      <c r="E44" t="s">
        <v>14</v>
      </c>
      <c r="F44" t="s">
        <v>159</v>
      </c>
      <c r="G44" t="s">
        <v>160</v>
      </c>
      <c r="H44" t="s">
        <v>16</v>
      </c>
      <c r="I44" t="str">
        <f>_xlfn.XLOOKUP(Tabla1[[#This Row],[Dependencia]],Tabla2[Dependencia],Tabla2[Clasificación],"No indexado")</f>
        <v>Presidencia de la República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46094</v>
      </c>
      <c r="B45" t="s">
        <v>30</v>
      </c>
      <c r="C45" s="6" t="s">
        <v>161</v>
      </c>
      <c r="D45" t="s">
        <v>12</v>
      </c>
      <c r="E45" t="s">
        <v>17</v>
      </c>
      <c r="F45" t="s">
        <v>85</v>
      </c>
      <c r="G45" t="s">
        <v>111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46094</v>
      </c>
      <c r="B46" t="s">
        <v>30</v>
      </c>
      <c r="C46" s="6" t="s">
        <v>162</v>
      </c>
      <c r="D46" t="s">
        <v>13</v>
      </c>
      <c r="E46" t="s">
        <v>14</v>
      </c>
      <c r="F46" t="s">
        <v>14</v>
      </c>
      <c r="G46" t="s">
        <v>92</v>
      </c>
      <c r="H46" t="s">
        <v>11</v>
      </c>
      <c r="I46" t="str">
        <f>_xlfn.XLOOKUP(Tabla1[[#This Row],[Dependencia]],Tabla2[Dependencia],Tabla2[Clasificación],"No indexado")</f>
        <v>Presidencia de la República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46094</v>
      </c>
      <c r="B47" t="s">
        <v>30</v>
      </c>
      <c r="C47" s="6" t="s">
        <v>163</v>
      </c>
      <c r="D47" t="s">
        <v>12</v>
      </c>
      <c r="E47" t="s">
        <v>17</v>
      </c>
      <c r="F47" t="s">
        <v>17</v>
      </c>
      <c r="G47" t="s">
        <v>164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46094</v>
      </c>
      <c r="B48" t="s">
        <v>30</v>
      </c>
      <c r="C48" s="6" t="s">
        <v>165</v>
      </c>
      <c r="D48" t="s">
        <v>9</v>
      </c>
      <c r="E48" t="s">
        <v>14</v>
      </c>
      <c r="F48" t="s">
        <v>166</v>
      </c>
      <c r="G48" t="s">
        <v>167</v>
      </c>
      <c r="H48" t="s">
        <v>16</v>
      </c>
      <c r="I48" t="str">
        <f>_xlfn.XLOOKUP(Tabla1[[#This Row],[Dependencia]],Tabla2[Dependencia],Tabla2[Clasificación],"No indexado")</f>
        <v>Presidencia de la República</v>
      </c>
      <c r="J48" t="str">
        <f>_xlfn.XLOOKUP(Tabla1[[#This Row],[Dependencia]],Tabla3[Dependencia],Tabla3[Nivel],"otros",0)</f>
        <v>otros</v>
      </c>
    </row>
    <row r="49" spans="1:10" x14ac:dyDescent="0.35">
      <c r="A49" s="5">
        <v>46094</v>
      </c>
      <c r="B49" t="s">
        <v>30</v>
      </c>
      <c r="C49" s="6" t="s">
        <v>168</v>
      </c>
      <c r="D49" t="s">
        <v>89</v>
      </c>
      <c r="E49" t="s">
        <v>48</v>
      </c>
      <c r="F49" t="s">
        <v>48</v>
      </c>
      <c r="G49" t="s">
        <v>87</v>
      </c>
      <c r="H49" t="s">
        <v>16</v>
      </c>
      <c r="I49" t="str">
        <f>_xlfn.XLOOKUP(Tabla1[[#This Row],[Dependencia]],Tabla2[Dependencia],Tabla2[Clasificación],"No indexado")</f>
        <v>Partidos</v>
      </c>
      <c r="J49" t="str">
        <f>_xlfn.XLOOKUP(Tabla1[[#This Row],[Dependencia]],Tabla3[Dependencia],Tabla3[Nivel],"otros",0)</f>
        <v>otros</v>
      </c>
    </row>
    <row r="50" spans="1:10" x14ac:dyDescent="0.35">
      <c r="A50" s="5">
        <v>46094</v>
      </c>
      <c r="B50" t="s">
        <v>30</v>
      </c>
      <c r="C50" s="6" t="s">
        <v>169</v>
      </c>
      <c r="D50" t="s">
        <v>12</v>
      </c>
      <c r="E50" t="s">
        <v>17</v>
      </c>
      <c r="F50" t="s">
        <v>85</v>
      </c>
      <c r="G50" t="s">
        <v>170</v>
      </c>
      <c r="H50" t="s">
        <v>16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46094</v>
      </c>
      <c r="B51" t="s">
        <v>30</v>
      </c>
      <c r="C51" s="6" t="s">
        <v>171</v>
      </c>
      <c r="D51" t="s">
        <v>12</v>
      </c>
      <c r="E51" t="s">
        <v>25</v>
      </c>
      <c r="F51" t="s">
        <v>25</v>
      </c>
      <c r="G51" t="s">
        <v>104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29" x14ac:dyDescent="0.35">
      <c r="A52" s="5">
        <v>46094</v>
      </c>
      <c r="B52" t="s">
        <v>30</v>
      </c>
      <c r="C52" s="6" t="s">
        <v>172</v>
      </c>
      <c r="D52" t="s">
        <v>12</v>
      </c>
      <c r="E52" t="s">
        <v>10</v>
      </c>
      <c r="F52" t="s">
        <v>10</v>
      </c>
      <c r="G52" t="s">
        <v>87</v>
      </c>
      <c r="H52" t="s">
        <v>16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46094</v>
      </c>
      <c r="B53" t="s">
        <v>79</v>
      </c>
      <c r="C53" s="6" t="s">
        <v>173</v>
      </c>
      <c r="D53" t="s">
        <v>81</v>
      </c>
      <c r="E53" t="s">
        <v>24</v>
      </c>
      <c r="F53" t="s">
        <v>146</v>
      </c>
      <c r="G53" t="s">
        <v>147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46094</v>
      </c>
      <c r="B54" t="s">
        <v>79</v>
      </c>
      <c r="C54" s="6" t="s">
        <v>174</v>
      </c>
      <c r="D54" t="s">
        <v>12</v>
      </c>
      <c r="E54" t="s">
        <v>17</v>
      </c>
      <c r="F54" t="s">
        <v>85</v>
      </c>
      <c r="G54" t="s">
        <v>175</v>
      </c>
      <c r="H54" t="s">
        <v>26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46094</v>
      </c>
      <c r="B55" t="s">
        <v>79</v>
      </c>
      <c r="C55" s="6" t="s">
        <v>176</v>
      </c>
      <c r="D55" t="s">
        <v>13</v>
      </c>
      <c r="E55" t="s">
        <v>25</v>
      </c>
      <c r="F55" t="s">
        <v>25</v>
      </c>
      <c r="G55" t="s">
        <v>104</v>
      </c>
      <c r="H55" t="s">
        <v>26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x14ac:dyDescent="0.35">
      <c r="A56" s="5">
        <v>46094</v>
      </c>
      <c r="B56" t="s">
        <v>79</v>
      </c>
      <c r="C56" s="6" t="s">
        <v>177</v>
      </c>
      <c r="D56" t="s">
        <v>12</v>
      </c>
      <c r="E56" t="s">
        <v>17</v>
      </c>
      <c r="F56" t="s">
        <v>17</v>
      </c>
      <c r="G56" t="s">
        <v>178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46094</v>
      </c>
      <c r="B57" t="s">
        <v>79</v>
      </c>
      <c r="C57" s="6" t="s">
        <v>179</v>
      </c>
      <c r="D57" t="s">
        <v>12</v>
      </c>
      <c r="E57" t="s">
        <v>24</v>
      </c>
      <c r="F57" t="s">
        <v>2</v>
      </c>
      <c r="G57" t="s">
        <v>180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46094</v>
      </c>
      <c r="B58" t="s">
        <v>79</v>
      </c>
      <c r="C58" s="6" t="s">
        <v>181</v>
      </c>
      <c r="D58" t="s">
        <v>12</v>
      </c>
      <c r="E58" t="s">
        <v>17</v>
      </c>
      <c r="F58" t="s">
        <v>85</v>
      </c>
      <c r="G58" t="s">
        <v>175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46094</v>
      </c>
      <c r="B59" t="s">
        <v>79</v>
      </c>
      <c r="C59" s="6" t="s">
        <v>182</v>
      </c>
      <c r="D59" t="s">
        <v>12</v>
      </c>
      <c r="E59" t="s">
        <v>10</v>
      </c>
      <c r="F59" t="s">
        <v>10</v>
      </c>
      <c r="G59" t="s">
        <v>70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46094</v>
      </c>
      <c r="B60" t="s">
        <v>79</v>
      </c>
      <c r="C60" s="6" t="s">
        <v>183</v>
      </c>
      <c r="D60" t="s">
        <v>12</v>
      </c>
      <c r="E60" t="s">
        <v>25</v>
      </c>
      <c r="F60" t="s">
        <v>25</v>
      </c>
      <c r="G60" t="s">
        <v>184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ht="29" x14ac:dyDescent="0.35">
      <c r="A61" s="5">
        <v>46094</v>
      </c>
      <c r="B61" t="s">
        <v>29</v>
      </c>
      <c r="C61" s="6" t="s">
        <v>154</v>
      </c>
      <c r="D61" t="s">
        <v>13</v>
      </c>
      <c r="E61" t="s">
        <v>25</v>
      </c>
      <c r="F61" t="s">
        <v>25</v>
      </c>
      <c r="G61" t="s">
        <v>104</v>
      </c>
      <c r="H61" t="s">
        <v>26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35">
      <c r="A62" s="5">
        <v>46094</v>
      </c>
      <c r="B62" t="s">
        <v>29</v>
      </c>
      <c r="C62" s="6" t="s">
        <v>185</v>
      </c>
      <c r="D62" t="s">
        <v>12</v>
      </c>
      <c r="E62" t="s">
        <v>24</v>
      </c>
      <c r="F62" t="s">
        <v>146</v>
      </c>
      <c r="G62" t="s">
        <v>147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29" x14ac:dyDescent="0.35">
      <c r="A63" s="5">
        <v>46094</v>
      </c>
      <c r="B63" t="s">
        <v>29</v>
      </c>
      <c r="C63" s="6" t="s">
        <v>186</v>
      </c>
      <c r="D63" t="s">
        <v>12</v>
      </c>
      <c r="E63" t="s">
        <v>20</v>
      </c>
      <c r="F63" t="s">
        <v>2</v>
      </c>
      <c r="G63" t="s">
        <v>187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5">
        <v>46094</v>
      </c>
      <c r="B64" t="s">
        <v>29</v>
      </c>
      <c r="C64" s="6" t="s">
        <v>188</v>
      </c>
      <c r="D64" t="s">
        <v>12</v>
      </c>
      <c r="E64" t="s">
        <v>14</v>
      </c>
      <c r="F64" t="s">
        <v>14</v>
      </c>
      <c r="G64" t="s">
        <v>189</v>
      </c>
      <c r="H64" t="s">
        <v>11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  <row r="65" spans="1:10" ht="29" x14ac:dyDescent="0.35">
      <c r="A65" s="5">
        <v>46094</v>
      </c>
      <c r="B65" t="s">
        <v>29</v>
      </c>
      <c r="C65" s="6" t="s">
        <v>190</v>
      </c>
      <c r="D65" t="s">
        <v>12</v>
      </c>
      <c r="E65" t="s">
        <v>33</v>
      </c>
      <c r="F65" t="s">
        <v>2</v>
      </c>
      <c r="G65" t="s">
        <v>83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5">
        <v>46094</v>
      </c>
      <c r="B66" t="s">
        <v>29</v>
      </c>
      <c r="C66" s="6" t="s">
        <v>191</v>
      </c>
      <c r="D66" t="s">
        <v>12</v>
      </c>
      <c r="E66" t="s">
        <v>10</v>
      </c>
      <c r="F66" t="s">
        <v>10</v>
      </c>
      <c r="G66" t="s">
        <v>84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46094</v>
      </c>
      <c r="B67" t="s">
        <v>82</v>
      </c>
      <c r="C67" s="6" t="s">
        <v>192</v>
      </c>
      <c r="D67" t="s">
        <v>13</v>
      </c>
      <c r="E67" t="s">
        <v>23</v>
      </c>
      <c r="F67" t="s">
        <v>23</v>
      </c>
      <c r="G67" t="s">
        <v>86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35">
      <c r="A68" s="5">
        <v>46094</v>
      </c>
      <c r="B68" t="s">
        <v>82</v>
      </c>
      <c r="C68" s="6" t="s">
        <v>193</v>
      </c>
      <c r="D68" t="s">
        <v>12</v>
      </c>
      <c r="E68" t="s">
        <v>23</v>
      </c>
      <c r="F68" t="s">
        <v>23</v>
      </c>
      <c r="G68" t="s">
        <v>124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ht="43.5" x14ac:dyDescent="0.35">
      <c r="A69" s="5">
        <v>46094</v>
      </c>
      <c r="B69" t="s">
        <v>82</v>
      </c>
      <c r="C69" s="6" t="s">
        <v>194</v>
      </c>
      <c r="D69" t="s">
        <v>89</v>
      </c>
      <c r="E69" t="s">
        <v>19</v>
      </c>
      <c r="F69" t="s">
        <v>19</v>
      </c>
      <c r="G69" t="s">
        <v>87</v>
      </c>
      <c r="H69" t="s">
        <v>11</v>
      </c>
      <c r="I69" t="str">
        <f>_xlfn.XLOOKUP(Tabla1[[#This Row],[Dependencia]],Tabla2[Dependencia],Tabla2[Clasificación],"No indexado")</f>
        <v>Partidos</v>
      </c>
      <c r="J69" t="str">
        <f>_xlfn.XLOOKUP(Tabla1[[#This Row],[Dependencia]],Tabla3[Dependencia],Tabla3[Nivel],"otros",0)</f>
        <v>otros</v>
      </c>
    </row>
    <row r="70" spans="1:10" x14ac:dyDescent="0.35">
      <c r="A70" s="5">
        <v>46094</v>
      </c>
      <c r="B70" t="s">
        <v>82</v>
      </c>
      <c r="C70" s="6" t="s">
        <v>195</v>
      </c>
      <c r="D70" t="s">
        <v>12</v>
      </c>
      <c r="E70" t="s">
        <v>25</v>
      </c>
      <c r="F70" t="s">
        <v>25</v>
      </c>
      <c r="G70" t="s">
        <v>104</v>
      </c>
      <c r="H70" t="s">
        <v>11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Gobernador</v>
      </c>
    </row>
    <row r="71" spans="1:10" x14ac:dyDescent="0.35">
      <c r="A71" s="5">
        <v>46094</v>
      </c>
      <c r="B71" t="s">
        <v>82</v>
      </c>
      <c r="C71" s="6" t="s">
        <v>196</v>
      </c>
      <c r="D71" t="s">
        <v>12</v>
      </c>
      <c r="E71" t="s">
        <v>38</v>
      </c>
      <c r="F71" t="s">
        <v>38</v>
      </c>
      <c r="G71" t="s">
        <v>102</v>
      </c>
      <c r="H71" t="s">
        <v>11</v>
      </c>
      <c r="I71" t="str">
        <f>_xlfn.XLOOKUP(Tabla1[[#This Row],[Dependencia]],Tabla2[Dependencia],Tabla2[Clasificación],"No indexado")</f>
        <v>Otros</v>
      </c>
      <c r="J7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34</v>
      </c>
      <c r="D1" s="8" t="s">
        <v>4</v>
      </c>
      <c r="E1" t="s">
        <v>78</v>
      </c>
    </row>
    <row r="2" spans="1:5" x14ac:dyDescent="0.35">
      <c r="A2" t="s">
        <v>66</v>
      </c>
      <c r="B2" t="s">
        <v>67</v>
      </c>
      <c r="D2" s="10" t="s">
        <v>20</v>
      </c>
      <c r="E2" t="s">
        <v>80</v>
      </c>
    </row>
    <row r="3" spans="1:5" x14ac:dyDescent="0.35">
      <c r="A3" t="s">
        <v>17</v>
      </c>
      <c r="B3" t="s">
        <v>35</v>
      </c>
      <c r="D3" s="9" t="s">
        <v>37</v>
      </c>
      <c r="E3" t="s">
        <v>80</v>
      </c>
    </row>
    <row r="4" spans="1:5" x14ac:dyDescent="0.35">
      <c r="A4" t="s">
        <v>20</v>
      </c>
      <c r="B4" t="s">
        <v>36</v>
      </c>
      <c r="D4" s="9" t="s">
        <v>39</v>
      </c>
      <c r="E4" t="s">
        <v>80</v>
      </c>
    </row>
    <row r="5" spans="1:5" x14ac:dyDescent="0.35">
      <c r="A5" t="s">
        <v>65</v>
      </c>
      <c r="B5" t="s">
        <v>10</v>
      </c>
      <c r="D5" s="10" t="s">
        <v>32</v>
      </c>
      <c r="E5" t="s">
        <v>80</v>
      </c>
    </row>
    <row r="6" spans="1:5" x14ac:dyDescent="0.35">
      <c r="A6" t="s">
        <v>37</v>
      </c>
      <c r="B6" t="s">
        <v>36</v>
      </c>
      <c r="D6" s="10" t="s">
        <v>40</v>
      </c>
      <c r="E6" t="s">
        <v>80</v>
      </c>
    </row>
    <row r="7" spans="1:5" x14ac:dyDescent="0.35">
      <c r="A7" t="s">
        <v>38</v>
      </c>
      <c r="B7" t="s">
        <v>10</v>
      </c>
      <c r="D7" s="9" t="s">
        <v>41</v>
      </c>
      <c r="E7" t="s">
        <v>80</v>
      </c>
    </row>
    <row r="8" spans="1:5" x14ac:dyDescent="0.35">
      <c r="A8" t="s">
        <v>39</v>
      </c>
      <c r="B8" t="s">
        <v>36</v>
      </c>
      <c r="D8" s="9" t="s">
        <v>41</v>
      </c>
      <c r="E8" t="s">
        <v>80</v>
      </c>
    </row>
    <row r="9" spans="1:5" x14ac:dyDescent="0.35">
      <c r="A9" t="s">
        <v>32</v>
      </c>
      <c r="B9" t="s">
        <v>36</v>
      </c>
      <c r="D9" s="9" t="s">
        <v>42</v>
      </c>
      <c r="E9" t="s">
        <v>80</v>
      </c>
    </row>
    <row r="10" spans="1:5" x14ac:dyDescent="0.3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40</v>
      </c>
      <c r="B11" t="s">
        <v>36</v>
      </c>
      <c r="D11" s="9" t="s">
        <v>43</v>
      </c>
      <c r="E11" t="s">
        <v>80</v>
      </c>
    </row>
    <row r="12" spans="1:5" x14ac:dyDescent="0.35">
      <c r="A12" t="s">
        <v>41</v>
      </c>
      <c r="B12" t="s">
        <v>36</v>
      </c>
      <c r="D12" s="10" t="s">
        <v>44</v>
      </c>
      <c r="E12" t="s">
        <v>80</v>
      </c>
    </row>
    <row r="13" spans="1:5" x14ac:dyDescent="0.35">
      <c r="A13" t="s">
        <v>41</v>
      </c>
      <c r="B13" t="s">
        <v>36</v>
      </c>
      <c r="D13" s="10" t="s">
        <v>44</v>
      </c>
      <c r="E13" t="s">
        <v>80</v>
      </c>
    </row>
    <row r="14" spans="1:5" x14ac:dyDescent="0.35">
      <c r="A14" t="s">
        <v>68</v>
      </c>
      <c r="B14" t="s">
        <v>49</v>
      </c>
      <c r="D14" s="9" t="s">
        <v>22</v>
      </c>
      <c r="E14" t="s">
        <v>80</v>
      </c>
    </row>
    <row r="15" spans="1:5" x14ac:dyDescent="0.35">
      <c r="A15" t="s">
        <v>42</v>
      </c>
      <c r="B15" t="s">
        <v>36</v>
      </c>
      <c r="D15" s="10" t="s">
        <v>18</v>
      </c>
      <c r="E15" t="s">
        <v>80</v>
      </c>
    </row>
    <row r="16" spans="1:5" x14ac:dyDescent="0.35">
      <c r="A16" t="s">
        <v>25</v>
      </c>
      <c r="B16" t="s">
        <v>36</v>
      </c>
      <c r="D16" s="9" t="s">
        <v>52</v>
      </c>
      <c r="E16" t="s">
        <v>80</v>
      </c>
    </row>
    <row r="17" spans="1:5" x14ac:dyDescent="0.35">
      <c r="A17" t="s">
        <v>43</v>
      </c>
      <c r="B17" t="s">
        <v>36</v>
      </c>
      <c r="D17" s="9" t="s">
        <v>58</v>
      </c>
      <c r="E17" t="s">
        <v>80</v>
      </c>
    </row>
    <row r="18" spans="1:5" x14ac:dyDescent="0.35">
      <c r="A18" t="s">
        <v>44</v>
      </c>
      <c r="B18" t="s">
        <v>36</v>
      </c>
      <c r="D18" s="9" t="s">
        <v>59</v>
      </c>
      <c r="E18" t="s">
        <v>80</v>
      </c>
    </row>
    <row r="19" spans="1:5" x14ac:dyDescent="0.35">
      <c r="A19" t="s">
        <v>45</v>
      </c>
      <c r="B19" t="s">
        <v>10</v>
      </c>
      <c r="D19" s="9" t="s">
        <v>24</v>
      </c>
      <c r="E19" t="s">
        <v>80</v>
      </c>
    </row>
    <row r="20" spans="1:5" x14ac:dyDescent="0.35">
      <c r="A20" t="s">
        <v>46</v>
      </c>
      <c r="B20" t="s">
        <v>47</v>
      </c>
      <c r="D20" s="10" t="s">
        <v>21</v>
      </c>
      <c r="E20" t="s">
        <v>80</v>
      </c>
    </row>
    <row r="21" spans="1:5" x14ac:dyDescent="0.35">
      <c r="A21" t="s">
        <v>48</v>
      </c>
      <c r="B21" t="s">
        <v>49</v>
      </c>
      <c r="D21" s="9" t="s">
        <v>31</v>
      </c>
      <c r="E21" t="s">
        <v>80</v>
      </c>
    </row>
    <row r="22" spans="1:5" x14ac:dyDescent="0.35">
      <c r="A22" t="s">
        <v>19</v>
      </c>
      <c r="B22" t="s">
        <v>49</v>
      </c>
      <c r="D22" s="10" t="s">
        <v>28</v>
      </c>
      <c r="E22" t="s">
        <v>80</v>
      </c>
    </row>
    <row r="23" spans="1:5" x14ac:dyDescent="0.35">
      <c r="A23" t="s">
        <v>22</v>
      </c>
      <c r="B23" t="s">
        <v>36</v>
      </c>
      <c r="D23" s="9" t="s">
        <v>60</v>
      </c>
      <c r="E23" t="s">
        <v>80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80</v>
      </c>
    </row>
    <row r="25" spans="1:5" x14ac:dyDescent="0.35">
      <c r="A25" t="s">
        <v>50</v>
      </c>
      <c r="B25" t="s">
        <v>49</v>
      </c>
      <c r="D25" s="10" t="s">
        <v>23</v>
      </c>
      <c r="E25" t="s">
        <v>80</v>
      </c>
    </row>
    <row r="26" spans="1:5" x14ac:dyDescent="0.35">
      <c r="A26" t="s">
        <v>51</v>
      </c>
      <c r="B26" t="s">
        <v>49</v>
      </c>
      <c r="D26" s="9" t="s">
        <v>61</v>
      </c>
      <c r="E26" t="s">
        <v>80</v>
      </c>
    </row>
    <row r="27" spans="1:5" x14ac:dyDescent="0.35">
      <c r="A27" t="s">
        <v>69</v>
      </c>
      <c r="B27" t="s">
        <v>49</v>
      </c>
      <c r="D27" s="11" t="s">
        <v>33</v>
      </c>
      <c r="E27" t="s">
        <v>80</v>
      </c>
    </row>
    <row r="28" spans="1:5" x14ac:dyDescent="0.35">
      <c r="A28" t="s">
        <v>18</v>
      </c>
      <c r="B28" t="s">
        <v>36</v>
      </c>
    </row>
    <row r="29" spans="1:5" x14ac:dyDescent="0.35">
      <c r="A29" t="s">
        <v>52</v>
      </c>
      <c r="B29" t="s">
        <v>36</v>
      </c>
    </row>
    <row r="30" spans="1:5" x14ac:dyDescent="0.35">
      <c r="A30" t="s">
        <v>53</v>
      </c>
      <c r="B30" t="s">
        <v>49</v>
      </c>
    </row>
    <row r="31" spans="1:5" x14ac:dyDescent="0.35">
      <c r="A31" t="s">
        <v>14</v>
      </c>
      <c r="B31" t="s">
        <v>54</v>
      </c>
    </row>
    <row r="32" spans="1:5" x14ac:dyDescent="0.35">
      <c r="A32" t="s">
        <v>55</v>
      </c>
      <c r="B32" t="s">
        <v>49</v>
      </c>
    </row>
    <row r="33" spans="1:2" x14ac:dyDescent="0.35">
      <c r="A33" t="s">
        <v>56</v>
      </c>
      <c r="B33" t="s">
        <v>49</v>
      </c>
    </row>
    <row r="34" spans="1:2" x14ac:dyDescent="0.35">
      <c r="A34" t="s">
        <v>57</v>
      </c>
      <c r="B34" t="s">
        <v>49</v>
      </c>
    </row>
    <row r="35" spans="1:2" x14ac:dyDescent="0.35">
      <c r="A35" t="s">
        <v>58</v>
      </c>
      <c r="B35" t="s">
        <v>36</v>
      </c>
    </row>
    <row r="36" spans="1:2" x14ac:dyDescent="0.35">
      <c r="A36" t="s">
        <v>59</v>
      </c>
      <c r="B36" t="s">
        <v>36</v>
      </c>
    </row>
    <row r="37" spans="1:2" x14ac:dyDescent="0.35">
      <c r="A37" t="s">
        <v>24</v>
      </c>
      <c r="B37" t="s">
        <v>36</v>
      </c>
    </row>
    <row r="38" spans="1:2" x14ac:dyDescent="0.35">
      <c r="A38" t="s">
        <v>21</v>
      </c>
      <c r="B38" t="s">
        <v>36</v>
      </c>
    </row>
    <row r="39" spans="1:2" x14ac:dyDescent="0.35">
      <c r="A39" t="s">
        <v>31</v>
      </c>
      <c r="B39" t="s">
        <v>36</v>
      </c>
    </row>
    <row r="40" spans="1:2" x14ac:dyDescent="0.35">
      <c r="A40" t="s">
        <v>28</v>
      </c>
      <c r="B40" t="s">
        <v>36</v>
      </c>
    </row>
    <row r="41" spans="1:2" x14ac:dyDescent="0.35">
      <c r="A41" t="s">
        <v>60</v>
      </c>
      <c r="B41" t="s">
        <v>36</v>
      </c>
    </row>
    <row r="42" spans="1:2" x14ac:dyDescent="0.35">
      <c r="A42" t="s">
        <v>15</v>
      </c>
      <c r="B42" t="s">
        <v>36</v>
      </c>
    </row>
    <row r="43" spans="1:2" x14ac:dyDescent="0.35">
      <c r="A43" t="s">
        <v>23</v>
      </c>
      <c r="B43" t="s">
        <v>36</v>
      </c>
    </row>
    <row r="44" spans="1:2" x14ac:dyDescent="0.35">
      <c r="A44" t="s">
        <v>61</v>
      </c>
      <c r="B44" t="s">
        <v>36</v>
      </c>
    </row>
    <row r="45" spans="1:2" x14ac:dyDescent="0.35">
      <c r="A45" t="s">
        <v>62</v>
      </c>
      <c r="B45" t="s">
        <v>10</v>
      </c>
    </row>
    <row r="46" spans="1:2" x14ac:dyDescent="0.35">
      <c r="A46" t="s">
        <v>63</v>
      </c>
      <c r="B46" t="s">
        <v>10</v>
      </c>
    </row>
    <row r="47" spans="1:2" x14ac:dyDescent="0.35">
      <c r="A47" t="s">
        <v>33</v>
      </c>
      <c r="B47" t="s">
        <v>36</v>
      </c>
    </row>
    <row r="48" spans="1:2" x14ac:dyDescent="0.35">
      <c r="A48" t="s">
        <v>64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2026-03-13T19:01:42Z</dcterms:modified>
</cp:coreProperties>
</file>