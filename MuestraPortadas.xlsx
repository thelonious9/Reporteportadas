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DAB49333-25AF-442A-A926-F1652B96C913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I2" i="1"/>
  <c r="J2" i="1"/>
</calcChain>
</file>

<file path=xl/sharedStrings.xml><?xml version="1.0" encoding="utf-8"?>
<sst xmlns="http://schemas.openxmlformats.org/spreadsheetml/2006/main" count="594" uniqueCount="184">
  <si>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</si>
  <si>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</si>
  <si>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</si>
  <si>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</si>
  <si>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</si>
  <si>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</si>
  <si>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</si>
  <si>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</si>
  <si>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</si>
  <si>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</si>
  <si>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</si>
  <si>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</si>
  <si>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</si>
  <si>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</si>
  <si>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</si>
  <si>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</si>
  <si>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</si>
  <si>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</si>
  <si>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</si>
  <si>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</si>
  <si>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</si>
  <si>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</si>
  <si>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</si>
  <si>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</si>
  <si>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</si>
  <si>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</si>
  <si>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</si>
  <si>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</si>
  <si>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</si>
  <si>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</si>
  <si>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</si>
  <si>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</si>
  <si>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</si>
  <si>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</si>
  <si>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</si>
  <si>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</si>
  <si>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</si>
  <si>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</si>
  <si>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</si>
  <si>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</si>
  <si>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</si>
  <si>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</si>
  <si>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</si>
  <si>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</si>
  <si>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</si>
  <si>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</si>
  <si>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</si>
  <si>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</si>
  <si>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</si>
  <si>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</si>
  <si>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</si>
  <si>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</si>
  <si>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</si>
  <si>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</si>
  <si>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</si>
  <si>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</si>
  <si>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</si>
  <si>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</si>
  <si>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</si>
  <si>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</si>
  <si>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</si>
  <si>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</si>
  <si>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</si>
  <si>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</si>
  <si>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</si>
  <si>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</si>
  <si>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</si>
  <si>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</si>
  <si>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</si>
  <si>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</si>
  <si>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</si>
  <si>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La Jornada Hidalgo</t>
  </si>
  <si>
    <t>Síntesis</t>
  </si>
  <si>
    <t>Criterio</t>
  </si>
  <si>
    <t>Nivel</t>
  </si>
  <si>
    <t>Gabinete</t>
  </si>
  <si>
    <t>Deportes</t>
  </si>
  <si>
    <t>Milenio Hidalgo</t>
  </si>
  <si>
    <t>Publicidad</t>
  </si>
  <si>
    <t>Publicidad gubernamental</t>
  </si>
  <si>
    <t>Marfeca</t>
  </si>
  <si>
    <t>Plaza Juárez</t>
  </si>
  <si>
    <t>Zunoticia</t>
  </si>
  <si>
    <t>Policía municipal</t>
  </si>
  <si>
    <t>Sipdus</t>
  </si>
  <si>
    <t>El Sol de Hidalgo</t>
  </si>
  <si>
    <t>Alcalde</t>
  </si>
  <si>
    <t>Sitmah</t>
  </si>
  <si>
    <t>Effetá</t>
  </si>
  <si>
    <t>Exalcalde</t>
  </si>
  <si>
    <t>Amparo</t>
  </si>
  <si>
    <t>Incendio de basurero</t>
  </si>
  <si>
    <t>Aumento Tarifa De Transporte</t>
  </si>
  <si>
    <t>Deficiencias Tuzobús</t>
  </si>
  <si>
    <t>Disposición de basura</t>
  </si>
  <si>
    <t>Detención</t>
  </si>
  <si>
    <t>Juventud evade hablar sobre muerte</t>
  </si>
  <si>
    <t>Regulación de tauromaquia debe definirse en Congreso</t>
  </si>
  <si>
    <t>Tauromaquia</t>
  </si>
  <si>
    <t>Exigen rehabilitación de calles en El Salitre</t>
  </si>
  <si>
    <t>Exigen rehabilitación vial</t>
  </si>
  <si>
    <t>Anuncian paro en transporte público</t>
  </si>
  <si>
    <t>Paro laboral</t>
  </si>
  <si>
    <t>Salud sexual enfrenta desafíos</t>
  </si>
  <si>
    <t>Salud sexual</t>
  </si>
  <si>
    <t>Gobernador inicia colecta de Cruz Roja</t>
  </si>
  <si>
    <t>Cruz Roja</t>
  </si>
  <si>
    <t>Gobernador da inicio en Hidalgo a la colecta 2026 de la Cruz Roja</t>
  </si>
  <si>
    <t>Arde la basura</t>
  </si>
  <si>
    <t>PC</t>
  </si>
  <si>
    <t>De 163 aspirantes al IEEH, uno quedó</t>
  </si>
  <si>
    <t>Consejeros Electorales</t>
  </si>
  <si>
    <t>Morena Hidalgo impulsa regular sueldos altos en municipios</t>
  </si>
  <si>
    <t>Tabulador salarial</t>
  </si>
  <si>
    <t>Buscan librar multas del INE</t>
  </si>
  <si>
    <t>PRI</t>
  </si>
  <si>
    <t>Multas INE</t>
  </si>
  <si>
    <t>Si no todas, casi todas las miradas del mundo han estado dirigidas al cielo y esto es por el vuelo del Artemis II que tiene a una mujer en su tripulación...</t>
  </si>
  <si>
    <t>MONARCAS ENTRE  DOS TRINCHERAS</t>
  </si>
  <si>
    <t>Dan golpe rumbo a las seminifinales</t>
  </si>
  <si>
    <t>A MARCHAS  FORZADAS, LA  REHABILITACIÓN  DE C. MORELOS</t>
  </si>
  <si>
    <t>Rehabilitación Vial</t>
  </si>
  <si>
    <t>Las vacaciones elevan el riesgo de contagios de sarampión: SSH</t>
  </si>
  <si>
    <t>Sarampión</t>
  </si>
  <si>
    <t>BUSCARÁ JMS  “DESTRABAR” EL  TEMA TAURINO  EN CONGRESO</t>
  </si>
  <si>
    <t>BÚSQUEDA DE DROGAS Y PERSONAS, LABORES DE LA UNIDAD CANINA</t>
  </si>
  <si>
    <t>Combate a la delincuencia</t>
  </si>
  <si>
    <t>Está en proceso la ley de austeridad estatal: Rico</t>
  </si>
  <si>
    <t>Austeridad</t>
  </si>
  <si>
    <t>Tuzobús pierde 16 millones de usuarios y reduce servicio</t>
  </si>
  <si>
    <t>Julio Menchaca promete el arribo de camiones en mayo</t>
  </si>
  <si>
    <t>Modernización Tuzobús</t>
  </si>
  <si>
    <t>Reprueban condiciones en las que se desplazan</t>
  </si>
  <si>
    <t>Van por 7.5 millones de pesos para la Cruz Roja</t>
  </si>
  <si>
    <t>Productores buscan impulsar economía del maguey</t>
  </si>
  <si>
    <t>Lider Pachuca evaluación de desempeño que realiza la ASEH</t>
  </si>
  <si>
    <t>ASEH</t>
  </si>
  <si>
    <t>Índice de desempeño municipal</t>
  </si>
  <si>
    <t>Claudia Sheinbaum sondea uso de fracking para bajar la dependencia del gas</t>
  </si>
  <si>
    <t>Fracking</t>
  </si>
  <si>
    <t>Más adultos de 50 años o más, activos en redes</t>
  </si>
  <si>
    <t>Transportistas de Tula amagan con paro si no hay aumento</t>
  </si>
  <si>
    <t>Reprueban 10 alcaldías   al informar sobre sus  f inanzas a la Auditoría</t>
  </si>
  <si>
    <t>Busca gobierno explotación de gas natural con ""fracking verde""</t>
  </si>
  <si>
    <t>Artesanas y cocineras del país rinden tributo al tenango</t>
  </si>
  <si>
    <t>Día del tenango</t>
  </si>
  <si>
    <t>Tras los encuentros con actores políticos convocados por el secretario  de Gobierno, Guillermo Oliverez Reyna, no del todo bien vistos (…),  se vive tensa calma y se genera incertidumbre hacia dónde se dirigirá  la paridad y la elección de 2028”.</t>
  </si>
  <si>
    <t>Reunión con actores políticos</t>
  </si>
  <si>
    <t>Arranca Colecta Anual de la Cruz Roja en Hidalgo con meta de 7.5 mdp</t>
  </si>
  <si>
    <t>Reconoce ASEH a Pachuca como líder en desempeño municipal</t>
  </si>
  <si>
    <t>Pedirá Menchaca a dependencias ""apuren"" opiniones técnicas sobre eliminación de corridas de toros</t>
  </si>
  <si>
    <t>Impulsa Morena agenda de trabajo desde territorio</t>
  </si>
  <si>
    <t>Trabajo partidista</t>
  </si>
  <si>
    <t>Comerciantes de Huejutla exigen rendición de cuentas y renovación de dirigencia</t>
  </si>
  <si>
    <t>Julio Menchaca arranca colecta anual 2026 de la Cruz Roja en Hidalgo</t>
  </si>
  <si>
    <t>Cientos de feligreses prendieron su cirio en la pasada vigilia pascual</t>
  </si>
  <si>
    <t>Delegados acuerdan solución temporal para depósito de basura</t>
  </si>
  <si>
    <t>Regreso a clases será en orden y con ánimo, prevén docentes</t>
  </si>
  <si>
    <t>Regreso A Clases</t>
  </si>
  <si>
    <t>Menchaca reitera rechazo a tauromaquia; Congreso decidirá</t>
  </si>
  <si>
    <t>Municipios transparentes</t>
  </si>
  <si>
    <t>Morena insiste</t>
  </si>
  <si>
    <t>"En efecto, interpuse un amparo": Azpeitia</t>
  </si>
  <si>
    <t>Tuzobús se retrasa</t>
  </si>
  <si>
    <t>Descartan casos de barrenador en humanos</t>
  </si>
  <si>
    <t>Gusano barrenador</t>
  </si>
  <si>
    <t>Claudia Sandoval recibe reconocimiento de la ASEH</t>
  </si>
  <si>
    <t>Menchaca arranca colecta anual 2026 de la Cruz Roja en Hidalgo</t>
  </si>
  <si>
    <t>Bajo la administración de Jorge Reyes, Pachuca alcanza el 100% en evaluación estatal por segundo año consecutivo</t>
  </si>
  <si>
    <t>Tula refuerza su seguridad pública con una inversión de más de 11 mdp</t>
  </si>
  <si>
    <t>Refuerzo De Seguridad</t>
  </si>
  <si>
    <t>Gobierno de Hidalgo respalda acciones de Acaxochitlán a favor de la paz social</t>
  </si>
  <si>
    <t>Inicia Sipdus desazolve del río Tlacolula</t>
  </si>
  <si>
    <t>Desazolve</t>
  </si>
  <si>
    <t>Zitlaly Zúñiga arranca construcción del drenaje sanitario</t>
  </si>
  <si>
    <t>Drenaje</t>
  </si>
  <si>
    <t>Pachuca alcanza el 100% en evaluación estatal por segundo año consecutivo</t>
  </si>
  <si>
    <t>Comienza desazolve del Río Tlacolula</t>
  </si>
  <si>
    <t>Máquina del tiempo</t>
  </si>
  <si>
    <t>No te juegues la vida</t>
  </si>
  <si>
    <t>Denuncian malversación de recursos en Mixquiahuala</t>
  </si>
  <si>
    <t>Desvío de recursos</t>
  </si>
  <si>
    <t>Detienen a pareja que abandonó cadáver en Tulancingo</t>
  </si>
  <si>
    <t>Se desmarca Julio Menchaca de corridas de toros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</si>
</sst>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topLeftCell="A41" workbookViewId="0">
      <selection activeCell="A63" sqref="A63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74</v>
      </c>
    </row>
    <row r="2" spans="1:10" x14ac:dyDescent="0.25">
      <c r="A2" s="5">
        <v>46121</v>
      </c>
      <c r="B2" t="s">
        <v>85</v>
      </c>
      <c r="C2" s="6" t="s">
        <v>96</v>
      </c>
      <c r="D2" t="s">
        <v>12</v>
      </c>
      <c r="E2" t="s">
        <v>10</v>
      </c>
      <c r="F2" t="s">
        <v>10</v>
      </c>
      <c r="G2" t="s">
        <v>69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46121</v>
      </c>
      <c r="B3" t="s">
        <v>85</v>
      </c>
      <c r="C3" s="6" t="s">
        <v>97</v>
      </c>
      <c r="D3" t="s">
        <v>12</v>
      </c>
      <c r="E3" t="s">
        <v>25</v>
      </c>
      <c r="F3" t="s">
        <v>25</v>
      </c>
      <c r="G3" t="s">
        <v>98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25">
      <c r="A4" s="5">
        <v>46121</v>
      </c>
      <c r="B4" t="s">
        <v>85</v>
      </c>
      <c r="C4" s="6" t="s">
        <v>99</v>
      </c>
      <c r="D4" t="s">
        <v>12</v>
      </c>
      <c r="E4" t="s">
        <v>17</v>
      </c>
      <c r="F4" t="s">
        <v>17</v>
      </c>
      <c r="G4" t="s">
        <v>100</v>
      </c>
      <c r="H4" t="s">
        <v>16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46121</v>
      </c>
      <c r="B5" t="s">
        <v>85</v>
      </c>
      <c r="C5" s="6" t="s">
        <v>101</v>
      </c>
      <c r="D5" t="s">
        <v>13</v>
      </c>
      <c r="E5" t="s">
        <v>30</v>
      </c>
      <c r="F5" t="s">
        <v>30</v>
      </c>
      <c r="G5" t="s">
        <v>102</v>
      </c>
      <c r="H5" t="s">
        <v>16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46121</v>
      </c>
      <c r="B6" t="s">
        <v>85</v>
      </c>
      <c r="C6" s="6" t="s">
        <v>103</v>
      </c>
      <c r="D6" t="s">
        <v>12</v>
      </c>
      <c r="E6" t="s">
        <v>15</v>
      </c>
      <c r="F6" t="s">
        <v>15</v>
      </c>
      <c r="G6" t="s">
        <v>104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5">
        <v>46121</v>
      </c>
      <c r="B7" t="s">
        <v>85</v>
      </c>
      <c r="C7" s="6" t="s">
        <v>105</v>
      </c>
      <c r="D7" t="s">
        <v>9</v>
      </c>
      <c r="E7" t="s">
        <v>25</v>
      </c>
      <c r="F7" t="s">
        <v>25</v>
      </c>
      <c r="G7" t="s">
        <v>106</v>
      </c>
      <c r="H7" t="s">
        <v>26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ht="30" x14ac:dyDescent="0.25">
      <c r="A8" s="5">
        <v>46121</v>
      </c>
      <c r="B8" t="s">
        <v>70</v>
      </c>
      <c r="C8" s="6" t="s">
        <v>107</v>
      </c>
      <c r="D8" t="s">
        <v>13</v>
      </c>
      <c r="E8" t="s">
        <v>25</v>
      </c>
      <c r="F8" t="s">
        <v>25</v>
      </c>
      <c r="G8" t="s">
        <v>106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5">
        <v>46121</v>
      </c>
      <c r="B9" t="s">
        <v>70</v>
      </c>
      <c r="C9" s="6" t="s">
        <v>108</v>
      </c>
      <c r="D9" t="s">
        <v>9</v>
      </c>
      <c r="E9" t="s">
        <v>24</v>
      </c>
      <c r="F9" t="s">
        <v>109</v>
      </c>
      <c r="G9" t="s">
        <v>91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46121</v>
      </c>
      <c r="B10" t="s">
        <v>70</v>
      </c>
      <c r="C10" s="6" t="s">
        <v>110</v>
      </c>
      <c r="D10" t="s">
        <v>12</v>
      </c>
      <c r="E10" t="s">
        <v>44</v>
      </c>
      <c r="F10" t="s">
        <v>44</v>
      </c>
      <c r="G10" t="s">
        <v>111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30" x14ac:dyDescent="0.25">
      <c r="A11" s="5">
        <v>46121</v>
      </c>
      <c r="B11" t="s">
        <v>70</v>
      </c>
      <c r="C11" s="6" t="s">
        <v>112</v>
      </c>
      <c r="D11" t="s">
        <v>12</v>
      </c>
      <c r="E11" t="s">
        <v>19</v>
      </c>
      <c r="F11" t="s">
        <v>2</v>
      </c>
      <c r="G11" t="s">
        <v>113</v>
      </c>
      <c r="H11" t="s">
        <v>11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46121</v>
      </c>
      <c r="B12" t="s">
        <v>70</v>
      </c>
      <c r="C12" s="6" t="s">
        <v>114</v>
      </c>
      <c r="D12" t="s">
        <v>12</v>
      </c>
      <c r="E12" t="s">
        <v>115</v>
      </c>
      <c r="F12" t="s">
        <v>115</v>
      </c>
      <c r="G12" t="s">
        <v>116</v>
      </c>
      <c r="H12" t="s">
        <v>16</v>
      </c>
      <c r="I12" t="str">
        <f>_xlfn.XLOOKUP(Tabla1[[#This Row],[Dependencia]],Tabla2[Dependencia],Tabla2[Clasificación],"No indexado")</f>
        <v>Partidos</v>
      </c>
      <c r="J12" t="str">
        <f>_xlfn.XLOOKUP(Tabla1[[#This Row],[Dependencia]],Tabla3[Dependencia],Tabla3[Nivel],"otros",0)</f>
        <v>otros</v>
      </c>
    </row>
    <row r="13" spans="1:10" ht="45" x14ac:dyDescent="0.25">
      <c r="A13" s="5">
        <v>46121</v>
      </c>
      <c r="B13" t="s">
        <v>70</v>
      </c>
      <c r="C13" s="6" t="s">
        <v>117</v>
      </c>
      <c r="D13" t="s">
        <v>12</v>
      </c>
      <c r="E13" t="s">
        <v>10</v>
      </c>
      <c r="F13" t="s">
        <v>10</v>
      </c>
      <c r="G13" t="s">
        <v>69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46121</v>
      </c>
      <c r="B14" t="s">
        <v>73</v>
      </c>
      <c r="C14" s="6" t="s">
        <v>118</v>
      </c>
      <c r="D14" t="s">
        <v>12</v>
      </c>
      <c r="E14" t="s">
        <v>10</v>
      </c>
      <c r="F14" t="s">
        <v>10</v>
      </c>
      <c r="G14" t="s">
        <v>76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46121</v>
      </c>
      <c r="B15" t="s">
        <v>73</v>
      </c>
      <c r="C15" s="6" t="s">
        <v>119</v>
      </c>
      <c r="D15" t="s">
        <v>12</v>
      </c>
      <c r="E15" t="s">
        <v>10</v>
      </c>
      <c r="F15" t="s">
        <v>10</v>
      </c>
      <c r="G15" t="s">
        <v>76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46121</v>
      </c>
      <c r="B16" t="s">
        <v>73</v>
      </c>
      <c r="C16" s="6" t="s">
        <v>120</v>
      </c>
      <c r="D16" t="s">
        <v>9</v>
      </c>
      <c r="E16" t="s">
        <v>84</v>
      </c>
      <c r="F16" t="s">
        <v>84</v>
      </c>
      <c r="G16" t="s">
        <v>121</v>
      </c>
      <c r="H16" t="s">
        <v>16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ht="30" x14ac:dyDescent="0.25">
      <c r="A17" s="5">
        <v>46121</v>
      </c>
      <c r="B17" t="s">
        <v>73</v>
      </c>
      <c r="C17" s="6" t="s">
        <v>122</v>
      </c>
      <c r="D17" t="s">
        <v>12</v>
      </c>
      <c r="E17" t="s">
        <v>15</v>
      </c>
      <c r="F17" t="s">
        <v>15</v>
      </c>
      <c r="G17" t="s">
        <v>123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46121</v>
      </c>
      <c r="B18" t="s">
        <v>73</v>
      </c>
      <c r="C18" s="6" t="s">
        <v>124</v>
      </c>
      <c r="D18" t="s">
        <v>12</v>
      </c>
      <c r="E18" t="s">
        <v>25</v>
      </c>
      <c r="F18" t="s">
        <v>25</v>
      </c>
      <c r="G18" t="s">
        <v>98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Gobernador</v>
      </c>
    </row>
    <row r="19" spans="1:10" ht="30" x14ac:dyDescent="0.25">
      <c r="A19" s="5">
        <v>46121</v>
      </c>
      <c r="B19" t="s">
        <v>73</v>
      </c>
      <c r="C19" s="6" t="s">
        <v>125</v>
      </c>
      <c r="D19" t="s">
        <v>13</v>
      </c>
      <c r="E19" t="s">
        <v>17</v>
      </c>
      <c r="F19" t="s">
        <v>83</v>
      </c>
      <c r="G19" t="s">
        <v>126</v>
      </c>
      <c r="H19" t="s">
        <v>11</v>
      </c>
      <c r="I19" t="str">
        <f>_xlfn.XLOOKUP(Tabla1[[#This Row],[Dependencia]],Tabla2[Dependencia],Tabla2[Clasificación],"No indexado")</f>
        <v>Alcaldías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46121</v>
      </c>
      <c r="B20" t="s">
        <v>73</v>
      </c>
      <c r="C20" s="6" t="s">
        <v>127</v>
      </c>
      <c r="D20" t="s">
        <v>12</v>
      </c>
      <c r="E20" t="s">
        <v>19</v>
      </c>
      <c r="F20" t="s">
        <v>2</v>
      </c>
      <c r="G20" t="s">
        <v>128</v>
      </c>
      <c r="H20" t="s">
        <v>11</v>
      </c>
      <c r="I20" t="str">
        <f>_xlfn.XLOOKUP(Tabla1[[#This Row],[Dependencia]],Tabla2[Dependencia],Tabla2[Clasificación],"No indexado")</f>
        <v>Partidos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46121</v>
      </c>
      <c r="B21" t="s">
        <v>77</v>
      </c>
      <c r="C21" s="6" t="s">
        <v>129</v>
      </c>
      <c r="D21" t="s">
        <v>13</v>
      </c>
      <c r="E21" t="s">
        <v>30</v>
      </c>
      <c r="F21" t="s">
        <v>87</v>
      </c>
      <c r="G21" t="s">
        <v>93</v>
      </c>
      <c r="H21" t="s">
        <v>16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5">
        <v>46121</v>
      </c>
      <c r="B22" t="s">
        <v>77</v>
      </c>
      <c r="C22" s="6" t="s">
        <v>130</v>
      </c>
      <c r="D22" t="s">
        <v>12</v>
      </c>
      <c r="E22" t="s">
        <v>25</v>
      </c>
      <c r="F22" t="s">
        <v>25</v>
      </c>
      <c r="G22" t="s">
        <v>131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Gobernador</v>
      </c>
    </row>
    <row r="23" spans="1:10" x14ac:dyDescent="0.25">
      <c r="A23" s="5">
        <v>46121</v>
      </c>
      <c r="B23" t="s">
        <v>77</v>
      </c>
      <c r="C23" s="6" t="s">
        <v>132</v>
      </c>
      <c r="D23" t="s">
        <v>12</v>
      </c>
      <c r="E23" t="s">
        <v>30</v>
      </c>
      <c r="F23" t="s">
        <v>87</v>
      </c>
      <c r="G23" t="s">
        <v>93</v>
      </c>
      <c r="H23" t="s">
        <v>16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46121</v>
      </c>
      <c r="B24" t="s">
        <v>77</v>
      </c>
      <c r="C24" s="6" t="s">
        <v>133</v>
      </c>
      <c r="D24" t="s">
        <v>9</v>
      </c>
      <c r="E24" t="s">
        <v>25</v>
      </c>
      <c r="F24" t="s">
        <v>25</v>
      </c>
      <c r="G24" t="s">
        <v>106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Gobernador</v>
      </c>
    </row>
    <row r="25" spans="1:10" x14ac:dyDescent="0.25">
      <c r="A25" s="5">
        <v>46121</v>
      </c>
      <c r="B25" t="s">
        <v>77</v>
      </c>
      <c r="C25" s="6" t="s">
        <v>134</v>
      </c>
      <c r="D25" t="s">
        <v>12</v>
      </c>
      <c r="E25" t="s">
        <v>10</v>
      </c>
      <c r="F25" t="s">
        <v>10</v>
      </c>
      <c r="G25" t="s">
        <v>69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46121</v>
      </c>
      <c r="B26" t="s">
        <v>77</v>
      </c>
      <c r="C26" s="6" t="s">
        <v>135</v>
      </c>
      <c r="D26" t="s">
        <v>12</v>
      </c>
      <c r="E26" t="s">
        <v>37</v>
      </c>
      <c r="F26" t="s">
        <v>136</v>
      </c>
      <c r="G26" t="s">
        <v>137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46121</v>
      </c>
      <c r="B27" t="s">
        <v>77</v>
      </c>
      <c r="C27" s="6" t="s">
        <v>138</v>
      </c>
      <c r="D27" t="s">
        <v>12</v>
      </c>
      <c r="E27" t="s">
        <v>14</v>
      </c>
      <c r="F27" t="s">
        <v>14</v>
      </c>
      <c r="G27" t="s">
        <v>139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46121</v>
      </c>
      <c r="B28" t="s">
        <v>77</v>
      </c>
      <c r="C28" s="6" t="s">
        <v>140</v>
      </c>
      <c r="D28" t="s">
        <v>12</v>
      </c>
      <c r="E28" t="s">
        <v>10</v>
      </c>
      <c r="F28" t="s">
        <v>10</v>
      </c>
      <c r="G28" t="s">
        <v>69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46121</v>
      </c>
      <c r="B29" t="s">
        <v>71</v>
      </c>
      <c r="C29" s="6" t="s">
        <v>141</v>
      </c>
      <c r="D29" t="s">
        <v>12</v>
      </c>
      <c r="E29" t="s">
        <v>30</v>
      </c>
      <c r="F29" t="s">
        <v>30</v>
      </c>
      <c r="G29" t="s">
        <v>92</v>
      </c>
      <c r="H29" t="s">
        <v>16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5">
        <v>46121</v>
      </c>
      <c r="B30" t="s">
        <v>71</v>
      </c>
      <c r="C30" s="6" t="s">
        <v>142</v>
      </c>
      <c r="D30" t="s">
        <v>13</v>
      </c>
      <c r="E30" t="s">
        <v>17</v>
      </c>
      <c r="F30" t="s">
        <v>17</v>
      </c>
      <c r="G30" t="s">
        <v>137</v>
      </c>
      <c r="H30" t="s">
        <v>16</v>
      </c>
      <c r="I30" t="str">
        <f>_xlfn.XLOOKUP(Tabla1[[#This Row],[Dependencia]],Tabla2[Dependencia],Tabla2[Clasificación],"No indexado")</f>
        <v>Alcaldías</v>
      </c>
      <c r="J30" t="str">
        <f>_xlfn.XLOOKUP(Tabla1[[#This Row],[Dependencia]],Tabla3[Dependencia],Tabla3[Nivel],"otros",0)</f>
        <v>otros</v>
      </c>
    </row>
    <row r="31" spans="1:10" ht="30" x14ac:dyDescent="0.25">
      <c r="A31" s="5">
        <v>46121</v>
      </c>
      <c r="B31" t="s">
        <v>71</v>
      </c>
      <c r="C31" s="6" t="s">
        <v>143</v>
      </c>
      <c r="D31" t="s">
        <v>12</v>
      </c>
      <c r="E31" t="s">
        <v>14</v>
      </c>
      <c r="F31" t="s">
        <v>14</v>
      </c>
      <c r="G31" t="s">
        <v>139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46121</v>
      </c>
      <c r="B32" t="s">
        <v>71</v>
      </c>
      <c r="C32" s="6" t="s">
        <v>144</v>
      </c>
      <c r="D32" t="s">
        <v>9</v>
      </c>
      <c r="E32" t="s">
        <v>32</v>
      </c>
      <c r="F32" t="s">
        <v>32</v>
      </c>
      <c r="G32" t="s">
        <v>145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75" x14ac:dyDescent="0.25">
      <c r="A33" s="5">
        <v>46121</v>
      </c>
      <c r="B33" t="s">
        <v>71</v>
      </c>
      <c r="C33" s="6" t="s">
        <v>146</v>
      </c>
      <c r="D33" t="s">
        <v>12</v>
      </c>
      <c r="E33" t="s">
        <v>24</v>
      </c>
      <c r="F33" t="s">
        <v>24</v>
      </c>
      <c r="G33" t="s">
        <v>147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46121</v>
      </c>
      <c r="B34" t="s">
        <v>72</v>
      </c>
      <c r="C34" s="6" t="s">
        <v>148</v>
      </c>
      <c r="D34" t="s">
        <v>13</v>
      </c>
      <c r="E34" t="s">
        <v>25</v>
      </c>
      <c r="F34" t="s">
        <v>25</v>
      </c>
      <c r="G34" t="s">
        <v>106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Gobernador</v>
      </c>
    </row>
    <row r="35" spans="1:10" ht="30" x14ac:dyDescent="0.25">
      <c r="A35" s="5">
        <v>46121</v>
      </c>
      <c r="B35" t="s">
        <v>72</v>
      </c>
      <c r="C35" s="6" t="s">
        <v>149</v>
      </c>
      <c r="D35" t="s">
        <v>12</v>
      </c>
      <c r="E35" t="s">
        <v>17</v>
      </c>
      <c r="F35" t="s">
        <v>17</v>
      </c>
      <c r="G35" t="s">
        <v>137</v>
      </c>
      <c r="H35" t="s">
        <v>26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46121</v>
      </c>
      <c r="B36" t="s">
        <v>72</v>
      </c>
      <c r="C36" s="6" t="s">
        <v>150</v>
      </c>
      <c r="D36" t="s">
        <v>12</v>
      </c>
      <c r="E36" t="s">
        <v>25</v>
      </c>
      <c r="F36" t="s">
        <v>25</v>
      </c>
      <c r="G36" t="s">
        <v>98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25">
      <c r="A37" s="5">
        <v>46121</v>
      </c>
      <c r="B37" t="s">
        <v>72</v>
      </c>
      <c r="C37" s="6" t="s">
        <v>151</v>
      </c>
      <c r="D37" t="s">
        <v>12</v>
      </c>
      <c r="E37" t="s">
        <v>19</v>
      </c>
      <c r="F37" t="s">
        <v>19</v>
      </c>
      <c r="G37" t="s">
        <v>152</v>
      </c>
      <c r="H37" t="s">
        <v>11</v>
      </c>
      <c r="I37" t="str">
        <f>_xlfn.XLOOKUP(Tabla1[[#This Row],[Dependencia]],Tabla2[Dependencia],Tabla2[Clasificación],"No indexado")</f>
        <v>Partidos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46121</v>
      </c>
      <c r="B38" t="s">
        <v>82</v>
      </c>
      <c r="C38" s="6" t="s">
        <v>153</v>
      </c>
      <c r="D38" t="s">
        <v>13</v>
      </c>
      <c r="E38" t="s">
        <v>10</v>
      </c>
      <c r="F38" t="s">
        <v>10</v>
      </c>
      <c r="G38" t="s">
        <v>69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46121</v>
      </c>
      <c r="B39" t="s">
        <v>82</v>
      </c>
      <c r="C39" s="6" t="s">
        <v>154</v>
      </c>
      <c r="D39" t="s">
        <v>12</v>
      </c>
      <c r="E39" t="s">
        <v>25</v>
      </c>
      <c r="F39" t="s">
        <v>25</v>
      </c>
      <c r="G39" t="s">
        <v>106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Gobernador</v>
      </c>
    </row>
    <row r="40" spans="1:10" ht="30" x14ac:dyDescent="0.25">
      <c r="A40" s="5">
        <v>46121</v>
      </c>
      <c r="B40" t="s">
        <v>82</v>
      </c>
      <c r="C40" s="6" t="s">
        <v>155</v>
      </c>
      <c r="D40" t="s">
        <v>12</v>
      </c>
      <c r="E40" t="s">
        <v>10</v>
      </c>
      <c r="F40" t="s">
        <v>10</v>
      </c>
      <c r="G40" t="s">
        <v>69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46121</v>
      </c>
      <c r="B41" t="s">
        <v>82</v>
      </c>
      <c r="C41" s="6" t="s">
        <v>156</v>
      </c>
      <c r="D41" t="s">
        <v>12</v>
      </c>
      <c r="E41" t="s">
        <v>17</v>
      </c>
      <c r="F41" t="s">
        <v>17</v>
      </c>
      <c r="G41" t="s">
        <v>94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46121</v>
      </c>
      <c r="B42" t="s">
        <v>82</v>
      </c>
      <c r="C42" s="6" t="s">
        <v>157</v>
      </c>
      <c r="D42" t="s">
        <v>12</v>
      </c>
      <c r="E42" t="s">
        <v>28</v>
      </c>
      <c r="F42" t="s">
        <v>28</v>
      </c>
      <c r="G42" t="s">
        <v>158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5">
        <v>46121</v>
      </c>
      <c r="B43" t="s">
        <v>88</v>
      </c>
      <c r="C43" s="6" t="s">
        <v>159</v>
      </c>
      <c r="D43" t="s">
        <v>13</v>
      </c>
      <c r="E43" t="s">
        <v>25</v>
      </c>
      <c r="F43" t="s">
        <v>25</v>
      </c>
      <c r="G43" t="s">
        <v>98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5">
        <v>46121</v>
      </c>
      <c r="B44" t="s">
        <v>88</v>
      </c>
      <c r="C44" s="6" t="s">
        <v>160</v>
      </c>
      <c r="D44" t="s">
        <v>12</v>
      </c>
      <c r="E44" t="s">
        <v>17</v>
      </c>
      <c r="F44" t="s">
        <v>17</v>
      </c>
      <c r="G44" t="s">
        <v>137</v>
      </c>
      <c r="H44" t="s">
        <v>26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46121</v>
      </c>
      <c r="B45" t="s">
        <v>88</v>
      </c>
      <c r="C45" s="6" t="s">
        <v>161</v>
      </c>
      <c r="D45" t="s">
        <v>12</v>
      </c>
      <c r="E45" t="s">
        <v>19</v>
      </c>
      <c r="F45" t="s">
        <v>19</v>
      </c>
      <c r="G45" t="s">
        <v>128</v>
      </c>
      <c r="H45" t="s">
        <v>11</v>
      </c>
      <c r="I45" t="str">
        <f>_xlfn.XLOOKUP(Tabla1[[#This Row],[Dependencia]],Tabla2[Dependencia],Tabla2[Clasificación],"No indexado")</f>
        <v>Partidos</v>
      </c>
      <c r="J45" t="str">
        <f>_xlfn.XLOOKUP(Tabla1[[#This Row],[Dependencia]],Tabla3[Dependencia],Tabla3[Nivel],"otros",0)</f>
        <v>otros</v>
      </c>
    </row>
    <row r="46" spans="1:10" x14ac:dyDescent="0.25">
      <c r="A46" s="5">
        <v>46121</v>
      </c>
      <c r="B46" t="s">
        <v>88</v>
      </c>
      <c r="C46" s="6" t="s">
        <v>162</v>
      </c>
      <c r="D46" t="s">
        <v>12</v>
      </c>
      <c r="E46" t="s">
        <v>17</v>
      </c>
      <c r="F46" t="s">
        <v>89</v>
      </c>
      <c r="G46" t="s">
        <v>90</v>
      </c>
      <c r="H46" t="s">
        <v>16</v>
      </c>
      <c r="I46" t="str">
        <f>_xlfn.XLOOKUP(Tabla1[[#This Row],[Dependencia]],Tabla2[Dependencia],Tabla2[Clasificación],"No indexado")</f>
        <v>Alcaldías</v>
      </c>
      <c r="J46" t="str">
        <f>_xlfn.XLOOKUP(Tabla1[[#This Row],[Dependencia]],Tabla3[Dependencia],Tabla3[Nivel],"otros",0)</f>
        <v>otros</v>
      </c>
    </row>
    <row r="47" spans="1:10" x14ac:dyDescent="0.25">
      <c r="A47" s="5">
        <v>46121</v>
      </c>
      <c r="B47" t="s">
        <v>88</v>
      </c>
      <c r="C47" s="6" t="s">
        <v>163</v>
      </c>
      <c r="D47" t="s">
        <v>12</v>
      </c>
      <c r="E47" t="s">
        <v>30</v>
      </c>
      <c r="F47" t="s">
        <v>87</v>
      </c>
      <c r="G47" t="s">
        <v>131</v>
      </c>
      <c r="H47" t="s">
        <v>16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5">
        <v>46121</v>
      </c>
      <c r="B48" t="s">
        <v>88</v>
      </c>
      <c r="C48" s="6" t="s">
        <v>164</v>
      </c>
      <c r="D48" t="s">
        <v>12</v>
      </c>
      <c r="E48" t="s">
        <v>15</v>
      </c>
      <c r="F48" t="s">
        <v>15</v>
      </c>
      <c r="G48" t="s">
        <v>165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5">
        <v>46121</v>
      </c>
      <c r="B49" t="s">
        <v>80</v>
      </c>
      <c r="C49" s="6" t="s">
        <v>166</v>
      </c>
      <c r="D49" t="s">
        <v>12</v>
      </c>
      <c r="E49" t="s">
        <v>17</v>
      </c>
      <c r="F49" t="s">
        <v>17</v>
      </c>
      <c r="G49" t="s">
        <v>137</v>
      </c>
      <c r="H49" t="s">
        <v>26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46121</v>
      </c>
      <c r="B50" t="s">
        <v>80</v>
      </c>
      <c r="C50" s="6" t="s">
        <v>167</v>
      </c>
      <c r="D50" t="s">
        <v>13</v>
      </c>
      <c r="E50" t="s">
        <v>25</v>
      </c>
      <c r="F50" t="s">
        <v>25</v>
      </c>
      <c r="G50" t="s">
        <v>106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Gobernador</v>
      </c>
    </row>
    <row r="51" spans="1:10" ht="45" x14ac:dyDescent="0.25">
      <c r="A51" s="5">
        <v>46121</v>
      </c>
      <c r="B51" t="s">
        <v>80</v>
      </c>
      <c r="C51" s="6" t="s">
        <v>168</v>
      </c>
      <c r="D51" t="s">
        <v>12</v>
      </c>
      <c r="E51" t="s">
        <v>17</v>
      </c>
      <c r="F51" t="s">
        <v>17</v>
      </c>
      <c r="G51" t="s">
        <v>137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46121</v>
      </c>
      <c r="B52" t="s">
        <v>80</v>
      </c>
      <c r="C52" s="6" t="s">
        <v>169</v>
      </c>
      <c r="D52" t="s">
        <v>12</v>
      </c>
      <c r="E52" t="s">
        <v>17</v>
      </c>
      <c r="F52" t="s">
        <v>17</v>
      </c>
      <c r="G52" t="s">
        <v>170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46121</v>
      </c>
      <c r="B53" t="s">
        <v>80</v>
      </c>
      <c r="C53" s="6" t="s">
        <v>171</v>
      </c>
      <c r="D53" t="s">
        <v>12</v>
      </c>
      <c r="E53" t="s">
        <v>42</v>
      </c>
      <c r="F53" t="s">
        <v>42</v>
      </c>
      <c r="G53" t="s">
        <v>170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5">
        <v>46121</v>
      </c>
      <c r="B54" t="s">
        <v>80</v>
      </c>
      <c r="C54" s="6" t="s">
        <v>172</v>
      </c>
      <c r="D54" t="s">
        <v>12</v>
      </c>
      <c r="E54" t="s">
        <v>84</v>
      </c>
      <c r="F54" t="s">
        <v>84</v>
      </c>
      <c r="G54" t="s">
        <v>173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46121</v>
      </c>
      <c r="B55" t="s">
        <v>80</v>
      </c>
      <c r="C55" s="6" t="s">
        <v>174</v>
      </c>
      <c r="D55" t="s">
        <v>12</v>
      </c>
      <c r="E55" t="s">
        <v>17</v>
      </c>
      <c r="F55" t="s">
        <v>86</v>
      </c>
      <c r="G55" t="s">
        <v>175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46121</v>
      </c>
      <c r="B56" t="s">
        <v>29</v>
      </c>
      <c r="C56" s="6" t="s">
        <v>154</v>
      </c>
      <c r="D56" t="s">
        <v>12</v>
      </c>
      <c r="E56" t="s">
        <v>25</v>
      </c>
      <c r="F56" t="s">
        <v>25</v>
      </c>
      <c r="G56" t="s">
        <v>106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ht="30" x14ac:dyDescent="0.25">
      <c r="A57" s="5">
        <v>46121</v>
      </c>
      <c r="B57" t="s">
        <v>29</v>
      </c>
      <c r="C57" s="6" t="s">
        <v>176</v>
      </c>
      <c r="D57" t="s">
        <v>12</v>
      </c>
      <c r="E57" t="s">
        <v>17</v>
      </c>
      <c r="F57" t="s">
        <v>17</v>
      </c>
      <c r="G57" t="s">
        <v>137</v>
      </c>
      <c r="H57" t="s">
        <v>26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46121</v>
      </c>
      <c r="B58" t="s">
        <v>29</v>
      </c>
      <c r="C58" s="6" t="s">
        <v>177</v>
      </c>
      <c r="D58" t="s">
        <v>12</v>
      </c>
      <c r="E58" t="s">
        <v>84</v>
      </c>
      <c r="F58" t="s">
        <v>84</v>
      </c>
      <c r="G58" t="s">
        <v>173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5">
        <v>46121</v>
      </c>
      <c r="B59" t="s">
        <v>29</v>
      </c>
      <c r="C59" s="6" t="s">
        <v>178</v>
      </c>
      <c r="D59" t="s">
        <v>78</v>
      </c>
      <c r="E59" t="s">
        <v>10</v>
      </c>
      <c r="F59" t="s">
        <v>10</v>
      </c>
      <c r="G59" t="s">
        <v>78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5">
        <v>46121</v>
      </c>
      <c r="B60" t="s">
        <v>29</v>
      </c>
      <c r="C60" s="6" t="s">
        <v>179</v>
      </c>
      <c r="D60" t="s">
        <v>78</v>
      </c>
      <c r="E60" t="s">
        <v>17</v>
      </c>
      <c r="F60" t="s">
        <v>17</v>
      </c>
      <c r="G60" t="s">
        <v>79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25">
      <c r="A61" s="5">
        <v>46121</v>
      </c>
      <c r="B61" t="s">
        <v>81</v>
      </c>
      <c r="C61" s="6" t="s">
        <v>180</v>
      </c>
      <c r="D61" t="s">
        <v>13</v>
      </c>
      <c r="E61" t="s">
        <v>17</v>
      </c>
      <c r="F61" t="s">
        <v>17</v>
      </c>
      <c r="G61" t="s">
        <v>181</v>
      </c>
      <c r="H61" t="s">
        <v>16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ht="30" x14ac:dyDescent="0.25">
      <c r="A62" s="5">
        <v>46121</v>
      </c>
      <c r="B62" t="s">
        <v>81</v>
      </c>
      <c r="C62" s="6" t="s">
        <v>182</v>
      </c>
      <c r="D62" t="s">
        <v>12</v>
      </c>
      <c r="E62" t="s">
        <v>23</v>
      </c>
      <c r="F62" t="s">
        <v>23</v>
      </c>
      <c r="G62" t="s">
        <v>95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5">
        <v>46121</v>
      </c>
      <c r="B63" t="s">
        <v>81</v>
      </c>
      <c r="C63" s="6" t="s">
        <v>183</v>
      </c>
      <c r="D63" t="s">
        <v>12</v>
      </c>
      <c r="E63" t="s">
        <v>25</v>
      </c>
      <c r="F63" t="s">
        <v>25</v>
      </c>
      <c r="G63" t="s">
        <v>98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74</v>
      </c>
    </row>
    <row r="2" spans="1:5" x14ac:dyDescent="0.25">
      <c r="A2" t="s">
        <v>65</v>
      </c>
      <c r="B2" t="s">
        <v>66</v>
      </c>
      <c r="D2" s="10" t="s">
        <v>20</v>
      </c>
      <c r="E2" t="s">
        <v>75</v>
      </c>
    </row>
    <row r="3" spans="1:5" x14ac:dyDescent="0.25">
      <c r="A3" t="s">
        <v>17</v>
      </c>
      <c r="B3" t="s">
        <v>34</v>
      </c>
      <c r="D3" s="9" t="s">
        <v>36</v>
      </c>
      <c r="E3" t="s">
        <v>75</v>
      </c>
    </row>
    <row r="4" spans="1:5" x14ac:dyDescent="0.25">
      <c r="A4" t="s">
        <v>20</v>
      </c>
      <c r="B4" t="s">
        <v>35</v>
      </c>
      <c r="D4" s="9" t="s">
        <v>38</v>
      </c>
      <c r="E4" t="s">
        <v>75</v>
      </c>
    </row>
    <row r="5" spans="1:5" x14ac:dyDescent="0.25">
      <c r="A5" t="s">
        <v>64</v>
      </c>
      <c r="B5" t="s">
        <v>10</v>
      </c>
      <c r="D5" s="10" t="s">
        <v>31</v>
      </c>
      <c r="E5" t="s">
        <v>75</v>
      </c>
    </row>
    <row r="6" spans="1:5" x14ac:dyDescent="0.25">
      <c r="A6" t="s">
        <v>36</v>
      </c>
      <c r="B6" t="s">
        <v>35</v>
      </c>
      <c r="D6" s="10" t="s">
        <v>39</v>
      </c>
      <c r="E6" t="s">
        <v>75</v>
      </c>
    </row>
    <row r="7" spans="1:5" x14ac:dyDescent="0.25">
      <c r="A7" t="s">
        <v>37</v>
      </c>
      <c r="B7" t="s">
        <v>10</v>
      </c>
      <c r="D7" s="9" t="s">
        <v>40</v>
      </c>
      <c r="E7" t="s">
        <v>75</v>
      </c>
    </row>
    <row r="8" spans="1:5" x14ac:dyDescent="0.25">
      <c r="A8" t="s">
        <v>38</v>
      </c>
      <c r="B8" t="s">
        <v>35</v>
      </c>
      <c r="D8" s="9" t="s">
        <v>40</v>
      </c>
      <c r="E8" t="s">
        <v>75</v>
      </c>
    </row>
    <row r="9" spans="1:5" x14ac:dyDescent="0.25">
      <c r="A9" t="s">
        <v>31</v>
      </c>
      <c r="B9" t="s">
        <v>35</v>
      </c>
      <c r="D9" s="9" t="s">
        <v>41</v>
      </c>
      <c r="E9" t="s">
        <v>75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75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75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75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75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75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75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75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75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75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75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75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75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75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75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75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75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75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2026-04-09T20:32:12Z</dcterms:modified>
</cp:coreProperties>
</file>