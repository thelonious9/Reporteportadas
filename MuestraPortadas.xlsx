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719BA1F2-66BA-40B9-A14A-A26C1C0D5506}" xr6:coauthVersionLast="47" xr6:coauthVersionMax="47" xr10:uidLastSave="{00000000-0000-0000-0000-000000000000}"/>
  <bookViews>
    <workbookView xWindow="-120" yWindow="-120" windowWidth="29040" windowHeight="1572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</calcChain>
</file>

<file path=xl/sharedStrings.xml><?xml version="1.0" encoding="utf-8"?>
<sst xmlns="http://schemas.openxmlformats.org/spreadsheetml/2006/main" count="611" uniqueCount="175">
  <si>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</si>
  <si>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</si>
  <si>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</si>
  <si>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</si>
  <si>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</si>
  <si>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</si>
  <si>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</si>
  <si>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</si>
  <si>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</si>
  <si>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</si>
  <si>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</si>
  <si>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</si>
  <si>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</si>
  <si>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</si>
  <si>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</si>
  <si>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</si>
  <si>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</si>
  <si>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</si>
  <si>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</si>
  <si>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</si>
  <si>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</si>
  <si>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</si>
  <si>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</si>
  <si>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</si>
  <si>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</si>
  <si>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</si>
  <si>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</si>
  <si>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</si>
  <si>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</si>
  <si>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</si>
  <si>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</si>
  <si>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</si>
  <si>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</si>
  <si>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</si>
  <si>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</si>
  <si>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</si>
  <si>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</si>
  <si>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</si>
  <si>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</si>
  <si>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</si>
  <si>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</si>
  <si>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</si>
  <si>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</si>
  <si>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</si>
  <si>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</si>
  <si>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</si>
  <si>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</si>
  <si>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</si>
  <si>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</si>
  <si>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</si>
  <si>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</si>
  <si>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</si>
  <si>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</si>
  <si>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</si>
  <si>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</si>
  <si>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</si>
  <si>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</si>
  <si>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</si>
  <si>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</si>
  <si>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</si>
  <si>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</si>
  <si>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</si>
  <si>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</si>
  <si>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</si>
  <si>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</si>
  <si>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</si>
  <si>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</si>
  <si>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</si>
  <si>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</si>
  <si>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</si>
  <si>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</si>
  <si>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</si>
  <si>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</si>
  <si>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</si>
  <si>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</si>
  <si>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</si>
  <si>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</si>
  <si>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</si>
  <si>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</si>
  <si>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</si>
  <si>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</si>
  <si>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</si>
  <si>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</si>
  <si>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Alcalde</t>
  </si>
  <si>
    <t>Editorial</t>
  </si>
  <si>
    <t>Cuenta de Recurso editorial</t>
  </si>
  <si>
    <t>Etiquetas de fila</t>
  </si>
  <si>
    <t>Total general</t>
  </si>
  <si>
    <t>Effetá</t>
  </si>
  <si>
    <t>Pachuca Brilla</t>
  </si>
  <si>
    <t>Día De Muertos</t>
  </si>
  <si>
    <t>Temas varios</t>
  </si>
  <si>
    <t>Conflicto de interés</t>
  </si>
  <si>
    <t>Apps de transporte</t>
  </si>
  <si>
    <t>Hoy no circula</t>
  </si>
  <si>
    <t>Hoy No Circula</t>
  </si>
  <si>
    <t>Visita Sheinbaum</t>
  </si>
  <si>
    <t>Fallece Cuauhtémoc Cárdenas Solórzano</t>
  </si>
  <si>
    <t>Ante falta de rutas optan por mototaxi</t>
  </si>
  <si>
    <t>Deficiencias transporte público</t>
  </si>
  <si>
    <t>Saneamiento de ríos es tema de salud pública</t>
  </si>
  <si>
    <t>Saneamiento de río</t>
  </si>
  <si>
    <t>Soy una estrella""</t>
  </si>
  <si>
    <t>Con devoción celebran a San Judas Tadeo</t>
  </si>
  <si>
    <t>Menchaca dice no al Hoy No Circula</t>
  </si>
  <si>
    <t>Denuncia gobierno a fraccionadores por incumplimientos</t>
  </si>
  <si>
    <t>Denuncia De Irregularidades</t>
  </si>
  <si>
    <t>Descartan implementar Hoy No Circula en Pachuca</t>
  </si>
  <si>
    <t>Fallece Cuauhtémoc Cárdenas</t>
  </si>
  <si>
    <t>Llegan las catrinas monumentales a Zempoala</t>
  </si>
  <si>
    <t>Más de la mitad de Hidalgo, en sequía</t>
  </si>
  <si>
    <t>Conagua</t>
  </si>
  <si>
    <t>Sequía</t>
  </si>
  <si>
    <t>Facultan a Tribunal para nombrar contralor interno</t>
  </si>
  <si>
    <t>Órgano Interno de Control</t>
  </si>
  <si>
    <t>Congreso cede al TEEH la elección de su contralor</t>
  </si>
  <si>
    <t>Félix Ávila va por candidatura en Tepeapulco</t>
  </si>
  <si>
    <t>Contrató el IEEH por 203.5 mdp a Cajas Graf, firma ligada con el INE</t>
  </si>
  <si>
    <t>Concluye la rehabilitación de 4 calles en colonia Matilde</t>
  </si>
  <si>
    <t>Rehabilitación Vial</t>
  </si>
  <si>
    <t>Viva, devoción a San Judas Tadeo</t>
  </si>
  <si>
    <t>Roce europeo en Zempoala</t>
  </si>
  <si>
    <t>A repetir dosis en el huracán</t>
  </si>
  <si>
    <t>Arrancan hoy el polo de desarrollo en Zapotlán</t>
  </si>
  <si>
    <t>Reforzarán al personal e insumos</t>
  </si>
  <si>
    <t>IMSS</t>
  </si>
  <si>
    <t>Abasto De Insumos Médicos</t>
  </si>
  <si>
    <t>Democracia de luto</t>
  </si>
  <si>
    <t>Concentran 14 municipios carpetas por narcomenudeo</t>
  </si>
  <si>
    <t>Incidencia Delictiva</t>
  </si>
  <si>
    <t>Exigen aclarar la muerte de hidalguense bajo custodia del ICE</t>
  </si>
  <si>
    <t>Muerte de migrante</t>
  </si>
  <si>
    <t>Recuerda CSP paso de Taddei en el órgano electoral</t>
  </si>
  <si>
    <t>Muere Cuauhtémoc Cárdenas, líder histórico de la izquierda</t>
  </si>
  <si>
    <t>Hoy todo indica que a la procuración de justicia en Hidalgo lo mejor  que pudo pasarle son las aspiraciones políticas de Santiago Nieto,  que ahora quiere ser gobernador del vecino Querétaro”.</t>
  </si>
  <si>
    <t>Extitular</t>
  </si>
  <si>
    <t>PROCURACIÓN DE JUSTICIA</t>
  </si>
  <si>
    <t>Cuauhtémoc Cárdenas, el político que rompió con el PRI y abrió camino a la izquierda en México</t>
  </si>
  <si>
    <t>Descarta Menchaca implementar el Hoy No Circula para disminuir el tráfico</t>
  </si>
  <si>
    <t>Jorge Reyes supervisa renovación de calles en Matilde</t>
  </si>
  <si>
    <t>Entrega gobierno estatal 85 apoyos del PECDA 2025</t>
  </si>
  <si>
    <t>PECDA</t>
  </si>
  <si>
    <t>Líder de izquierda, Cuauhtémoc Cárdenas, murió a los 92 años</t>
  </si>
  <si>
    <t>Apuesta JMS por transporte público para mejorar movilidad</t>
  </si>
  <si>
    <t>Movilidad urbana</t>
  </si>
  <si>
    <t>La muerte de Cuauhtémoc  Cárdenas trae al presente la  vieja pregunta si no quiso o no  pudo defender su victoria en  las elecciones de 1988  frente a Salinas de  Gortari. O bien si pactó  con el PRI; la respuesta  se la llevó a la  tumba…</t>
  </si>
  <si>
    <t>Aseguran 29 mil litros de combustible en Zempoala</t>
  </si>
  <si>
    <t>Combate al huachicol</t>
  </si>
  <si>
    <t>Concluyen pavimentaciones en Matilde; instalan luminarias</t>
  </si>
  <si>
    <t>Segobh y partidos revisan reglas de candidaturas</t>
  </si>
  <si>
    <t>Candidaturas</t>
  </si>
  <si>
    <t>Xantolo tomará las calles de Pachuca</t>
  </si>
  <si>
    <t>Xantolo</t>
  </si>
  <si>
    <t>Menchaca descarta el Hoy No Circula como solución al tráfico de Pachuca</t>
  </si>
  <si>
    <t>Hidalgo presenta denuncias penales contra fraccionadores</t>
  </si>
  <si>
    <t>Sheinbaum mantiene al río Tula entre prioridades</t>
  </si>
  <si>
    <t>Saneamiento río Tula</t>
  </si>
  <si>
    <t>Suman 15 cabildos contra reforma para dar más facultades</t>
  </si>
  <si>
    <t>Reforma a contrataciones municipales</t>
  </si>
  <si>
    <t>Jorge Reyes impulsa obras que benefician a las familias de Matilde</t>
  </si>
  <si>
    <t>Menchaca impulsa el talento que lleve la cultura hidalguense más allá de sus fronteras</t>
  </si>
  <si>
    <t>Con inversión superior a los 5 mdp, Cristhian Martínez entrega nueva duela en la Unidad Deportiva</t>
  </si>
  <si>
    <t>Fomento Al Deporte</t>
  </si>
  <si>
    <t>Tlaxcoapan celebra el Día de Muertos</t>
  </si>
  <si>
    <t>Concanaco Servytur proyecta derrama de 235 mil millones de pesos en El Buen Fin 2026</t>
  </si>
  <si>
    <t>Buen Fin</t>
  </si>
  <si>
    <t>Muere Cuauhtémoc Cárdenas</t>
  </si>
  <si>
    <t>Congreso de Hidalgo alista foros para analizar regulación de Uber</t>
  </si>
  <si>
    <t>Pachuca prepara el Panteón Municipal para recibir a cerca de 20 mil visitantes</t>
  </si>
  <si>
    <t>Llenos de fe, visitaron miles a San Judas Tadeo</t>
  </si>
  <si>
    <t>Hidalgo presente en el Congreso Educativo Jalisco Academy</t>
  </si>
  <si>
    <t>Congreso académico</t>
  </si>
  <si>
    <t>Pachuca prepara el Panteón Municipal para recibir a cerca de 20  mil visitantes</t>
  </si>
  <si>
    <t>Recuerda: La detección temprana salva vidas</t>
  </si>
  <si>
    <t>Fiesta de las Almas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</si>
</sst>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Autorefresh</xxpvi:lastRefreshFeature>
      </xxpvi:cacheVersionInfo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59" totalsRowShown="0" headerRowDxfId="7" headerRowBorderDxfId="6">
  <autoFilter ref="A1:J59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5" x14ac:dyDescent="0.25"/>
  <cols>
    <col min="1" max="1" width="20.85546875" bestFit="1" customWidth="1"/>
    <col min="2" max="2" width="26.5703125" bestFit="1" customWidth="1"/>
  </cols>
  <sheetData>
    <row r="4" spans="1:2" x14ac:dyDescent="0.25">
      <c r="A4" s="12" t="s">
        <v>86</v>
      </c>
      <c r="B4" t="s">
        <v>85</v>
      </c>
    </row>
    <row r="5" spans="1:2" x14ac:dyDescent="0.25">
      <c r="A5" s="13" t="s">
        <v>71</v>
      </c>
      <c r="B5">
        <v>7</v>
      </c>
    </row>
    <row r="6" spans="1:2" x14ac:dyDescent="0.25">
      <c r="A6" s="14" t="s">
        <v>9</v>
      </c>
      <c r="B6">
        <v>1</v>
      </c>
    </row>
    <row r="7" spans="1:2" x14ac:dyDescent="0.25">
      <c r="A7" s="14" t="s">
        <v>12</v>
      </c>
      <c r="B7">
        <v>5</v>
      </c>
    </row>
    <row r="8" spans="1:2" x14ac:dyDescent="0.25">
      <c r="A8" s="14" t="s">
        <v>13</v>
      </c>
      <c r="B8">
        <v>1</v>
      </c>
    </row>
    <row r="9" spans="1:2" x14ac:dyDescent="0.25">
      <c r="A9" s="13" t="s">
        <v>79</v>
      </c>
      <c r="B9">
        <v>6</v>
      </c>
    </row>
    <row r="10" spans="1:2" x14ac:dyDescent="0.25">
      <c r="A10" s="14" t="s">
        <v>9</v>
      </c>
      <c r="B10">
        <v>1</v>
      </c>
    </row>
    <row r="11" spans="1:2" x14ac:dyDescent="0.25">
      <c r="A11" s="14" t="s">
        <v>12</v>
      </c>
      <c r="B11">
        <v>4</v>
      </c>
    </row>
    <row r="12" spans="1:2" x14ac:dyDescent="0.25">
      <c r="A12" s="14" t="s">
        <v>13</v>
      </c>
      <c r="B12">
        <v>1</v>
      </c>
    </row>
    <row r="13" spans="1:2" x14ac:dyDescent="0.25">
      <c r="A13" s="13" t="s">
        <v>69</v>
      </c>
      <c r="B13">
        <v>6</v>
      </c>
    </row>
    <row r="14" spans="1:2" x14ac:dyDescent="0.25">
      <c r="A14" s="14" t="s">
        <v>9</v>
      </c>
      <c r="B14">
        <v>1</v>
      </c>
    </row>
    <row r="15" spans="1:2" x14ac:dyDescent="0.25">
      <c r="A15" s="14" t="s">
        <v>12</v>
      </c>
      <c r="B15">
        <v>4</v>
      </c>
    </row>
    <row r="16" spans="1:2" x14ac:dyDescent="0.25">
      <c r="A16" s="14" t="s">
        <v>13</v>
      </c>
      <c r="B16">
        <v>1</v>
      </c>
    </row>
    <row r="17" spans="1:2" x14ac:dyDescent="0.25">
      <c r="A17" s="13" t="s">
        <v>77</v>
      </c>
      <c r="B17">
        <v>5</v>
      </c>
    </row>
    <row r="18" spans="1:2" x14ac:dyDescent="0.25">
      <c r="A18" s="14" t="s">
        <v>9</v>
      </c>
      <c r="B18">
        <v>1</v>
      </c>
    </row>
    <row r="19" spans="1:2" x14ac:dyDescent="0.25">
      <c r="A19" s="14" t="s">
        <v>12</v>
      </c>
      <c r="B19">
        <v>3</v>
      </c>
    </row>
    <row r="20" spans="1:2" x14ac:dyDescent="0.25">
      <c r="A20" s="14" t="s">
        <v>13</v>
      </c>
      <c r="B20">
        <v>1</v>
      </c>
    </row>
    <row r="21" spans="1:2" x14ac:dyDescent="0.25">
      <c r="A21" s="13" t="s">
        <v>80</v>
      </c>
      <c r="B21">
        <v>9</v>
      </c>
    </row>
    <row r="22" spans="1:2" x14ac:dyDescent="0.25">
      <c r="A22" s="14" t="s">
        <v>81</v>
      </c>
      <c r="B22">
        <v>1</v>
      </c>
    </row>
    <row r="23" spans="1:2" x14ac:dyDescent="0.25">
      <c r="A23" s="14" t="s">
        <v>12</v>
      </c>
      <c r="B23">
        <v>6</v>
      </c>
    </row>
    <row r="24" spans="1:2" x14ac:dyDescent="0.25">
      <c r="A24" s="14" t="s">
        <v>13</v>
      </c>
      <c r="B24">
        <v>1</v>
      </c>
    </row>
    <row r="25" spans="1:2" x14ac:dyDescent="0.25">
      <c r="A25" s="14" t="s">
        <v>78</v>
      </c>
      <c r="B25">
        <v>1</v>
      </c>
    </row>
    <row r="26" spans="1:2" x14ac:dyDescent="0.25">
      <c r="A26" s="13" t="s">
        <v>74</v>
      </c>
      <c r="B26">
        <v>9</v>
      </c>
    </row>
    <row r="27" spans="1:2" x14ac:dyDescent="0.25">
      <c r="A27" s="14" t="s">
        <v>9</v>
      </c>
      <c r="B27">
        <v>1</v>
      </c>
    </row>
    <row r="28" spans="1:2" x14ac:dyDescent="0.25">
      <c r="A28" s="14" t="s">
        <v>12</v>
      </c>
      <c r="B28">
        <v>7</v>
      </c>
    </row>
    <row r="29" spans="1:2" x14ac:dyDescent="0.25">
      <c r="A29" s="14" t="s">
        <v>13</v>
      </c>
      <c r="B29">
        <v>1</v>
      </c>
    </row>
    <row r="30" spans="1:2" x14ac:dyDescent="0.25">
      <c r="A30" s="13" t="s">
        <v>76</v>
      </c>
      <c r="B30">
        <v>5</v>
      </c>
    </row>
    <row r="31" spans="1:2" x14ac:dyDescent="0.25">
      <c r="A31" s="14" t="s">
        <v>84</v>
      </c>
      <c r="B31">
        <v>1</v>
      </c>
    </row>
    <row r="32" spans="1:2" x14ac:dyDescent="0.25">
      <c r="A32" s="14" t="s">
        <v>12</v>
      </c>
      <c r="B32">
        <v>3</v>
      </c>
    </row>
    <row r="33" spans="1:2" x14ac:dyDescent="0.25">
      <c r="A33" s="14" t="s">
        <v>13</v>
      </c>
      <c r="B33">
        <v>1</v>
      </c>
    </row>
    <row r="34" spans="1:2" x14ac:dyDescent="0.25">
      <c r="A34" s="13" t="s">
        <v>73</v>
      </c>
      <c r="B34">
        <v>4</v>
      </c>
    </row>
    <row r="35" spans="1:2" x14ac:dyDescent="0.25">
      <c r="A35" s="14" t="s">
        <v>12</v>
      </c>
      <c r="B35">
        <v>3</v>
      </c>
    </row>
    <row r="36" spans="1:2" x14ac:dyDescent="0.25">
      <c r="A36" s="14" t="s">
        <v>13</v>
      </c>
      <c r="B36">
        <v>1</v>
      </c>
    </row>
    <row r="37" spans="1:2" x14ac:dyDescent="0.25">
      <c r="A37" s="13" t="s">
        <v>88</v>
      </c>
      <c r="B37">
        <v>6</v>
      </c>
    </row>
    <row r="38" spans="1:2" x14ac:dyDescent="0.25">
      <c r="A38" s="14" t="s">
        <v>9</v>
      </c>
      <c r="B38">
        <v>1</v>
      </c>
    </row>
    <row r="39" spans="1:2" x14ac:dyDescent="0.25">
      <c r="A39" s="14" t="s">
        <v>12</v>
      </c>
      <c r="B39">
        <v>4</v>
      </c>
    </row>
    <row r="40" spans="1:2" x14ac:dyDescent="0.25">
      <c r="A40" s="14" t="s">
        <v>13</v>
      </c>
      <c r="B40">
        <v>1</v>
      </c>
    </row>
    <row r="41" spans="1:2" x14ac:dyDescent="0.25">
      <c r="A41" s="13" t="s">
        <v>89</v>
      </c>
      <c r="B41">
        <v>7</v>
      </c>
    </row>
    <row r="42" spans="1:2" x14ac:dyDescent="0.25">
      <c r="A42" s="14" t="s">
        <v>12</v>
      </c>
      <c r="B42">
        <v>5</v>
      </c>
    </row>
    <row r="43" spans="1:2" x14ac:dyDescent="0.25">
      <c r="A43" s="14" t="s">
        <v>13</v>
      </c>
      <c r="B43">
        <v>1</v>
      </c>
    </row>
    <row r="44" spans="1:2" x14ac:dyDescent="0.25">
      <c r="A44" s="14" t="s">
        <v>78</v>
      </c>
      <c r="B44">
        <v>1</v>
      </c>
    </row>
    <row r="45" spans="1:2" x14ac:dyDescent="0.25">
      <c r="A45" s="13" t="s">
        <v>87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59"/>
  <sheetViews>
    <sheetView tabSelected="1" workbookViewId="0">
      <selection activeCell="A2" sqref="A2:H59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46324</v>
      </c>
      <c r="B2" t="s">
        <v>79</v>
      </c>
      <c r="C2" s="5" t="s">
        <v>97</v>
      </c>
      <c r="D2" t="s">
        <v>12</v>
      </c>
      <c r="E2" t="s">
        <v>10</v>
      </c>
      <c r="F2" t="s">
        <v>10</v>
      </c>
      <c r="G2" t="s">
        <v>91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46324</v>
      </c>
      <c r="B3" t="s">
        <v>79</v>
      </c>
      <c r="C3" s="5" t="s">
        <v>98</v>
      </c>
      <c r="D3" t="s">
        <v>12</v>
      </c>
      <c r="E3" t="s">
        <v>27</v>
      </c>
      <c r="F3" t="s">
        <v>27</v>
      </c>
      <c r="G3" t="s">
        <v>99</v>
      </c>
      <c r="H3" t="s">
        <v>68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Gabinete</v>
      </c>
    </row>
    <row r="4" spans="1:10" x14ac:dyDescent="0.25">
      <c r="A4" s="11">
        <v>46324</v>
      </c>
      <c r="B4" t="s">
        <v>79</v>
      </c>
      <c r="C4" s="5" t="s">
        <v>100</v>
      </c>
      <c r="D4" t="s">
        <v>13</v>
      </c>
      <c r="E4" t="s">
        <v>14</v>
      </c>
      <c r="F4" t="s">
        <v>14</v>
      </c>
      <c r="G4" t="s">
        <v>101</v>
      </c>
      <c r="H4" t="s">
        <v>11</v>
      </c>
      <c r="I4" t="str">
        <f>_xlfn.XLOOKUP(Tabla1[[#This Row],[Dependencia]],Tabla2[Dependencia],Tabla2[Clasificación],"XXX",0)</f>
        <v>Presidencia de la República</v>
      </c>
      <c r="J4" t="str">
        <f>_xlfn.XLOOKUP(Tabla1[[#This Row],[Dependencia]],Tabla3[Dependencia],Tabla3[Nivel],"Otros",0)</f>
        <v>Otros</v>
      </c>
    </row>
    <row r="5" spans="1:10" x14ac:dyDescent="0.25">
      <c r="A5" s="11">
        <v>46324</v>
      </c>
      <c r="B5" t="s">
        <v>79</v>
      </c>
      <c r="C5" s="5" t="s">
        <v>102</v>
      </c>
      <c r="D5" t="s">
        <v>12</v>
      </c>
      <c r="E5" t="s">
        <v>10</v>
      </c>
      <c r="F5" t="s">
        <v>10</v>
      </c>
      <c r="G5" t="s">
        <v>70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46324</v>
      </c>
      <c r="B6" t="s">
        <v>79</v>
      </c>
      <c r="C6" s="5" t="s">
        <v>103</v>
      </c>
      <c r="D6" t="s">
        <v>9</v>
      </c>
      <c r="E6" t="s">
        <v>10</v>
      </c>
      <c r="F6" t="s">
        <v>10</v>
      </c>
      <c r="G6" t="s">
        <v>91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46324</v>
      </c>
      <c r="B7" t="s">
        <v>79</v>
      </c>
      <c r="C7" s="5" t="s">
        <v>104</v>
      </c>
      <c r="D7" t="s">
        <v>12</v>
      </c>
      <c r="E7" t="s">
        <v>24</v>
      </c>
      <c r="F7" t="s">
        <v>24</v>
      </c>
      <c r="G7" t="s">
        <v>94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ht="30" x14ac:dyDescent="0.25">
      <c r="A8" s="11">
        <v>46324</v>
      </c>
      <c r="B8" t="s">
        <v>69</v>
      </c>
      <c r="C8" s="5" t="s">
        <v>105</v>
      </c>
      <c r="D8" t="s">
        <v>13</v>
      </c>
      <c r="E8" t="s">
        <v>24</v>
      </c>
      <c r="F8" t="s">
        <v>24</v>
      </c>
      <c r="G8" t="s">
        <v>106</v>
      </c>
      <c r="H8" t="s">
        <v>72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25">
      <c r="A9" s="11">
        <v>46324</v>
      </c>
      <c r="B9" t="s">
        <v>69</v>
      </c>
      <c r="C9" s="5" t="s">
        <v>107</v>
      </c>
      <c r="D9" t="s">
        <v>12</v>
      </c>
      <c r="E9" t="s">
        <v>24</v>
      </c>
      <c r="F9" t="s">
        <v>24</v>
      </c>
      <c r="G9" t="s">
        <v>95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25">
      <c r="A10" s="11">
        <v>46324</v>
      </c>
      <c r="B10" t="s">
        <v>69</v>
      </c>
      <c r="C10" s="5" t="s">
        <v>108</v>
      </c>
      <c r="D10" t="s">
        <v>12</v>
      </c>
      <c r="E10" t="s">
        <v>10</v>
      </c>
      <c r="F10" t="s">
        <v>10</v>
      </c>
      <c r="G10" t="s">
        <v>91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46324</v>
      </c>
      <c r="B11" t="s">
        <v>69</v>
      </c>
      <c r="C11" s="5" t="s">
        <v>109</v>
      </c>
      <c r="D11" t="s">
        <v>9</v>
      </c>
      <c r="E11" t="s">
        <v>16</v>
      </c>
      <c r="F11" t="s">
        <v>16</v>
      </c>
      <c r="G11" t="s">
        <v>90</v>
      </c>
      <c r="H11" t="s">
        <v>11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46324</v>
      </c>
      <c r="B12" t="s">
        <v>69</v>
      </c>
      <c r="C12" s="5" t="s">
        <v>110</v>
      </c>
      <c r="D12" t="s">
        <v>12</v>
      </c>
      <c r="E12" t="s">
        <v>14</v>
      </c>
      <c r="F12" t="s">
        <v>111</v>
      </c>
      <c r="G12" t="s">
        <v>112</v>
      </c>
      <c r="H12" t="s">
        <v>11</v>
      </c>
      <c r="I12" t="str">
        <f>_xlfn.XLOOKUP(Tabla1[[#This Row],[Dependencia]],Tabla2[Dependencia],Tabla2[Clasificación],"XXX",0)</f>
        <v>Presidencia de la República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46324</v>
      </c>
      <c r="B13" t="s">
        <v>69</v>
      </c>
      <c r="C13" s="5" t="s">
        <v>113</v>
      </c>
      <c r="D13" t="s">
        <v>12</v>
      </c>
      <c r="E13" t="s">
        <v>33</v>
      </c>
      <c r="F13" t="s">
        <v>33</v>
      </c>
      <c r="G13" t="s">
        <v>114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46324</v>
      </c>
      <c r="B14" t="s">
        <v>71</v>
      </c>
      <c r="C14" s="5" t="s">
        <v>115</v>
      </c>
      <c r="D14" t="s">
        <v>12</v>
      </c>
      <c r="E14" t="s">
        <v>33</v>
      </c>
      <c r="F14" t="s">
        <v>33</v>
      </c>
      <c r="G14" t="s">
        <v>114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46324</v>
      </c>
      <c r="B15" t="s">
        <v>71</v>
      </c>
      <c r="C15" s="5" t="s">
        <v>116</v>
      </c>
      <c r="D15" t="s">
        <v>12</v>
      </c>
      <c r="E15" t="s">
        <v>10</v>
      </c>
      <c r="F15" t="s">
        <v>10</v>
      </c>
      <c r="G15" t="s">
        <v>61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46324</v>
      </c>
      <c r="B16" t="s">
        <v>71</v>
      </c>
      <c r="C16" s="5" t="s">
        <v>117</v>
      </c>
      <c r="D16" t="s">
        <v>13</v>
      </c>
      <c r="E16" t="s">
        <v>40</v>
      </c>
      <c r="F16" t="s">
        <v>40</v>
      </c>
      <c r="G16" t="s">
        <v>92</v>
      </c>
      <c r="H16" t="s">
        <v>68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ht="30" x14ac:dyDescent="0.25">
      <c r="A17" s="11">
        <v>46324</v>
      </c>
      <c r="B17" t="s">
        <v>71</v>
      </c>
      <c r="C17" s="5" t="s">
        <v>118</v>
      </c>
      <c r="D17" t="s">
        <v>12</v>
      </c>
      <c r="E17" t="s">
        <v>16</v>
      </c>
      <c r="F17" t="s">
        <v>83</v>
      </c>
      <c r="G17" t="s">
        <v>119</v>
      </c>
      <c r="H17" t="s">
        <v>11</v>
      </c>
      <c r="I17" t="str">
        <f>_xlfn.XLOOKUP(Tabla1[[#This Row],[Dependencia]],Tabla2[Dependencia],Tabla2[Clasificación],"XXX",0)</f>
        <v>Alcaldías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46324</v>
      </c>
      <c r="B18" t="s">
        <v>71</v>
      </c>
      <c r="C18" s="5" t="s">
        <v>120</v>
      </c>
      <c r="D18" t="s">
        <v>9</v>
      </c>
      <c r="E18" t="s">
        <v>10</v>
      </c>
      <c r="F18" t="s">
        <v>10</v>
      </c>
      <c r="G18" t="s">
        <v>91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46324</v>
      </c>
      <c r="B19" t="s">
        <v>71</v>
      </c>
      <c r="C19" s="5" t="s">
        <v>121</v>
      </c>
      <c r="D19" t="s">
        <v>12</v>
      </c>
      <c r="E19" t="s">
        <v>10</v>
      </c>
      <c r="F19" t="s">
        <v>10</v>
      </c>
      <c r="G19" t="s">
        <v>70</v>
      </c>
      <c r="H19" t="s">
        <v>11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46324</v>
      </c>
      <c r="B20" t="s">
        <v>71</v>
      </c>
      <c r="C20" s="5" t="s">
        <v>122</v>
      </c>
      <c r="D20" t="s">
        <v>12</v>
      </c>
      <c r="E20" t="s">
        <v>10</v>
      </c>
      <c r="F20" t="s">
        <v>10</v>
      </c>
      <c r="G20" t="s">
        <v>70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46324</v>
      </c>
      <c r="B21" t="s">
        <v>74</v>
      </c>
      <c r="C21" s="5" t="s">
        <v>123</v>
      </c>
      <c r="D21" t="s">
        <v>12</v>
      </c>
      <c r="E21" t="s">
        <v>14</v>
      </c>
      <c r="F21" t="s">
        <v>14</v>
      </c>
      <c r="G21" t="s">
        <v>96</v>
      </c>
      <c r="H21" t="s">
        <v>11</v>
      </c>
      <c r="I21" t="str">
        <f>_xlfn.XLOOKUP(Tabla1[[#This Row],[Dependencia]],Tabla2[Dependencia],Tabla2[Clasificación],"XXX",0)</f>
        <v>Presidencia de la República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46324</v>
      </c>
      <c r="B22" t="s">
        <v>74</v>
      </c>
      <c r="C22" s="5" t="s">
        <v>124</v>
      </c>
      <c r="D22" t="s">
        <v>12</v>
      </c>
      <c r="E22" t="s">
        <v>14</v>
      </c>
      <c r="F22" t="s">
        <v>125</v>
      </c>
      <c r="G22" t="s">
        <v>126</v>
      </c>
      <c r="H22" t="s">
        <v>72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46324</v>
      </c>
      <c r="B23" t="s">
        <v>74</v>
      </c>
      <c r="C23" s="5" t="s">
        <v>127</v>
      </c>
      <c r="D23" t="s">
        <v>13</v>
      </c>
      <c r="E23" t="s">
        <v>10</v>
      </c>
      <c r="F23" t="s">
        <v>10</v>
      </c>
      <c r="G23" t="s">
        <v>91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46324</v>
      </c>
      <c r="B24" t="s">
        <v>74</v>
      </c>
      <c r="C24" s="5" t="s">
        <v>128</v>
      </c>
      <c r="D24" t="s">
        <v>12</v>
      </c>
      <c r="E24" t="s">
        <v>17</v>
      </c>
      <c r="F24" t="s">
        <v>17</v>
      </c>
      <c r="G24" t="s">
        <v>129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46324</v>
      </c>
      <c r="B25" t="s">
        <v>77</v>
      </c>
      <c r="C25" s="5" t="s">
        <v>130</v>
      </c>
      <c r="D25" t="s">
        <v>12</v>
      </c>
      <c r="E25" t="s">
        <v>10</v>
      </c>
      <c r="F25" t="s">
        <v>10</v>
      </c>
      <c r="G25" t="s">
        <v>131</v>
      </c>
      <c r="H25" t="s">
        <v>68</v>
      </c>
      <c r="I25" t="str">
        <f>_xlfn.XLOOKUP(Tabla1[[#This Row],[Dependencia]],Tabla2[Dependencia],Tabla2[Clasificación],"XXX",0)</f>
        <v>Otros</v>
      </c>
      <c r="J25" t="str">
        <f>_xlfn.XLOOKUP(Tabla1[[#This Row],[Dependencia]],Tabla3[Dependencia],Tabla3[Nivel],"Otros",0)</f>
        <v>Otros</v>
      </c>
    </row>
    <row r="26" spans="1:10" x14ac:dyDescent="0.25">
      <c r="A26" s="11">
        <v>46324</v>
      </c>
      <c r="B26" t="s">
        <v>77</v>
      </c>
      <c r="C26" s="5" t="s">
        <v>132</v>
      </c>
      <c r="D26" t="s">
        <v>12</v>
      </c>
      <c r="E26" t="s">
        <v>14</v>
      </c>
      <c r="F26" t="s">
        <v>14</v>
      </c>
      <c r="G26" t="s">
        <v>92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46324</v>
      </c>
      <c r="B27" t="s">
        <v>77</v>
      </c>
      <c r="C27" s="5" t="s">
        <v>133</v>
      </c>
      <c r="D27" t="s">
        <v>9</v>
      </c>
      <c r="E27" t="s">
        <v>10</v>
      </c>
      <c r="F27" t="s">
        <v>10</v>
      </c>
      <c r="G27" t="s">
        <v>91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60" x14ac:dyDescent="0.25">
      <c r="A28" s="11">
        <v>46324</v>
      </c>
      <c r="B28" t="s">
        <v>77</v>
      </c>
      <c r="C28" s="5" t="s">
        <v>134</v>
      </c>
      <c r="D28" t="s">
        <v>12</v>
      </c>
      <c r="E28" t="s">
        <v>17</v>
      </c>
      <c r="F28" t="s">
        <v>135</v>
      </c>
      <c r="G28" t="s">
        <v>136</v>
      </c>
      <c r="H28" t="s">
        <v>11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11">
        <v>46324</v>
      </c>
      <c r="B29" t="s">
        <v>73</v>
      </c>
      <c r="C29" s="5" t="s">
        <v>137</v>
      </c>
      <c r="D29" t="s">
        <v>13</v>
      </c>
      <c r="E29" t="s">
        <v>10</v>
      </c>
      <c r="F29" t="s">
        <v>10</v>
      </c>
      <c r="G29" t="s">
        <v>91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46324</v>
      </c>
      <c r="B30" t="s">
        <v>73</v>
      </c>
      <c r="C30" s="5" t="s">
        <v>138</v>
      </c>
      <c r="D30" t="s">
        <v>12</v>
      </c>
      <c r="E30" t="s">
        <v>24</v>
      </c>
      <c r="F30" t="s">
        <v>24</v>
      </c>
      <c r="G30" t="s">
        <v>95</v>
      </c>
      <c r="H30" t="s">
        <v>11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Gobernador</v>
      </c>
    </row>
    <row r="31" spans="1:10" x14ac:dyDescent="0.25">
      <c r="A31" s="11">
        <v>46324</v>
      </c>
      <c r="B31" t="s">
        <v>73</v>
      </c>
      <c r="C31" s="5" t="s">
        <v>139</v>
      </c>
      <c r="D31" t="s">
        <v>12</v>
      </c>
      <c r="E31" t="s">
        <v>16</v>
      </c>
      <c r="F31" t="s">
        <v>83</v>
      </c>
      <c r="G31" t="s">
        <v>119</v>
      </c>
      <c r="H31" t="s">
        <v>11</v>
      </c>
      <c r="I31" t="str">
        <f>_xlfn.XLOOKUP(Tabla1[[#This Row],[Dependencia]],Tabla2[Dependencia],Tabla2[Clasificación],"XXX",0)</f>
        <v>Alcaldías</v>
      </c>
      <c r="J31" t="str">
        <f>_xlfn.XLOOKUP(Tabla1[[#This Row],[Dependencia]],Tabla3[Dependencia],Tabla3[Nivel],"Otros",0)</f>
        <v>Otros</v>
      </c>
    </row>
    <row r="32" spans="1:10" x14ac:dyDescent="0.25">
      <c r="A32" s="11">
        <v>46324</v>
      </c>
      <c r="B32" t="s">
        <v>73</v>
      </c>
      <c r="C32" s="5" t="s">
        <v>139</v>
      </c>
      <c r="D32" t="s">
        <v>12</v>
      </c>
      <c r="E32" t="s">
        <v>16</v>
      </c>
      <c r="F32" t="s">
        <v>83</v>
      </c>
      <c r="G32" t="s">
        <v>119</v>
      </c>
      <c r="H32" t="s">
        <v>11</v>
      </c>
      <c r="I32" t="str">
        <f>_xlfn.XLOOKUP(Tabla1[[#This Row],[Dependencia]],Tabla2[Dependencia],Tabla2[Clasificación],"XXX",0)</f>
        <v>Alcaldías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46324</v>
      </c>
      <c r="B33" t="s">
        <v>73</v>
      </c>
      <c r="C33" s="5" t="s">
        <v>140</v>
      </c>
      <c r="D33" t="s">
        <v>12</v>
      </c>
      <c r="E33" t="s">
        <v>24</v>
      </c>
      <c r="F33" t="s">
        <v>24</v>
      </c>
      <c r="G33" t="s">
        <v>141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Gobernador</v>
      </c>
    </row>
    <row r="34" spans="1:10" ht="30" x14ac:dyDescent="0.25">
      <c r="A34" s="11">
        <v>46324</v>
      </c>
      <c r="B34" t="s">
        <v>76</v>
      </c>
      <c r="C34" s="5" t="s">
        <v>142</v>
      </c>
      <c r="D34" t="s">
        <v>13</v>
      </c>
      <c r="E34" t="s">
        <v>10</v>
      </c>
      <c r="F34" t="s">
        <v>10</v>
      </c>
      <c r="G34" t="s">
        <v>91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46324</v>
      </c>
      <c r="B35" t="s">
        <v>76</v>
      </c>
      <c r="C35" s="5" t="s">
        <v>143</v>
      </c>
      <c r="D35" t="s">
        <v>12</v>
      </c>
      <c r="E35" t="s">
        <v>24</v>
      </c>
      <c r="F35" t="s">
        <v>24</v>
      </c>
      <c r="G35" t="s">
        <v>144</v>
      </c>
      <c r="H35" t="s">
        <v>72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75" x14ac:dyDescent="0.25">
      <c r="A36" s="11">
        <v>46324</v>
      </c>
      <c r="B36" t="s">
        <v>76</v>
      </c>
      <c r="C36" s="5" t="s">
        <v>145</v>
      </c>
      <c r="D36" t="s">
        <v>84</v>
      </c>
      <c r="E36" t="s">
        <v>10</v>
      </c>
      <c r="F36" t="s">
        <v>10</v>
      </c>
      <c r="G36" t="s">
        <v>91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11">
        <v>46324</v>
      </c>
      <c r="B37" t="s">
        <v>76</v>
      </c>
      <c r="C37" s="5" t="s">
        <v>146</v>
      </c>
      <c r="D37" t="s">
        <v>12</v>
      </c>
      <c r="E37" t="s">
        <v>22</v>
      </c>
      <c r="F37" t="s">
        <v>22</v>
      </c>
      <c r="G37" t="s">
        <v>147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11">
        <v>46324</v>
      </c>
      <c r="B38" t="s">
        <v>76</v>
      </c>
      <c r="C38" s="5" t="s">
        <v>148</v>
      </c>
      <c r="D38" t="s">
        <v>12</v>
      </c>
      <c r="E38" t="s">
        <v>16</v>
      </c>
      <c r="F38" t="s">
        <v>83</v>
      </c>
      <c r="G38" t="s">
        <v>119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46324</v>
      </c>
      <c r="B39" t="s">
        <v>76</v>
      </c>
      <c r="C39" s="5" t="s">
        <v>149</v>
      </c>
      <c r="D39" t="s">
        <v>12</v>
      </c>
      <c r="E39" t="s">
        <v>23</v>
      </c>
      <c r="F39" t="s">
        <v>23</v>
      </c>
      <c r="G39" t="s">
        <v>150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11">
        <v>46324</v>
      </c>
      <c r="B40" t="s">
        <v>76</v>
      </c>
      <c r="C40" s="5" t="s">
        <v>151</v>
      </c>
      <c r="D40" t="s">
        <v>9</v>
      </c>
      <c r="E40" t="s">
        <v>28</v>
      </c>
      <c r="F40" t="s">
        <v>28</v>
      </c>
      <c r="G40" t="s">
        <v>152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11">
        <v>46324</v>
      </c>
      <c r="B41" t="s">
        <v>76</v>
      </c>
      <c r="C41" s="5" t="s">
        <v>153</v>
      </c>
      <c r="D41" t="s">
        <v>13</v>
      </c>
      <c r="E41" t="s">
        <v>24</v>
      </c>
      <c r="F41" t="s">
        <v>24</v>
      </c>
      <c r="G41" t="s">
        <v>95</v>
      </c>
      <c r="H41" t="s">
        <v>11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Gobernador</v>
      </c>
    </row>
    <row r="42" spans="1:10" ht="30" x14ac:dyDescent="0.25">
      <c r="A42" s="11">
        <v>46324</v>
      </c>
      <c r="B42" t="s">
        <v>76</v>
      </c>
      <c r="C42" s="5" t="s">
        <v>154</v>
      </c>
      <c r="D42" t="s">
        <v>12</v>
      </c>
      <c r="E42" t="s">
        <v>24</v>
      </c>
      <c r="F42" t="s">
        <v>24</v>
      </c>
      <c r="G42" t="s">
        <v>106</v>
      </c>
      <c r="H42" t="s">
        <v>72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25">
      <c r="A43" s="11">
        <v>46324</v>
      </c>
      <c r="B43" t="s">
        <v>76</v>
      </c>
      <c r="C43" s="5" t="s">
        <v>155</v>
      </c>
      <c r="D43" t="s">
        <v>12</v>
      </c>
      <c r="E43" t="s">
        <v>14</v>
      </c>
      <c r="F43" t="s">
        <v>14</v>
      </c>
      <c r="G43" t="s">
        <v>156</v>
      </c>
      <c r="H43" t="s">
        <v>72</v>
      </c>
      <c r="I43" t="str">
        <f>_xlfn.XLOOKUP(Tabla1[[#This Row],[Dependencia]],Tabla2[Dependencia],Tabla2[Clasificación],"XXX",0)</f>
        <v>Presidencia de la República</v>
      </c>
      <c r="J43" t="str">
        <f>_xlfn.XLOOKUP(Tabla1[[#This Row],[Dependencia]],Tabla3[Dependencia],Tabla3[Nivel],"Otros",0)</f>
        <v>Otros</v>
      </c>
    </row>
    <row r="44" spans="1:10" ht="30" x14ac:dyDescent="0.25">
      <c r="A44" s="11">
        <v>46324</v>
      </c>
      <c r="B44" t="s">
        <v>80</v>
      </c>
      <c r="C44" s="5" t="s">
        <v>157</v>
      </c>
      <c r="D44" t="s">
        <v>81</v>
      </c>
      <c r="E44" t="s">
        <v>16</v>
      </c>
      <c r="F44" t="s">
        <v>16</v>
      </c>
      <c r="G44" t="s">
        <v>158</v>
      </c>
      <c r="H44" t="s">
        <v>11</v>
      </c>
      <c r="I44" t="str">
        <f>_xlfn.XLOOKUP(Tabla1[[#This Row],[Dependencia]],Tabla2[Dependencia],Tabla2[Clasificación],"XXX",0)</f>
        <v>Alcaldías</v>
      </c>
      <c r="J44" t="str">
        <f>_xlfn.XLOOKUP(Tabla1[[#This Row],[Dependencia]],Tabla3[Dependencia],Tabla3[Nivel],"Otros",0)</f>
        <v>Otros</v>
      </c>
    </row>
    <row r="45" spans="1:10" ht="30" x14ac:dyDescent="0.25">
      <c r="A45" s="11">
        <v>46324</v>
      </c>
      <c r="B45" t="s">
        <v>80</v>
      </c>
      <c r="C45" s="5" t="s">
        <v>159</v>
      </c>
      <c r="D45" t="s">
        <v>12</v>
      </c>
      <c r="E45" t="s">
        <v>16</v>
      </c>
      <c r="F45" t="s">
        <v>83</v>
      </c>
      <c r="G45" t="s">
        <v>119</v>
      </c>
      <c r="H45" t="s">
        <v>72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46324</v>
      </c>
      <c r="B46" t="s">
        <v>80</v>
      </c>
      <c r="C46" s="5" t="s">
        <v>160</v>
      </c>
      <c r="D46" t="s">
        <v>13</v>
      </c>
      <c r="E46" t="s">
        <v>24</v>
      </c>
      <c r="F46" t="s">
        <v>24</v>
      </c>
      <c r="G46" t="s">
        <v>141</v>
      </c>
      <c r="H46" t="s">
        <v>72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Gobernador</v>
      </c>
    </row>
    <row r="47" spans="1:10" ht="30" x14ac:dyDescent="0.25">
      <c r="A47" s="11">
        <v>46324</v>
      </c>
      <c r="B47" t="s">
        <v>80</v>
      </c>
      <c r="C47" s="5" t="s">
        <v>161</v>
      </c>
      <c r="D47" t="s">
        <v>12</v>
      </c>
      <c r="E47" t="s">
        <v>16</v>
      </c>
      <c r="F47" t="s">
        <v>83</v>
      </c>
      <c r="G47" t="s">
        <v>162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x14ac:dyDescent="0.25">
      <c r="A48" s="11">
        <v>46324</v>
      </c>
      <c r="B48" t="s">
        <v>80</v>
      </c>
      <c r="C48" s="5" t="s">
        <v>163</v>
      </c>
      <c r="D48" t="s">
        <v>12</v>
      </c>
      <c r="E48" t="s">
        <v>16</v>
      </c>
      <c r="F48" t="s">
        <v>16</v>
      </c>
      <c r="G48" t="s">
        <v>90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46324</v>
      </c>
      <c r="B49" t="s">
        <v>80</v>
      </c>
      <c r="C49" s="5" t="s">
        <v>164</v>
      </c>
      <c r="D49" t="s">
        <v>12</v>
      </c>
      <c r="E49" t="s">
        <v>10</v>
      </c>
      <c r="F49" t="s">
        <v>10</v>
      </c>
      <c r="G49" t="s">
        <v>165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46324</v>
      </c>
      <c r="B50" t="s">
        <v>80</v>
      </c>
      <c r="C50" s="5" t="s">
        <v>166</v>
      </c>
      <c r="D50" t="s">
        <v>12</v>
      </c>
      <c r="E50" t="s">
        <v>10</v>
      </c>
      <c r="F50" t="s">
        <v>10</v>
      </c>
      <c r="G50" t="s">
        <v>91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46324</v>
      </c>
      <c r="B51" t="s">
        <v>80</v>
      </c>
      <c r="C51" s="5" t="s">
        <v>167</v>
      </c>
      <c r="D51" t="s">
        <v>12</v>
      </c>
      <c r="E51" t="s">
        <v>33</v>
      </c>
      <c r="F51" t="s">
        <v>33</v>
      </c>
      <c r="G51" t="s">
        <v>93</v>
      </c>
      <c r="H51" t="s">
        <v>72</v>
      </c>
      <c r="I51" t="str">
        <f>_xlfn.XLOOKUP(Tabla1[[#This Row],[Dependencia]],Tabla2[Dependencia],Tabla2[Clasificación],"XXX",0)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11">
        <v>46324</v>
      </c>
      <c r="B52" t="s">
        <v>80</v>
      </c>
      <c r="C52" s="5" t="s">
        <v>168</v>
      </c>
      <c r="D52" t="s">
        <v>12</v>
      </c>
      <c r="E52" t="s">
        <v>16</v>
      </c>
      <c r="F52" t="s">
        <v>16</v>
      </c>
      <c r="G52" t="s">
        <v>90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30" x14ac:dyDescent="0.25">
      <c r="A53" s="11">
        <v>46324</v>
      </c>
      <c r="B53" t="s">
        <v>89</v>
      </c>
      <c r="C53" s="5" t="s">
        <v>160</v>
      </c>
      <c r="D53" t="s">
        <v>13</v>
      </c>
      <c r="E53" t="s">
        <v>24</v>
      </c>
      <c r="F53" t="s">
        <v>24</v>
      </c>
      <c r="G53" t="s">
        <v>141</v>
      </c>
      <c r="H53" t="s">
        <v>72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11">
        <v>46324</v>
      </c>
      <c r="B54" t="s">
        <v>89</v>
      </c>
      <c r="C54" s="5" t="s">
        <v>169</v>
      </c>
      <c r="D54" t="s">
        <v>12</v>
      </c>
      <c r="E54" t="s">
        <v>10</v>
      </c>
      <c r="F54" t="s">
        <v>10</v>
      </c>
      <c r="G54" t="s">
        <v>91</v>
      </c>
      <c r="H54" t="s">
        <v>11</v>
      </c>
      <c r="I54" t="str">
        <f>_xlfn.XLOOKUP(Tabla1[[#This Row],[Dependencia]],Tabla2[Dependencia],Tabla2[Clasificación],"XXX",0)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11">
        <v>46324</v>
      </c>
      <c r="B55" t="s">
        <v>89</v>
      </c>
      <c r="C55" s="5" t="s">
        <v>170</v>
      </c>
      <c r="D55" t="s">
        <v>12</v>
      </c>
      <c r="E55" t="s">
        <v>26</v>
      </c>
      <c r="F55" t="s">
        <v>26</v>
      </c>
      <c r="G55" t="s">
        <v>171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46324</v>
      </c>
      <c r="B56" t="s">
        <v>89</v>
      </c>
      <c r="C56" s="5" t="s">
        <v>159</v>
      </c>
      <c r="D56" t="s">
        <v>12</v>
      </c>
      <c r="E56" t="s">
        <v>16</v>
      </c>
      <c r="F56" t="s">
        <v>83</v>
      </c>
      <c r="G56" t="s">
        <v>119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11">
        <v>46324</v>
      </c>
      <c r="B57" t="s">
        <v>89</v>
      </c>
      <c r="C57" s="5" t="s">
        <v>172</v>
      </c>
      <c r="D57" t="s">
        <v>12</v>
      </c>
      <c r="E57" t="s">
        <v>16</v>
      </c>
      <c r="F57" t="s">
        <v>16</v>
      </c>
      <c r="G57" t="s">
        <v>90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46324</v>
      </c>
      <c r="B58" t="s">
        <v>89</v>
      </c>
      <c r="C58" s="5" t="s">
        <v>173</v>
      </c>
      <c r="D58" t="s">
        <v>78</v>
      </c>
      <c r="E58" t="s">
        <v>16</v>
      </c>
      <c r="F58" t="s">
        <v>16</v>
      </c>
      <c r="G58" t="s">
        <v>82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46324</v>
      </c>
      <c r="B59" t="s">
        <v>89</v>
      </c>
      <c r="C59" s="5" t="s">
        <v>174</v>
      </c>
      <c r="D59" t="s">
        <v>78</v>
      </c>
      <c r="E59" t="s">
        <v>28</v>
      </c>
      <c r="F59" t="s">
        <v>28</v>
      </c>
      <c r="G59" t="s">
        <v>90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</sheetData>
  <conditionalFormatting sqref="I2:I59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67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67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  <row r="49" spans="1:2" x14ac:dyDescent="0.2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2026-10-29T15:48:30Z</dcterms:modified>
</cp:coreProperties>
</file>