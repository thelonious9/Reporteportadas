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DE509F72-9B92-4390-B1BB-D55A2DEDBB6C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2" i="1"/>
  <c r="I2" i="1"/>
</calcChain>
</file>

<file path=xl/sharedStrings.xml><?xml version="1.0" encoding="utf-8"?>
<sst xmlns="http://schemas.openxmlformats.org/spreadsheetml/2006/main" count="643" uniqueCount="205">
  <si>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</si>
  <si>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</si>
  <si>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</si>
  <si>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</si>
  <si>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</si>
  <si>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</si>
  <si>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</si>
  <si>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</si>
  <si>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</si>
  <si>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</si>
  <si>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</si>
  <si>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</si>
  <si>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</si>
  <si>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</si>
  <si>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</si>
  <si>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</si>
  <si>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</si>
  <si>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</si>
  <si>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</si>
  <si>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</si>
  <si>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</si>
  <si>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</si>
  <si>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</si>
  <si>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</si>
  <si>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</si>
  <si>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</si>
  <si>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</si>
  <si>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</si>
  <si>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</si>
  <si>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</si>
  <si>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</si>
  <si>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</si>
  <si>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</si>
  <si>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</si>
  <si>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</si>
  <si>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</si>
  <si>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</si>
  <si>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</si>
  <si>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</si>
  <si>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</si>
  <si>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</si>
  <si>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</si>
  <si>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</si>
  <si>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</si>
  <si>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</si>
  <si>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</si>
  <si>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</si>
  <si>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</si>
  <si>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</si>
  <si>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</si>
  <si>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</si>
  <si>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</si>
  <si>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</si>
  <si>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</si>
  <si>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</si>
  <si>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</si>
  <si>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</si>
  <si>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</si>
  <si>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</si>
  <si>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</si>
  <si>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</si>
  <si>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</si>
  <si>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</si>
  <si>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</si>
  <si>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</si>
  <si>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</si>
  <si>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</si>
  <si>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</si>
  <si>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</si>
  <si>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</si>
  <si>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</si>
  <si>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</si>
  <si>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</si>
  <si>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</si>
  <si>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Plaza Juárez</t>
  </si>
  <si>
    <t>Negativa</t>
  </si>
  <si>
    <t>Zunoticia</t>
  </si>
  <si>
    <t>Publicidad</t>
  </si>
  <si>
    <t>Milenio Hidalgo</t>
  </si>
  <si>
    <t>Incidencia Delictiva</t>
  </si>
  <si>
    <t>El Universal Hidalgo</t>
  </si>
  <si>
    <t>Criterio</t>
  </si>
  <si>
    <t>Pachuca Brilla</t>
  </si>
  <si>
    <t>Temas varios</t>
  </si>
  <si>
    <t>Combate Al Huachicol</t>
  </si>
  <si>
    <t>Marfeca</t>
  </si>
  <si>
    <t>Temas internacionales</t>
  </si>
  <si>
    <t>Cintillo</t>
  </si>
  <si>
    <t>Irregularidades exalcalde</t>
  </si>
  <si>
    <t>Alcalde</t>
  </si>
  <si>
    <t>Jóvenes, a favor de apps de transporte</t>
  </si>
  <si>
    <t>Apps de transporte</t>
  </si>
  <si>
    <t>Cachibol fortalece salud física y mental</t>
  </si>
  <si>
    <t>Envejecimiento saludable</t>
  </si>
  <si>
    <t>Ayuntamientos no pueden regular tarifas</t>
  </si>
  <si>
    <t>Cobro de estacionamiento</t>
  </si>
  <si>
    <t>Bodas pueden costar hasta 500 mil pesos</t>
  </si>
  <si>
    <t>El Mayo recibe cadena perpetua</t>
  </si>
  <si>
    <t>Repuntan viajes por el inicio de las vacaciones</t>
  </si>
  <si>
    <t>Periodo vacacional</t>
  </si>
  <si>
    <t>Resuelve el Poder Judicial apenas 38% de los asuntos</t>
  </si>
  <si>
    <t>Rezago</t>
  </si>
  <si>
    <t>Entrego gobierno de Fayad contratos a operador financiero del Cártel del Noreste</t>
  </si>
  <si>
    <t>Anomalías Fayad</t>
  </si>
  <si>
    <t>Dan 10 años de prisión a profe violador</t>
  </si>
  <si>
    <t>Sentencia</t>
  </si>
  <si>
    <t>Preparan brigadas de atención</t>
  </si>
  <si>
    <t>Sipdus</t>
  </si>
  <si>
    <t>CEVI</t>
  </si>
  <si>
    <t>Huracán Priscilla</t>
  </si>
  <si>
    <t>Toman vecinos alcaldía de MIxquiahuala</t>
  </si>
  <si>
    <t>Toma de alcaldía</t>
  </si>
  <si>
    <t>Se termina la magia del Mundial en Pachuca</t>
  </si>
  <si>
    <t>Permanecen fuera de norma 58% de los fraccionamientos</t>
  </si>
  <si>
    <t>Municipalización</t>
  </si>
  <si>
    <t>Contempladas, 25 nuevas obras de reconstrucción</t>
  </si>
  <si>
    <t>Insisten en la creación de municipio en Zona Sur</t>
  </si>
  <si>
    <t>Municipio 85</t>
  </si>
  <si>
    <t>Apoyos por vaguada, de alrededor de $500 mil</t>
  </si>
  <si>
    <t>Un 10 de cantera</t>
  </si>
  <si>
    <t>Deportes</t>
  </si>
  <si>
    <t>De Gignac a Correa: el vacío en los Tigres</t>
  </si>
  <si>
    <t>Firmó anterior administración contratos con empresa de capo</t>
  </si>
  <si>
    <t>Arranca el Infonavit asignación de vivienda</t>
  </si>
  <si>
    <t>Infonavit</t>
  </si>
  <si>
    <t>Plan Nacional De Vivienda</t>
  </si>
  <si>
    <t>El Mayo pide "alto a la violencia, porque no hay honor ni futuro"</t>
  </si>
  <si>
    <t>Irrumpe cártel de Sinaloa en línea Honduras-Guatemala</t>
  </si>
  <si>
    <t>FGR dibuja trama de Ruffo para mover unos 500 mdp</t>
  </si>
  <si>
    <t>FGR</t>
  </si>
  <si>
    <t>Lidera Hidalgo denuncias; presentan foro modelo</t>
  </si>
  <si>
    <t>Combate a la corrupción</t>
  </si>
  <si>
    <t>En seis meses sentencian a 11 acusados por homicidio con penas de hasta 172 años</t>
  </si>
  <si>
    <t>Procesos se centran en violencia familiar y drogas</t>
  </si>
  <si>
    <t>Honran a los capeones en la Zarzuela, La Moncloa y la Cibeles</t>
  </si>
  <si>
    <t>Tendrán acceso a reconstrucción de vivienda solo 20% de familias</t>
  </si>
  <si>
    <t>Tula concentra 22.8% de homicidios dolosos</t>
  </si>
  <si>
    <t>Aún en curso, 75 obras para resarcir daños por vaguada</t>
  </si>
  <si>
    <t>Sheinbaum rechaza limitar el voto; Ortega pone fin a las elecciones</t>
  </si>
  <si>
    <t>Elecciones</t>
  </si>
  <si>
    <t>Al 99%, nueva estación de  bomberos</t>
  </si>
  <si>
    <t>Estación de bomberos</t>
  </si>
  <si>
    <t>Con esta ocasión, la presidenta ha salido a eventos oficiales en seis ocasiones, mientras que los ex  presidentes Peña y Calderón, viajaron 83 y 81 ocasiones, respectivamente”.</t>
  </si>
  <si>
    <t>Pachuca sale de las penumbras con más de 20 mil luminarias rehabilitadas</t>
  </si>
  <si>
    <t>Luminarias</t>
  </si>
  <si>
    <t>Iniciarán asambleas para reconstrucción de viviendas; 476 familias cuentan con predio propio</t>
  </si>
  <si>
    <t>Mantienen vigilancia por crecimiento de río Tamoyón en Huautla</t>
  </si>
  <si>
    <t>Reunión Gabinete De Seguridad</t>
  </si>
  <si>
    <t>Francisca preserva la partería en la Huasteca hidalguense: ""Dios me dio este don""</t>
  </si>
  <si>
    <t>Parteras Tradicionales</t>
  </si>
  <si>
    <t>Hidalgo se suma a delegación mexicana rumbo a Santo Domingo 2026</t>
  </si>
  <si>
    <t>Inhide</t>
  </si>
  <si>
    <t>Justa Deportiva</t>
  </si>
  <si>
    <t>Avanza la cuarta fase del programa de la reconstrucción de Hidalgo</t>
  </si>
  <si>
    <t>Reubicarán a comerciantes que obstruyen banquetas y ponen en riesgo a peatonese</t>
  </si>
  <si>
    <t>Ambulantaje</t>
  </si>
  <si>
    <t>Ebrio casi ocasiona accidente tras bloquear carretera</t>
  </si>
  <si>
    <t>Policía municipal</t>
  </si>
  <si>
    <t>Cierre Carretero</t>
  </si>
  <si>
    <t>Coordinan acciones para fortalecer medidas sanitarias</t>
  </si>
  <si>
    <t>Supervisión sanitaria</t>
  </si>
  <si>
    <t>Gobierno estatal y federal apoyan a familias afectadas por la vaguada monzónica</t>
  </si>
  <si>
    <t>Gobierno de México entregó más de mil 802 mdp a las familias afectadas</t>
  </si>
  <si>
    <t>Sedatu</t>
  </si>
  <si>
    <t>Por orden alfabético, Congreso busca reservar 42 alcaldías para mujeres</t>
  </si>
  <si>
    <t>Reforma Electoral</t>
  </si>
  <si>
    <t>Contratan ""taxi"" en Facebook; terminan en persecución</t>
  </si>
  <si>
    <t>Abuso Policiaco</t>
  </si>
  <si>
    <t>Hidalgo ya restringe celulares en escuelas</t>
  </si>
  <si>
    <t>Celulares en escuelas</t>
  </si>
  <si>
    <t>Alertan por intentos de fraude a damnificados</t>
  </si>
  <si>
    <t>Alerta De Fraude</t>
  </si>
  <si>
    <t>Ixmiquilpan abre frente legal vs los Charrez</t>
  </si>
  <si>
    <t>Cae ""pez gorto""</t>
  </si>
  <si>
    <t>Detención</t>
  </si>
  <si>
    <t>inicia proceso para asignación de vivienda del Bienestar</t>
  </si>
  <si>
    <t>Pachuca invertirá 1.6 mdp en armamento; reforazará seguridad y acciones en zonas vulnerables</t>
  </si>
  <si>
    <t>Equipamiento policiaco</t>
  </si>
  <si>
    <t>Brigadas brindarán atención personalizada para agilizar el acceso a apoyos de vivienda en municipios afectados</t>
  </si>
  <si>
    <t>Gabinete de seguridad de Hidalgo vigila incremento del río Tamoyón en Huautla</t>
  </si>
  <si>
    <t>Entregan 33 sillas de ruedas a personas en situación de vulnerabilidad en Atotonilco de Tula</t>
  </si>
  <si>
    <t>Apoyos funcionales</t>
  </si>
  <si>
    <t>informa</t>
  </si>
  <si>
    <t>Los adultos mayores llenan de vida y tradición la víspera de la Feria de Santiago Tezontlale</t>
  </si>
  <si>
    <t>Más de 100 familias de Atotonilco de Tula reciben apoyos del programa ""Hogares en Transformación""</t>
  </si>
  <si>
    <t>Entrega De Apoyos</t>
  </si>
  <si>
    <t>Hidalgo tiene algo</t>
  </si>
  <si>
    <t>Promoción turística</t>
  </si>
  <si>
    <t>Avanza la cuarta fase de la reconstrucción en Hidalgo tras la vaguada monzónica</t>
  </si>
  <si>
    <t>Pachuca abre consulta pública para fortalecer el programa de ordenamiento ecológico local participativo</t>
  </si>
  <si>
    <t>Ordenamiento ecológico</t>
  </si>
  <si>
    <t>SSPH recupera vehículo robado en plaza comercial de la capital</t>
  </si>
  <si>
    <t>Recuperación De Vehículos Robados</t>
  </si>
  <si>
    <t>Gabinete de Seguridad de Hidalgo vigila incremento del río tamoyón en Huautla</t>
  </si>
  <si>
    <t>Agilizarán brigadas el acceso a apoyos de vivienda en municipios afectados</t>
  </si>
  <si>
    <t>Prevenir está en nuestras manos</t>
  </si>
  <si>
    <t>caas</t>
  </si>
  <si>
    <t>Prevención de inundaciones</t>
  </si>
  <si>
    <t>Una sola voz contra la trata</t>
  </si>
  <si>
    <t>Combate a trata de personas</t>
  </si>
  <si>
    <t>Invertirá gobierno más de 241 mdp en municipios afectados</t>
  </si>
  <si>
    <t>Recuperan vehículo robado en plaza comercial</t>
  </si>
  <si>
    <t>Trump no respeta acuerdos, como el T-MEC, impone ahora aranceles exorbitantes a Canadá y después lo hará con México. En todo ve solo intereses propios y ganancias</t>
  </si>
  <si>
    <t>Editorial</t>
  </si>
  <si>
    <t>Trump impone aranceles del 50% a 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</si>
</sst>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topLeftCell="A55" workbookViewId="0">
      <selection activeCell="J70" sqref="J7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46224</v>
      </c>
      <c r="B2" t="s">
        <v>67</v>
      </c>
      <c r="C2" s="5" t="s">
        <v>90</v>
      </c>
      <c r="D2" t="s">
        <v>13</v>
      </c>
      <c r="E2" t="s">
        <v>27</v>
      </c>
      <c r="F2" t="s">
        <v>27</v>
      </c>
      <c r="G2" t="s">
        <v>91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46224</v>
      </c>
      <c r="B3" t="s">
        <v>67</v>
      </c>
      <c r="C3" s="5" t="s">
        <v>92</v>
      </c>
      <c r="D3" t="s">
        <v>12</v>
      </c>
      <c r="E3" t="s">
        <v>10</v>
      </c>
      <c r="F3" t="s">
        <v>10</v>
      </c>
      <c r="G3" t="s">
        <v>93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46224</v>
      </c>
      <c r="B4" t="s">
        <v>67</v>
      </c>
      <c r="C4" s="5" t="s">
        <v>94</v>
      </c>
      <c r="D4" t="s">
        <v>12</v>
      </c>
      <c r="E4" t="s">
        <v>16</v>
      </c>
      <c r="F4" t="s">
        <v>16</v>
      </c>
      <c r="G4" t="s">
        <v>95</v>
      </c>
      <c r="H4" t="s">
        <v>11</v>
      </c>
      <c r="I4" t="str">
        <f>_xlfn.XLOOKUP(Tabla1[[#This Row],[Dependencia]],Tabla2[Dependencia],Tabla2[Clasificación],"XXX",0)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46224</v>
      </c>
      <c r="B5" t="s">
        <v>67</v>
      </c>
      <c r="C5" s="5" t="s">
        <v>96</v>
      </c>
      <c r="D5" t="s">
        <v>12</v>
      </c>
      <c r="E5" t="s">
        <v>10</v>
      </c>
      <c r="F5" t="s">
        <v>10</v>
      </c>
      <c r="G5" t="s">
        <v>83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46224</v>
      </c>
      <c r="B6" t="s">
        <v>67</v>
      </c>
      <c r="C6" s="5" t="s">
        <v>97</v>
      </c>
      <c r="D6" t="s">
        <v>12</v>
      </c>
      <c r="E6" t="s">
        <v>10</v>
      </c>
      <c r="F6" t="s">
        <v>10</v>
      </c>
      <c r="G6" t="s">
        <v>86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46224</v>
      </c>
      <c r="B7" t="s">
        <v>67</v>
      </c>
      <c r="C7" s="5" t="s">
        <v>98</v>
      </c>
      <c r="D7" t="s">
        <v>9</v>
      </c>
      <c r="E7" t="s">
        <v>10</v>
      </c>
      <c r="F7" t="s">
        <v>10</v>
      </c>
      <c r="G7" t="s">
        <v>99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46224</v>
      </c>
      <c r="B8" t="s">
        <v>80</v>
      </c>
      <c r="C8" s="5" t="s">
        <v>100</v>
      </c>
      <c r="D8" t="s">
        <v>13</v>
      </c>
      <c r="E8" t="s">
        <v>58</v>
      </c>
      <c r="F8" t="s">
        <v>58</v>
      </c>
      <c r="G8" t="s">
        <v>101</v>
      </c>
      <c r="H8" t="s">
        <v>75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11">
        <v>46224</v>
      </c>
      <c r="B9" t="s">
        <v>80</v>
      </c>
      <c r="C9" s="5" t="s">
        <v>102</v>
      </c>
      <c r="D9" t="s">
        <v>12</v>
      </c>
      <c r="E9" t="s">
        <v>10</v>
      </c>
      <c r="F9" t="s">
        <v>10</v>
      </c>
      <c r="G9" t="s">
        <v>103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46224</v>
      </c>
      <c r="B10" t="s">
        <v>80</v>
      </c>
      <c r="C10" s="5" t="s">
        <v>104</v>
      </c>
      <c r="D10" t="s">
        <v>12</v>
      </c>
      <c r="E10" t="s">
        <v>17</v>
      </c>
      <c r="F10" t="s">
        <v>17</v>
      </c>
      <c r="G10" t="s">
        <v>105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46224</v>
      </c>
      <c r="B11" t="s">
        <v>80</v>
      </c>
      <c r="C11" s="5" t="s">
        <v>106</v>
      </c>
      <c r="D11" t="s">
        <v>12</v>
      </c>
      <c r="E11" t="s">
        <v>107</v>
      </c>
      <c r="F11" t="s">
        <v>108</v>
      </c>
      <c r="G11" t="s">
        <v>109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46224</v>
      </c>
      <c r="B12" t="s">
        <v>80</v>
      </c>
      <c r="C12" s="5" t="s">
        <v>110</v>
      </c>
      <c r="D12" t="s">
        <v>12</v>
      </c>
      <c r="E12" t="s">
        <v>16</v>
      </c>
      <c r="F12" t="s">
        <v>16</v>
      </c>
      <c r="G12" t="s">
        <v>111</v>
      </c>
      <c r="H12" t="s">
        <v>75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46224</v>
      </c>
      <c r="B13" t="s">
        <v>80</v>
      </c>
      <c r="C13" s="5" t="s">
        <v>112</v>
      </c>
      <c r="D13" t="s">
        <v>9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11">
        <v>46224</v>
      </c>
      <c r="B14" t="s">
        <v>80</v>
      </c>
      <c r="C14" s="5" t="s">
        <v>113</v>
      </c>
      <c r="D14" t="s">
        <v>12</v>
      </c>
      <c r="E14" t="s">
        <v>16</v>
      </c>
      <c r="F14" t="s">
        <v>16</v>
      </c>
      <c r="G14" t="s">
        <v>114</v>
      </c>
      <c r="H14" t="s">
        <v>75</v>
      </c>
      <c r="I14" t="str">
        <f>_xlfn.XLOOKUP(Tabla1[[#This Row],[Dependencia]],Tabla2[Dependencia],Tabla2[Clasificación],"XXX",0)</f>
        <v>Alcaldías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46224</v>
      </c>
      <c r="B15" t="s">
        <v>81</v>
      </c>
      <c r="C15" s="5" t="s">
        <v>115</v>
      </c>
      <c r="D15" t="s">
        <v>12</v>
      </c>
      <c r="E15" t="s">
        <v>107</v>
      </c>
      <c r="F15" t="s">
        <v>107</v>
      </c>
      <c r="G15" t="s">
        <v>109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46224</v>
      </c>
      <c r="B16" t="s">
        <v>81</v>
      </c>
      <c r="C16" s="5" t="s">
        <v>116</v>
      </c>
      <c r="D16" t="s">
        <v>12</v>
      </c>
      <c r="E16" t="s">
        <v>10</v>
      </c>
      <c r="F16" t="s">
        <v>10</v>
      </c>
      <c r="G16" t="s">
        <v>117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46224</v>
      </c>
      <c r="B17" t="s">
        <v>81</v>
      </c>
      <c r="C17" s="5" t="s">
        <v>118</v>
      </c>
      <c r="D17" t="s">
        <v>13</v>
      </c>
      <c r="E17" t="s">
        <v>107</v>
      </c>
      <c r="F17" t="s">
        <v>108</v>
      </c>
      <c r="G17" t="s">
        <v>109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46224</v>
      </c>
      <c r="B18" t="s">
        <v>81</v>
      </c>
      <c r="C18" s="5" t="s">
        <v>119</v>
      </c>
      <c r="D18" t="s">
        <v>12</v>
      </c>
      <c r="E18" t="s">
        <v>10</v>
      </c>
      <c r="F18" t="s">
        <v>10</v>
      </c>
      <c r="G18" t="s">
        <v>120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46224</v>
      </c>
      <c r="B19" t="s">
        <v>81</v>
      </c>
      <c r="C19" s="5" t="s">
        <v>121</v>
      </c>
      <c r="D19" t="s">
        <v>12</v>
      </c>
      <c r="E19" t="s">
        <v>10</v>
      </c>
      <c r="F19" t="s">
        <v>10</v>
      </c>
      <c r="G19" t="s">
        <v>120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46224</v>
      </c>
      <c r="B20" t="s">
        <v>81</v>
      </c>
      <c r="C20" s="5" t="s">
        <v>122</v>
      </c>
      <c r="D20" t="s">
        <v>12</v>
      </c>
      <c r="E20" t="s">
        <v>10</v>
      </c>
      <c r="F20" t="s">
        <v>10</v>
      </c>
      <c r="G20" t="s">
        <v>103</v>
      </c>
      <c r="H20" t="s">
        <v>75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46224</v>
      </c>
      <c r="B21" t="s">
        <v>81</v>
      </c>
      <c r="C21" s="5" t="s">
        <v>123</v>
      </c>
      <c r="D21" t="s">
        <v>9</v>
      </c>
      <c r="E21" t="s">
        <v>14</v>
      </c>
      <c r="F21" t="s">
        <v>124</v>
      </c>
      <c r="G21" t="s">
        <v>125</v>
      </c>
      <c r="H21" t="s">
        <v>11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46224</v>
      </c>
      <c r="B22" t="s">
        <v>78</v>
      </c>
      <c r="C22" s="5" t="s">
        <v>126</v>
      </c>
      <c r="D22" t="s">
        <v>13</v>
      </c>
      <c r="E22" t="s">
        <v>10</v>
      </c>
      <c r="F22" t="s">
        <v>10</v>
      </c>
      <c r="G22" t="s">
        <v>86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46224</v>
      </c>
      <c r="B23" t="s">
        <v>78</v>
      </c>
      <c r="C23" s="5" t="s">
        <v>127</v>
      </c>
      <c r="D23" t="s">
        <v>12</v>
      </c>
      <c r="E23" t="s">
        <v>10</v>
      </c>
      <c r="F23" t="s">
        <v>10</v>
      </c>
      <c r="G23" t="s">
        <v>86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46224</v>
      </c>
      <c r="B24" t="s">
        <v>78</v>
      </c>
      <c r="C24" s="5" t="s">
        <v>128</v>
      </c>
      <c r="D24" t="s">
        <v>12</v>
      </c>
      <c r="E24" t="s">
        <v>14</v>
      </c>
      <c r="F24" t="s">
        <v>129</v>
      </c>
      <c r="G24" t="s">
        <v>84</v>
      </c>
      <c r="H24" t="s">
        <v>11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46224</v>
      </c>
      <c r="B25" t="s">
        <v>78</v>
      </c>
      <c r="C25" s="5" t="s">
        <v>130</v>
      </c>
      <c r="D25" t="s">
        <v>12</v>
      </c>
      <c r="E25" t="s">
        <v>34</v>
      </c>
      <c r="F25" t="s">
        <v>34</v>
      </c>
      <c r="G25" t="s">
        <v>131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46224</v>
      </c>
      <c r="B26" t="s">
        <v>78</v>
      </c>
      <c r="C26" s="5" t="s">
        <v>132</v>
      </c>
      <c r="D26" t="s">
        <v>12</v>
      </c>
      <c r="E26" t="s">
        <v>58</v>
      </c>
      <c r="F26" t="s">
        <v>58</v>
      </c>
      <c r="G26" t="s">
        <v>105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46224</v>
      </c>
      <c r="B27" t="s">
        <v>78</v>
      </c>
      <c r="C27" s="5" t="s">
        <v>133</v>
      </c>
      <c r="D27" t="s">
        <v>12</v>
      </c>
      <c r="E27" t="s">
        <v>58</v>
      </c>
      <c r="F27" t="s">
        <v>58</v>
      </c>
      <c r="G27" t="s">
        <v>105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46224</v>
      </c>
      <c r="B28" t="s">
        <v>78</v>
      </c>
      <c r="C28" s="5" t="s">
        <v>134</v>
      </c>
      <c r="D28" t="s">
        <v>12</v>
      </c>
      <c r="E28" t="s">
        <v>10</v>
      </c>
      <c r="F28" t="s">
        <v>10</v>
      </c>
      <c r="G28" t="s">
        <v>72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46224</v>
      </c>
      <c r="B29" t="s">
        <v>78</v>
      </c>
      <c r="C29" s="5" t="s">
        <v>135</v>
      </c>
      <c r="D29" t="s">
        <v>12</v>
      </c>
      <c r="E29" t="s">
        <v>107</v>
      </c>
      <c r="F29" t="s">
        <v>108</v>
      </c>
      <c r="G29" t="s">
        <v>109</v>
      </c>
      <c r="H29" t="s">
        <v>75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11">
        <v>46224</v>
      </c>
      <c r="B30" t="s">
        <v>70</v>
      </c>
      <c r="C30" s="5" t="s">
        <v>136</v>
      </c>
      <c r="D30" t="s">
        <v>12</v>
      </c>
      <c r="E30" t="s">
        <v>17</v>
      </c>
      <c r="F30" t="s">
        <v>17</v>
      </c>
      <c r="G30" t="s">
        <v>79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46224</v>
      </c>
      <c r="B31" t="s">
        <v>70</v>
      </c>
      <c r="C31" s="5" t="s">
        <v>137</v>
      </c>
      <c r="D31" t="s">
        <v>13</v>
      </c>
      <c r="E31" t="s">
        <v>24</v>
      </c>
      <c r="F31" t="s">
        <v>24</v>
      </c>
      <c r="G31" t="s">
        <v>109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30" x14ac:dyDescent="0.25">
      <c r="A32" s="11">
        <v>46224</v>
      </c>
      <c r="B32" t="s">
        <v>70</v>
      </c>
      <c r="C32" s="5" t="s">
        <v>138</v>
      </c>
      <c r="D32" t="s">
        <v>12</v>
      </c>
      <c r="E32" t="s">
        <v>14</v>
      </c>
      <c r="F32" t="s">
        <v>14</v>
      </c>
      <c r="G32" t="s">
        <v>139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46224</v>
      </c>
      <c r="B33" t="s">
        <v>70</v>
      </c>
      <c r="C33" s="5" t="s">
        <v>140</v>
      </c>
      <c r="D33" t="s">
        <v>9</v>
      </c>
      <c r="E33" t="s">
        <v>107</v>
      </c>
      <c r="F33" t="s">
        <v>107</v>
      </c>
      <c r="G33" t="s">
        <v>141</v>
      </c>
      <c r="H33" t="s">
        <v>68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60" x14ac:dyDescent="0.25">
      <c r="A34" s="11">
        <v>46224</v>
      </c>
      <c r="B34" t="s">
        <v>70</v>
      </c>
      <c r="C34" s="5" t="s">
        <v>142</v>
      </c>
      <c r="D34" t="s">
        <v>12</v>
      </c>
      <c r="E34" t="s">
        <v>14</v>
      </c>
      <c r="F34" t="s">
        <v>14</v>
      </c>
      <c r="G34" t="s">
        <v>72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46224</v>
      </c>
      <c r="B35" t="s">
        <v>69</v>
      </c>
      <c r="C35" s="5" t="s">
        <v>143</v>
      </c>
      <c r="D35" t="s">
        <v>13</v>
      </c>
      <c r="E35" t="s">
        <v>16</v>
      </c>
      <c r="F35" t="s">
        <v>16</v>
      </c>
      <c r="G35" t="s">
        <v>144</v>
      </c>
      <c r="H35" t="s">
        <v>68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46224</v>
      </c>
      <c r="B36" t="s">
        <v>69</v>
      </c>
      <c r="C36" s="5" t="s">
        <v>145</v>
      </c>
      <c r="D36" t="s">
        <v>12</v>
      </c>
      <c r="E36" t="s">
        <v>107</v>
      </c>
      <c r="F36" t="s">
        <v>108</v>
      </c>
      <c r="G36" t="s">
        <v>109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46224</v>
      </c>
      <c r="B37" t="s">
        <v>69</v>
      </c>
      <c r="C37" s="5" t="s">
        <v>146</v>
      </c>
      <c r="D37" t="s">
        <v>12</v>
      </c>
      <c r="E37" t="s">
        <v>24</v>
      </c>
      <c r="F37" t="s">
        <v>24</v>
      </c>
      <c r="G37" t="s">
        <v>147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ht="30" x14ac:dyDescent="0.25">
      <c r="A38" s="11">
        <v>46224</v>
      </c>
      <c r="B38" t="s">
        <v>69</v>
      </c>
      <c r="C38" s="5" t="s">
        <v>148</v>
      </c>
      <c r="D38" t="s">
        <v>12</v>
      </c>
      <c r="E38" t="s">
        <v>10</v>
      </c>
      <c r="F38" t="s">
        <v>10</v>
      </c>
      <c r="G38" t="s">
        <v>149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46224</v>
      </c>
      <c r="B39" t="s">
        <v>69</v>
      </c>
      <c r="C39" s="5" t="s">
        <v>150</v>
      </c>
      <c r="D39" t="s">
        <v>12</v>
      </c>
      <c r="E39" t="s">
        <v>26</v>
      </c>
      <c r="F39" t="s">
        <v>151</v>
      </c>
      <c r="G39" t="s">
        <v>152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46224</v>
      </c>
      <c r="B40" t="s">
        <v>76</v>
      </c>
      <c r="C40" s="5" t="s">
        <v>153</v>
      </c>
      <c r="D40" t="s">
        <v>12</v>
      </c>
      <c r="E40" t="s">
        <v>107</v>
      </c>
      <c r="F40" t="s">
        <v>2</v>
      </c>
      <c r="G40" t="s">
        <v>109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46224</v>
      </c>
      <c r="B41" t="s">
        <v>76</v>
      </c>
      <c r="C41" s="5" t="s">
        <v>154</v>
      </c>
      <c r="D41" t="s">
        <v>12</v>
      </c>
      <c r="E41" t="s">
        <v>16</v>
      </c>
      <c r="F41" t="s">
        <v>16</v>
      </c>
      <c r="G41" t="s">
        <v>155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46224</v>
      </c>
      <c r="B42" t="s">
        <v>76</v>
      </c>
      <c r="C42" s="5" t="s">
        <v>156</v>
      </c>
      <c r="D42" t="s">
        <v>13</v>
      </c>
      <c r="E42" t="s">
        <v>16</v>
      </c>
      <c r="F42" t="s">
        <v>157</v>
      </c>
      <c r="G42" t="s">
        <v>158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46224</v>
      </c>
      <c r="B43" t="s">
        <v>76</v>
      </c>
      <c r="C43" s="5" t="s">
        <v>159</v>
      </c>
      <c r="D43" t="s">
        <v>12</v>
      </c>
      <c r="E43" t="s">
        <v>16</v>
      </c>
      <c r="F43" t="s">
        <v>16</v>
      </c>
      <c r="G43" t="s">
        <v>160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46224</v>
      </c>
      <c r="B44" t="s">
        <v>76</v>
      </c>
      <c r="C44" s="5" t="s">
        <v>161</v>
      </c>
      <c r="D44" t="s">
        <v>12</v>
      </c>
      <c r="E44" t="s">
        <v>25</v>
      </c>
      <c r="F44" t="s">
        <v>2</v>
      </c>
      <c r="G44" t="s">
        <v>109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46224</v>
      </c>
      <c r="B45" t="s">
        <v>76</v>
      </c>
      <c r="C45" s="5" t="s">
        <v>162</v>
      </c>
      <c r="D45" t="s">
        <v>12</v>
      </c>
      <c r="E45" t="s">
        <v>14</v>
      </c>
      <c r="F45" t="s">
        <v>163</v>
      </c>
      <c r="G45" t="s">
        <v>109</v>
      </c>
      <c r="H45" t="s">
        <v>11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46224</v>
      </c>
      <c r="B46" t="s">
        <v>73</v>
      </c>
      <c r="C46" s="5" t="s">
        <v>164</v>
      </c>
      <c r="D46" t="s">
        <v>13</v>
      </c>
      <c r="E46" t="s">
        <v>33</v>
      </c>
      <c r="F46" t="s">
        <v>33</v>
      </c>
      <c r="G46" t="s">
        <v>165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46224</v>
      </c>
      <c r="B47" t="s">
        <v>73</v>
      </c>
      <c r="C47" s="5" t="s">
        <v>166</v>
      </c>
      <c r="D47" t="s">
        <v>9</v>
      </c>
      <c r="E47" t="s">
        <v>22</v>
      </c>
      <c r="F47" t="s">
        <v>22</v>
      </c>
      <c r="G47" t="s">
        <v>167</v>
      </c>
      <c r="H47" t="s">
        <v>75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46224</v>
      </c>
      <c r="B48" t="s">
        <v>73</v>
      </c>
      <c r="C48" s="5" t="s">
        <v>168</v>
      </c>
      <c r="D48" t="s">
        <v>12</v>
      </c>
      <c r="E48" t="s">
        <v>14</v>
      </c>
      <c r="F48" t="s">
        <v>14</v>
      </c>
      <c r="G48" t="s">
        <v>169</v>
      </c>
      <c r="H48" t="s">
        <v>11</v>
      </c>
      <c r="I48" t="str">
        <f>_xlfn.XLOOKUP(Tabla1[[#This Row],[Dependencia]],Tabla2[Dependencia],Tabla2[Clasificación],"XXX",0)</f>
        <v>Presidencia de la República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46224</v>
      </c>
      <c r="B49" t="s">
        <v>73</v>
      </c>
      <c r="C49" s="5" t="s">
        <v>170</v>
      </c>
      <c r="D49" t="s">
        <v>12</v>
      </c>
      <c r="E49" t="s">
        <v>107</v>
      </c>
      <c r="F49" t="s">
        <v>108</v>
      </c>
      <c r="G49" t="s">
        <v>171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11">
        <v>46224</v>
      </c>
      <c r="B50" t="s">
        <v>73</v>
      </c>
      <c r="C50" s="5" t="s">
        <v>172</v>
      </c>
      <c r="D50" t="s">
        <v>12</v>
      </c>
      <c r="E50" t="s">
        <v>16</v>
      </c>
      <c r="F50" t="s">
        <v>16</v>
      </c>
      <c r="G50" t="s">
        <v>88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46224</v>
      </c>
      <c r="B51" t="s">
        <v>73</v>
      </c>
      <c r="C51" s="5" t="s">
        <v>173</v>
      </c>
      <c r="D51" t="s">
        <v>12</v>
      </c>
      <c r="E51" t="s">
        <v>16</v>
      </c>
      <c r="F51" t="s">
        <v>157</v>
      </c>
      <c r="G51" t="s">
        <v>174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46224</v>
      </c>
      <c r="B52" t="s">
        <v>85</v>
      </c>
      <c r="C52" s="5" t="s">
        <v>175</v>
      </c>
      <c r="D52" t="s">
        <v>87</v>
      </c>
      <c r="E52" t="s">
        <v>14</v>
      </c>
      <c r="F52" t="s">
        <v>124</v>
      </c>
      <c r="G52" t="s">
        <v>125</v>
      </c>
      <c r="H52" t="s">
        <v>11</v>
      </c>
      <c r="I52" t="str">
        <f>_xlfn.XLOOKUP(Tabla1[[#This Row],[Dependencia]],Tabla2[Dependencia],Tabla2[Clasificación],"XXX",0)</f>
        <v>Presidencia de la República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46224</v>
      </c>
      <c r="B53" t="s">
        <v>85</v>
      </c>
      <c r="C53" s="5" t="s">
        <v>176</v>
      </c>
      <c r="D53" t="s">
        <v>12</v>
      </c>
      <c r="E53" t="s">
        <v>16</v>
      </c>
      <c r="F53" t="s">
        <v>89</v>
      </c>
      <c r="G53" t="s">
        <v>177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45" x14ac:dyDescent="0.25">
      <c r="A54" s="11">
        <v>46224</v>
      </c>
      <c r="B54" t="s">
        <v>85</v>
      </c>
      <c r="C54" s="5" t="s">
        <v>178</v>
      </c>
      <c r="D54" t="s">
        <v>13</v>
      </c>
      <c r="E54" t="s">
        <v>107</v>
      </c>
      <c r="F54" t="s">
        <v>108</v>
      </c>
      <c r="G54" t="s">
        <v>109</v>
      </c>
      <c r="H54" t="s">
        <v>68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46224</v>
      </c>
      <c r="B55" t="s">
        <v>85</v>
      </c>
      <c r="C55" s="5" t="s">
        <v>179</v>
      </c>
      <c r="D55" t="s">
        <v>12</v>
      </c>
      <c r="E55" t="s">
        <v>24</v>
      </c>
      <c r="F55" t="s">
        <v>24</v>
      </c>
      <c r="G55" t="s">
        <v>147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46224</v>
      </c>
      <c r="B56" t="s">
        <v>85</v>
      </c>
      <c r="C56" s="5" t="s">
        <v>180</v>
      </c>
      <c r="D56" t="s">
        <v>12</v>
      </c>
      <c r="E56" t="s">
        <v>16</v>
      </c>
      <c r="F56" t="s">
        <v>16</v>
      </c>
      <c r="G56" t="s">
        <v>181</v>
      </c>
      <c r="H56" t="s">
        <v>182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46224</v>
      </c>
      <c r="B57" t="s">
        <v>85</v>
      </c>
      <c r="C57" s="5" t="s">
        <v>183</v>
      </c>
      <c r="D57" t="s">
        <v>12</v>
      </c>
      <c r="E57" t="s">
        <v>10</v>
      </c>
      <c r="F57" t="s">
        <v>10</v>
      </c>
      <c r="G57" t="s">
        <v>83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46224</v>
      </c>
      <c r="B58" t="s">
        <v>85</v>
      </c>
      <c r="C58" s="5" t="s">
        <v>184</v>
      </c>
      <c r="D58" t="s">
        <v>12</v>
      </c>
      <c r="E58" t="s">
        <v>16</v>
      </c>
      <c r="F58" t="s">
        <v>16</v>
      </c>
      <c r="G58" t="s">
        <v>185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46224</v>
      </c>
      <c r="B59" t="s">
        <v>85</v>
      </c>
      <c r="C59" s="5" t="s">
        <v>186</v>
      </c>
      <c r="D59" t="s">
        <v>77</v>
      </c>
      <c r="E59" t="s">
        <v>29</v>
      </c>
      <c r="F59" t="s">
        <v>29</v>
      </c>
      <c r="G59" t="s">
        <v>187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46224</v>
      </c>
      <c r="B60" t="s">
        <v>82</v>
      </c>
      <c r="C60" s="5" t="s">
        <v>188</v>
      </c>
      <c r="D60" t="s">
        <v>13</v>
      </c>
      <c r="E60" t="s">
        <v>107</v>
      </c>
      <c r="F60" t="s">
        <v>2</v>
      </c>
      <c r="G60" t="s">
        <v>109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45" x14ac:dyDescent="0.25">
      <c r="A61" s="11">
        <v>46224</v>
      </c>
      <c r="B61" t="s">
        <v>82</v>
      </c>
      <c r="C61" s="5" t="s">
        <v>189</v>
      </c>
      <c r="D61" t="s">
        <v>12</v>
      </c>
      <c r="E61" t="s">
        <v>16</v>
      </c>
      <c r="F61" t="s">
        <v>16</v>
      </c>
      <c r="G61" t="s">
        <v>190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46224</v>
      </c>
      <c r="B62" t="s">
        <v>82</v>
      </c>
      <c r="C62" s="5" t="s">
        <v>191</v>
      </c>
      <c r="D62" t="s">
        <v>12</v>
      </c>
      <c r="E62" t="s">
        <v>22</v>
      </c>
      <c r="F62" t="s">
        <v>22</v>
      </c>
      <c r="G62" t="s">
        <v>192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46224</v>
      </c>
      <c r="B63" t="s">
        <v>82</v>
      </c>
      <c r="C63" s="5" t="s">
        <v>193</v>
      </c>
      <c r="D63" t="s">
        <v>12</v>
      </c>
      <c r="E63" t="s">
        <v>24</v>
      </c>
      <c r="F63" t="s">
        <v>24</v>
      </c>
      <c r="G63" t="s">
        <v>147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Gobernador</v>
      </c>
    </row>
    <row r="64" spans="1:10" ht="30" x14ac:dyDescent="0.25">
      <c r="A64" s="11">
        <v>46224</v>
      </c>
      <c r="B64" t="s">
        <v>82</v>
      </c>
      <c r="C64" s="5" t="s">
        <v>194</v>
      </c>
      <c r="D64" t="s">
        <v>12</v>
      </c>
      <c r="E64" t="s">
        <v>107</v>
      </c>
      <c r="F64" t="s">
        <v>108</v>
      </c>
      <c r="G64" t="s">
        <v>109</v>
      </c>
      <c r="H64" t="s">
        <v>68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46224</v>
      </c>
      <c r="B65" t="s">
        <v>82</v>
      </c>
      <c r="C65" s="5" t="s">
        <v>195</v>
      </c>
      <c r="D65" t="s">
        <v>77</v>
      </c>
      <c r="E65" t="s">
        <v>107</v>
      </c>
      <c r="F65" t="s">
        <v>196</v>
      </c>
      <c r="G65" t="s">
        <v>197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11">
        <v>46224</v>
      </c>
      <c r="B66" t="s">
        <v>82</v>
      </c>
      <c r="C66" s="5" t="s">
        <v>198</v>
      </c>
      <c r="D66" t="s">
        <v>12</v>
      </c>
      <c r="E66" t="s">
        <v>16</v>
      </c>
      <c r="F66" t="s">
        <v>16</v>
      </c>
      <c r="G66" t="s">
        <v>199</v>
      </c>
      <c r="H66" t="s">
        <v>11</v>
      </c>
      <c r="I66" t="str">
        <f>_xlfn.XLOOKUP(Tabla1[[#This Row],[Dependencia]],Tabla2[Dependencia],Tabla2[Clasificación],"XXX",0)</f>
        <v>Alcaldías</v>
      </c>
      <c r="J66" t="str">
        <f>_xlfn.XLOOKUP(Tabla1[[#This Row],[Dependencia]],Tabla3[Dependencia],Tabla3[Nivel],"Otros",0)</f>
        <v>Otros</v>
      </c>
    </row>
    <row r="67" spans="1:10" ht="30" x14ac:dyDescent="0.25">
      <c r="A67" s="11">
        <v>46224</v>
      </c>
      <c r="B67" t="s">
        <v>74</v>
      </c>
      <c r="C67" s="5" t="s">
        <v>200</v>
      </c>
      <c r="D67" t="s">
        <v>13</v>
      </c>
      <c r="E67" t="s">
        <v>107</v>
      </c>
      <c r="F67" t="s">
        <v>2</v>
      </c>
      <c r="G67" t="s">
        <v>109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25">
      <c r="A68" s="11">
        <v>46224</v>
      </c>
      <c r="B68" t="s">
        <v>74</v>
      </c>
      <c r="C68" s="5" t="s">
        <v>201</v>
      </c>
      <c r="D68" t="s">
        <v>12</v>
      </c>
      <c r="E68" t="s">
        <v>22</v>
      </c>
      <c r="F68" t="s">
        <v>22</v>
      </c>
      <c r="G68" t="s">
        <v>192</v>
      </c>
      <c r="H68" t="s">
        <v>11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Gabinete</v>
      </c>
    </row>
    <row r="69" spans="1:10" ht="60" x14ac:dyDescent="0.25">
      <c r="A69" s="11">
        <v>46224</v>
      </c>
      <c r="B69" t="s">
        <v>74</v>
      </c>
      <c r="C69" s="5" t="s">
        <v>202</v>
      </c>
      <c r="D69" t="s">
        <v>203</v>
      </c>
      <c r="E69" t="s">
        <v>10</v>
      </c>
      <c r="F69" t="s">
        <v>10</v>
      </c>
      <c r="G69" t="s">
        <v>86</v>
      </c>
      <c r="H69" t="s">
        <v>75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  <row r="70" spans="1:10" x14ac:dyDescent="0.25">
      <c r="A70" s="11">
        <v>46224</v>
      </c>
      <c r="B70" t="s">
        <v>74</v>
      </c>
      <c r="C70" s="5" t="s">
        <v>204</v>
      </c>
      <c r="D70" t="s">
        <v>12</v>
      </c>
      <c r="E70" t="s">
        <v>10</v>
      </c>
      <c r="F70" t="s">
        <v>10</v>
      </c>
      <c r="G70" t="s">
        <v>86</v>
      </c>
      <c r="H70" t="s">
        <v>75</v>
      </c>
      <c r="I70" t="str">
        <f>_xlfn.XLOOKUP(Tabla1[[#This Row],[Dependencia]],Tabla2[Dependencia],Tabla2[Clasificación],"XXX",0)</f>
        <v>Otros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2026-07-21T15:12:35Z</dcterms:modified>
</cp:coreProperties>
</file>