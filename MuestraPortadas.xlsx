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76A0465D-988A-4069-9D02-D7BDA1C82F83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I2" i="1"/>
  <c r="J2" i="1"/>
</calcChain>
</file>

<file path=xl/sharedStrings.xml><?xml version="1.0" encoding="utf-8"?>
<sst xmlns="http://schemas.openxmlformats.org/spreadsheetml/2006/main" count="594" uniqueCount="189">
  <si>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</si>
  <si>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</si>
  <si>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</si>
  <si>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</si>
  <si>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</si>
  <si>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</si>
  <si>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</si>
  <si>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</si>
  <si>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</si>
  <si>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</si>
  <si>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</si>
  <si>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</si>
  <si>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</si>
  <si>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</si>
  <si>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</si>
  <si>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</si>
  <si>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</si>
  <si>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</si>
  <si>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</si>
  <si>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</si>
  <si>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</si>
  <si>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</si>
  <si>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</si>
  <si>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</si>
  <si>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</si>
  <si>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</si>
  <si>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</si>
  <si>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</si>
  <si>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</si>
  <si>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</si>
  <si>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</si>
  <si>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</si>
  <si>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</si>
  <si>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</si>
  <si>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</si>
  <si>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</si>
  <si>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</si>
  <si>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</si>
  <si>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</si>
  <si>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</si>
  <si>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</si>
  <si>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</si>
  <si>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</si>
  <si>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</si>
  <si>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</si>
  <si>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</si>
  <si>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</si>
  <si>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</si>
  <si>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</si>
  <si>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</si>
  <si>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</si>
  <si>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</si>
  <si>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</si>
  <si>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</si>
  <si>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</si>
  <si>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</si>
  <si>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</si>
  <si>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</si>
  <si>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</si>
  <si>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</si>
  <si>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</si>
  <si>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</si>
  <si>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</si>
  <si>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</si>
  <si>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</si>
  <si>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</si>
  <si>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</si>
  <si>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</si>
  <si>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</si>
  <si>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</si>
  <si>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</si>
  <si>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</si>
  <si>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</si>
  <si>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</si>
  <si>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</si>
  <si>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</si>
  <si>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</si>
  <si>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</si>
  <si>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</si>
  <si>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</si>
  <si>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</si>
  <si>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</si>
  <si>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Cintillo</t>
  </si>
  <si>
    <t>Pachuca Brilla</t>
  </si>
  <si>
    <t>Día de la madre</t>
  </si>
  <si>
    <t>Drones</t>
  </si>
  <si>
    <t>Publicidad</t>
  </si>
  <si>
    <t>La Jornada Hidalgo</t>
  </si>
  <si>
    <t>Detención de policía</t>
  </si>
  <si>
    <t>Sipdus</t>
  </si>
  <si>
    <t>Rehabilitación Vial</t>
  </si>
  <si>
    <t>Huracán Priscilla</t>
  </si>
  <si>
    <t>Día del maestro</t>
  </si>
  <si>
    <t>Videovigilancia</t>
  </si>
  <si>
    <t>Sucesión alcaldía</t>
  </si>
  <si>
    <t>Aplicarán filtros a candidatos</t>
  </si>
  <si>
    <t>Candidaturas</t>
  </si>
  <si>
    <t>Pachuca pega 1-0 a Pumas</t>
  </si>
  <si>
    <t>La Silla del Duelo, una atracción poco común</t>
  </si>
  <si>
    <t>Por alza en tarifa y tráfico, conductores optan por el uso de motocicletas</t>
  </si>
  <si>
    <t>Avances del IMSS</t>
  </si>
  <si>
    <t>Reunión Sheinbaum</t>
  </si>
  <si>
    <t>Segobh insta a municipios reforzar control policial</t>
  </si>
  <si>
    <t>Maestra ""Candy"" ejemplo de vocación</t>
  </si>
  <si>
    <t>Estrenan sala interactiva</t>
  </si>
  <si>
    <t>Protección Biodiversidad</t>
  </si>
  <si>
    <t>Ordenan a ediles dar información</t>
  </si>
  <si>
    <t>Transparencia</t>
  </si>
  <si>
    <t>Con ventaja al olímpico</t>
  </si>
  <si>
    <t>deportes</t>
  </si>
  <si>
    <t>BLEUS REVELAN ARSENAL  PARA EL MUNDIAL 2026</t>
  </si>
  <si>
    <t>HOSPITAL  CON GARRA  ALBERGA 70  ANIMALES</t>
  </si>
  <si>
    <t>Albergues</t>
  </si>
  <si>
    <t>Aumentan las investigaciones administrativas en el Congreso</t>
  </si>
  <si>
    <t>ASEH</t>
  </si>
  <si>
    <t>Faltas Administrativas</t>
  </si>
  <si>
    <t>Transportistas de la entidad acusan actos de hostigamiento</t>
  </si>
  <si>
    <t>STCH</t>
  </si>
  <si>
    <t>Supervisión de Transporte</t>
  </si>
  <si>
    <t>De la reforma judicial a la desaparición del Itaih</t>
  </si>
  <si>
    <t>Iniciativa</t>
  </si>
  <si>
    <t>Policías de Obregón a prisión y la SSPH refuerza vigilancia</t>
  </si>
  <si>
    <t>Aplaude Bono los programas sociales</t>
  </si>
  <si>
    <t>Programas Del Bienestar</t>
  </si>
  <si>
    <t>Pachuca vence 1-0 a Pumas; va por pase en el universitario</t>
  </si>
  <si>
    <t>Municipios comprometen recursos para reconstruir</t>
  </si>
  <si>
    <t>Voto judicial: 14 minutos y un par de traslados, alerta el INE</t>
  </si>
  <si>
    <t>Elección Judicial</t>
  </si>
  <si>
    <t>Antropología: Maastricht está a la espera de D'Artagnan</t>
  </si>
  <si>
    <t>Docentes, centro de la política educativa estatal</t>
  </si>
  <si>
    <t>Con Mundial Social inicia la construcción de cancha de futbol en Pachuca</t>
  </si>
  <si>
    <t>Mundial De Futbol</t>
  </si>
  <si>
    <t>Reconocen en Londres corto de Animal Políticio</t>
  </si>
  <si>
    <t>Reclutamiento</t>
  </si>
  <si>
    <t>Solo 11 familias piden reubicación tras paso de vaguada monzónica</t>
  </si>
  <si>
    <t>Reubicación de viviendas</t>
  </si>
  <si>
    <t>CSP releva  a director  de Pemex</t>
  </si>
  <si>
    <t>Pemex</t>
  </si>
  <si>
    <t>Nombramientos</t>
  </si>
  <si>
    <t>Parece que la indolencia y la ausencia de empatía de los gobernantes con la  ciudadanía es un mal que se extiende poco a poco”.</t>
  </si>
  <si>
    <t>Participa Menchaca en mesa de trabajo con Sheinbaum</t>
  </si>
  <si>
    <t>Ayuntamientos son responsables de sus policías: Olivares tras la detención de mandos en Tezontepec de Aldama</t>
  </si>
  <si>
    <t>Sancionan 7 unidades y remiten dos al corralón en operativo Transporte Seguro en Pachuca</t>
  </si>
  <si>
    <t>Ordenan a alcaldesa de Cardonal transparentar información a regidurías</t>
  </si>
  <si>
    <t>Fortalece Hidalgo su posición coo destino clave para la industria cinematográfica</t>
  </si>
  <si>
    <t>Producción audiovisual</t>
  </si>
  <si>
    <t>Con bloqueo logran que les restabezcan la electricidad</t>
  </si>
  <si>
    <t>CFE</t>
  </si>
  <si>
    <t>Falta de servicios públicos</t>
  </si>
  <si>
    <t>Hidalgo inaugura la Sala de Población Interactiva</t>
  </si>
  <si>
    <t>Sala interactiva</t>
  </si>
  <si>
    <t>Regidor denuncia endeudamiento innecesario de Huazalingo</t>
  </si>
  <si>
    <t>Deuda Pública</t>
  </si>
  <si>
    <t>Comienza el cobro de $12.00 en algunas rutas de Huejutla</t>
  </si>
  <si>
    <t>Aumento Tarifa De Transporte</t>
  </si>
  <si>
    <t>PAN en proceso de reconstrucción rumbo al 2027</t>
  </si>
  <si>
    <t>Hidalgo prioriza acciones a favor de su biodiversidad</t>
  </si>
  <si>
    <t>PRI descarta crisis y se declara listo para pelear la gubernatura</t>
  </si>
  <si>
    <t>PRI</t>
  </si>
  <si>
    <t>Sucesión Gubernamental</t>
  </si>
  <si>
    <t>Revisan avances del IMSS</t>
  </si>
  <si>
    <t>Previenen nuevas inundaciones</t>
  </si>
  <si>
    <t>prevención de inundaciones</t>
  </si>
  <si>
    <t>Autonomía sindical</t>
  </si>
  <si>
    <t>Bienestar: 3 mil 600 millones a obras sociales en Hidalgo</t>
  </si>
  <si>
    <t>Embajadora de Sudáfrica recorre Centro Gastronómico de Santiago de Anaya</t>
  </si>
  <si>
    <t>Entre sorpresas y fiesta, Yocelyn Tovar festeja a mamás de Atotonilco</t>
  </si>
  <si>
    <t>Menchaca y Sheinbaum verifican avances del IMSS Bienestar en Hidalgo</t>
  </si>
  <si>
    <t>Hidalgo inaugura la Sala de Población interactiva, un espacio único en el país para promover la cultura demográfica</t>
  </si>
  <si>
    <t>Sala Interactiva</t>
  </si>
  <si>
    <t>Claudia Sandoval junto a DIF de Atitalaquia impulsa la transformación y el bienestar de las familias con LICONSA</t>
  </si>
  <si>
    <t>En la Huasteca reconocen el compromiso  del Magisterio hidalguense</t>
  </si>
  <si>
    <t>Supervisan transformación de espacios deportivos en Tlahuelilpan</t>
  </si>
  <si>
    <t>Supervisión de obra</t>
  </si>
  <si>
    <t>Diputado Alejandro Alcántara recibe jornada de trabajo de Sedeco en el Congreso de Hidalgo</t>
  </si>
  <si>
    <t>Trabajo legislativo</t>
  </si>
  <si>
    <t>¡Pegan primero!</t>
  </si>
  <si>
    <t>Daniel Boaventura se presenta este viernes en el Gota de Plata</t>
  </si>
  <si>
    <t>Cautivó ballet de San Petersburgo con el Lago de los Cisnes en Pachuca</t>
  </si>
  <si>
    <t>Comienzan trabajos de reconstrucción de bulevar las torres</t>
  </si>
  <si>
    <t>Descubren y aseguran túnel huachicol</t>
  </si>
  <si>
    <t>Huachitúnel</t>
  </si>
  <si>
    <t>Cierra convocatoria para Consejeros electorales del INE</t>
  </si>
  <si>
    <t>Consejeros Electorales</t>
  </si>
  <si>
    <t>Un aplauso a los buenos maestros que hemos tenido a lo largo de la vida, desde quienes nos enseñaron a leer y los números, hasta quienes no guiaron en el aula de educación Media y Superior</t>
  </si>
  <si>
    <t>Conagua se alista para atender posibles emergencias</t>
  </si>
  <si>
    <t>Conagua</t>
  </si>
  <si>
    <t>Prevención de inundaciones</t>
  </si>
  <si>
    <t>Pachuca gana pero pierde a Bauermann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</si>
</sst>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topLeftCell="D52" workbookViewId="0">
      <selection activeCell="J63" sqref="J63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46157</v>
      </c>
      <c r="B2" t="s">
        <v>69</v>
      </c>
      <c r="C2" s="6" t="s">
        <v>95</v>
      </c>
      <c r="D2" t="s">
        <v>12</v>
      </c>
      <c r="E2" t="s">
        <v>18</v>
      </c>
      <c r="F2" t="s">
        <v>2</v>
      </c>
      <c r="G2" t="s">
        <v>96</v>
      </c>
      <c r="H2" t="s">
        <v>11</v>
      </c>
      <c r="I2" t="str">
        <f>_xlfn.XLOOKUP(Tabla1[[#This Row],[Dependencia]],Tabla2[Dependencia],Tabla2[Clasificación],"No indexado")</f>
        <v>Partidos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46157</v>
      </c>
      <c r="B3" t="s">
        <v>69</v>
      </c>
      <c r="C3" s="6" t="s">
        <v>97</v>
      </c>
      <c r="D3" t="s">
        <v>9</v>
      </c>
      <c r="E3" t="s">
        <v>10</v>
      </c>
      <c r="F3" t="s">
        <v>10</v>
      </c>
      <c r="G3" t="s">
        <v>71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46157</v>
      </c>
      <c r="B4" t="s">
        <v>69</v>
      </c>
      <c r="C4" s="6" t="s">
        <v>98</v>
      </c>
      <c r="D4" t="s">
        <v>12</v>
      </c>
      <c r="E4" t="s">
        <v>10</v>
      </c>
      <c r="F4" t="s">
        <v>10</v>
      </c>
      <c r="G4" t="s">
        <v>81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ht="29" x14ac:dyDescent="0.35">
      <c r="A5" s="5">
        <v>46157</v>
      </c>
      <c r="B5" t="s">
        <v>69</v>
      </c>
      <c r="C5" s="6" t="s">
        <v>99</v>
      </c>
      <c r="D5" t="s">
        <v>12</v>
      </c>
      <c r="E5" t="s">
        <v>10</v>
      </c>
      <c r="F5" t="s">
        <v>10</v>
      </c>
      <c r="G5" t="s">
        <v>81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46157</v>
      </c>
      <c r="B6" t="s">
        <v>77</v>
      </c>
      <c r="C6" s="6" t="s">
        <v>100</v>
      </c>
      <c r="D6" t="s">
        <v>9</v>
      </c>
      <c r="E6" t="s">
        <v>24</v>
      </c>
      <c r="F6" t="s">
        <v>24</v>
      </c>
      <c r="G6" t="s">
        <v>101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35">
      <c r="A7" s="5">
        <v>46157</v>
      </c>
      <c r="B7" t="s">
        <v>77</v>
      </c>
      <c r="C7" s="6" t="s">
        <v>102</v>
      </c>
      <c r="D7" t="s">
        <v>13</v>
      </c>
      <c r="E7" t="s">
        <v>23</v>
      </c>
      <c r="F7" t="s">
        <v>23</v>
      </c>
      <c r="G7" t="s">
        <v>88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35">
      <c r="A8" s="5">
        <v>46157</v>
      </c>
      <c r="B8" t="s">
        <v>77</v>
      </c>
      <c r="C8" s="6" t="s">
        <v>103</v>
      </c>
      <c r="D8" t="s">
        <v>12</v>
      </c>
      <c r="E8" t="s">
        <v>10</v>
      </c>
      <c r="F8" t="s">
        <v>10</v>
      </c>
      <c r="G8" t="s">
        <v>92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46157</v>
      </c>
      <c r="B9" t="s">
        <v>77</v>
      </c>
      <c r="C9" s="6" t="s">
        <v>104</v>
      </c>
      <c r="D9" t="s">
        <v>12</v>
      </c>
      <c r="E9" t="s">
        <v>20</v>
      </c>
      <c r="F9" t="s">
        <v>20</v>
      </c>
      <c r="G9" t="s">
        <v>105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35">
      <c r="A10" s="5">
        <v>46157</v>
      </c>
      <c r="B10" t="s">
        <v>77</v>
      </c>
      <c r="C10" s="6" t="s">
        <v>106</v>
      </c>
      <c r="D10" t="s">
        <v>12</v>
      </c>
      <c r="E10" t="s">
        <v>58</v>
      </c>
      <c r="F10" t="s">
        <v>58</v>
      </c>
      <c r="G10" t="s">
        <v>107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46157</v>
      </c>
      <c r="B11" t="s">
        <v>74</v>
      </c>
      <c r="C11" s="6" t="s">
        <v>108</v>
      </c>
      <c r="D11" t="s">
        <v>12</v>
      </c>
      <c r="E11" t="s">
        <v>10</v>
      </c>
      <c r="F11" t="s">
        <v>10</v>
      </c>
      <c r="G11" t="s">
        <v>109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46157</v>
      </c>
      <c r="B12" t="s">
        <v>74</v>
      </c>
      <c r="C12" s="6" t="s">
        <v>110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46157</v>
      </c>
      <c r="B13" t="s">
        <v>74</v>
      </c>
      <c r="C13" s="6" t="s">
        <v>111</v>
      </c>
      <c r="D13" t="s">
        <v>9</v>
      </c>
      <c r="E13" t="s">
        <v>10</v>
      </c>
      <c r="F13" t="s">
        <v>10</v>
      </c>
      <c r="G13" t="s">
        <v>112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46157</v>
      </c>
      <c r="B14" t="s">
        <v>74</v>
      </c>
      <c r="C14" s="6" t="s">
        <v>113</v>
      </c>
      <c r="D14" t="s">
        <v>12</v>
      </c>
      <c r="E14" t="s">
        <v>34</v>
      </c>
      <c r="F14" t="s">
        <v>114</v>
      </c>
      <c r="G14" t="s">
        <v>115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46157</v>
      </c>
      <c r="B15" t="s">
        <v>74</v>
      </c>
      <c r="C15" s="6" t="s">
        <v>116</v>
      </c>
      <c r="D15" t="s">
        <v>12</v>
      </c>
      <c r="E15" t="s">
        <v>27</v>
      </c>
      <c r="F15" t="s">
        <v>117</v>
      </c>
      <c r="G15" t="s">
        <v>118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5">
        <v>46157</v>
      </c>
      <c r="B16" t="s">
        <v>74</v>
      </c>
      <c r="C16" s="6" t="s">
        <v>119</v>
      </c>
      <c r="D16" t="s">
        <v>12</v>
      </c>
      <c r="E16" t="s">
        <v>24</v>
      </c>
      <c r="F16" t="s">
        <v>24</v>
      </c>
      <c r="G16" t="s">
        <v>120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Gobernador</v>
      </c>
    </row>
    <row r="17" spans="1:10" x14ac:dyDescent="0.35">
      <c r="A17" s="5">
        <v>46157</v>
      </c>
      <c r="B17" t="s">
        <v>68</v>
      </c>
      <c r="C17" s="6" t="s">
        <v>121</v>
      </c>
      <c r="D17" t="s">
        <v>13</v>
      </c>
      <c r="E17" t="s">
        <v>22</v>
      </c>
      <c r="F17" t="s">
        <v>22</v>
      </c>
      <c r="G17" t="s">
        <v>88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5">
        <v>46157</v>
      </c>
      <c r="B18" t="s">
        <v>68</v>
      </c>
      <c r="C18" s="6" t="s">
        <v>122</v>
      </c>
      <c r="D18" t="s">
        <v>12</v>
      </c>
      <c r="E18" t="s">
        <v>14</v>
      </c>
      <c r="F18" t="s">
        <v>14</v>
      </c>
      <c r="G18" t="s">
        <v>123</v>
      </c>
      <c r="H18" t="s">
        <v>70</v>
      </c>
      <c r="I18" t="str">
        <f>_xlfn.XLOOKUP(Tabla1[[#This Row],[Dependencia]],Tabla2[Dependencia],Tabla2[Clasificación],"No indexado")</f>
        <v>Presidencia de la República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46157</v>
      </c>
      <c r="B19" t="s">
        <v>68</v>
      </c>
      <c r="C19" s="6" t="s">
        <v>124</v>
      </c>
      <c r="D19" t="s">
        <v>9</v>
      </c>
      <c r="E19" t="s">
        <v>10</v>
      </c>
      <c r="F19" t="s">
        <v>10</v>
      </c>
      <c r="G19" t="s">
        <v>71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35">
      <c r="A20" s="5">
        <v>46157</v>
      </c>
      <c r="B20" t="s">
        <v>68</v>
      </c>
      <c r="C20" s="6" t="s">
        <v>125</v>
      </c>
      <c r="D20" t="s">
        <v>12</v>
      </c>
      <c r="E20" t="s">
        <v>34</v>
      </c>
      <c r="F20" t="s">
        <v>34</v>
      </c>
      <c r="G20" t="s">
        <v>91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x14ac:dyDescent="0.35">
      <c r="A21" s="5">
        <v>46157</v>
      </c>
      <c r="B21" t="s">
        <v>68</v>
      </c>
      <c r="C21" s="6" t="s">
        <v>126</v>
      </c>
      <c r="D21" t="s">
        <v>12</v>
      </c>
      <c r="E21" t="s">
        <v>10</v>
      </c>
      <c r="F21" t="s">
        <v>10</v>
      </c>
      <c r="G21" t="s">
        <v>127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46157</v>
      </c>
      <c r="B22" t="s">
        <v>68</v>
      </c>
      <c r="C22" s="6" t="s">
        <v>128</v>
      </c>
      <c r="D22" t="s">
        <v>12</v>
      </c>
      <c r="E22" t="s">
        <v>10</v>
      </c>
      <c r="F22" t="s">
        <v>10</v>
      </c>
      <c r="G22" t="s">
        <v>81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46157</v>
      </c>
      <c r="B23" t="s">
        <v>87</v>
      </c>
      <c r="C23" s="6" t="s">
        <v>129</v>
      </c>
      <c r="D23" t="s">
        <v>12</v>
      </c>
      <c r="E23" t="s">
        <v>26</v>
      </c>
      <c r="F23" t="s">
        <v>26</v>
      </c>
      <c r="G23" t="s">
        <v>92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ht="29" x14ac:dyDescent="0.35">
      <c r="A24" s="5">
        <v>46157</v>
      </c>
      <c r="B24" t="s">
        <v>87</v>
      </c>
      <c r="C24" s="6" t="s">
        <v>130</v>
      </c>
      <c r="D24" t="s">
        <v>9</v>
      </c>
      <c r="E24" t="s">
        <v>14</v>
      </c>
      <c r="F24" t="s">
        <v>14</v>
      </c>
      <c r="G24" t="s">
        <v>131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35">
      <c r="A25" s="5">
        <v>46157</v>
      </c>
      <c r="B25" t="s">
        <v>87</v>
      </c>
      <c r="C25" s="6" t="s">
        <v>132</v>
      </c>
      <c r="D25" t="s">
        <v>12</v>
      </c>
      <c r="E25" t="s">
        <v>10</v>
      </c>
      <c r="F25" t="s">
        <v>10</v>
      </c>
      <c r="G25" t="s">
        <v>133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29" x14ac:dyDescent="0.35">
      <c r="A26" s="5">
        <v>46157</v>
      </c>
      <c r="B26" t="s">
        <v>87</v>
      </c>
      <c r="C26" s="6" t="s">
        <v>134</v>
      </c>
      <c r="D26" t="s">
        <v>13</v>
      </c>
      <c r="E26" t="s">
        <v>16</v>
      </c>
      <c r="F26" t="s">
        <v>16</v>
      </c>
      <c r="G26" t="s">
        <v>135</v>
      </c>
      <c r="H26" t="s">
        <v>11</v>
      </c>
      <c r="I26" t="str">
        <f>_xlfn.XLOOKUP(Tabla1[[#This Row],[Dependencia]],Tabla2[Dependencia],Tabla2[Clasificación],"No indexado")</f>
        <v>Alcaldías</v>
      </c>
      <c r="J26" t="str">
        <f>_xlfn.XLOOKUP(Tabla1[[#This Row],[Dependencia]],Tabla3[Dependencia],Tabla3[Nivel],"otros",0)</f>
        <v>otros</v>
      </c>
    </row>
    <row r="27" spans="1:10" x14ac:dyDescent="0.35">
      <c r="A27" s="5">
        <v>46157</v>
      </c>
      <c r="B27" t="s">
        <v>87</v>
      </c>
      <c r="C27" s="6" t="s">
        <v>136</v>
      </c>
      <c r="D27" t="s">
        <v>12</v>
      </c>
      <c r="E27" t="s">
        <v>14</v>
      </c>
      <c r="F27" t="s">
        <v>137</v>
      </c>
      <c r="G27" t="s">
        <v>138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ht="43.5" x14ac:dyDescent="0.35">
      <c r="A28" s="5">
        <v>46157</v>
      </c>
      <c r="B28" t="s">
        <v>87</v>
      </c>
      <c r="C28" s="6" t="s">
        <v>139</v>
      </c>
      <c r="D28" t="s">
        <v>12</v>
      </c>
      <c r="E28" t="s">
        <v>10</v>
      </c>
      <c r="F28" t="s">
        <v>10</v>
      </c>
      <c r="G28" t="s">
        <v>81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46157</v>
      </c>
      <c r="B29" t="s">
        <v>78</v>
      </c>
      <c r="C29" s="6" t="s">
        <v>140</v>
      </c>
      <c r="D29" t="s">
        <v>13</v>
      </c>
      <c r="E29" t="s">
        <v>24</v>
      </c>
      <c r="F29" t="s">
        <v>24</v>
      </c>
      <c r="G29" t="s">
        <v>101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Gobernador</v>
      </c>
    </row>
    <row r="30" spans="1:10" ht="29" x14ac:dyDescent="0.35">
      <c r="A30" s="5">
        <v>46157</v>
      </c>
      <c r="B30" t="s">
        <v>78</v>
      </c>
      <c r="C30" s="6" t="s">
        <v>141</v>
      </c>
      <c r="D30" t="s">
        <v>12</v>
      </c>
      <c r="E30" t="s">
        <v>23</v>
      </c>
      <c r="F30" t="s">
        <v>2</v>
      </c>
      <c r="G30" t="s">
        <v>88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29" x14ac:dyDescent="0.35">
      <c r="A31" s="5">
        <v>46157</v>
      </c>
      <c r="B31" t="s">
        <v>78</v>
      </c>
      <c r="C31" s="6" t="s">
        <v>142</v>
      </c>
      <c r="D31" t="s">
        <v>12</v>
      </c>
      <c r="E31" t="s">
        <v>27</v>
      </c>
      <c r="F31" t="s">
        <v>27</v>
      </c>
      <c r="G31" t="s">
        <v>118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5">
        <v>46157</v>
      </c>
      <c r="B32" t="s">
        <v>78</v>
      </c>
      <c r="C32" s="6" t="s">
        <v>143</v>
      </c>
      <c r="D32" t="s">
        <v>12</v>
      </c>
      <c r="E32" t="s">
        <v>16</v>
      </c>
      <c r="F32" t="s">
        <v>16</v>
      </c>
      <c r="G32" t="s">
        <v>107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46157</v>
      </c>
      <c r="B33" t="s">
        <v>78</v>
      </c>
      <c r="C33" s="6" t="s">
        <v>144</v>
      </c>
      <c r="D33" t="s">
        <v>12</v>
      </c>
      <c r="E33" t="s">
        <v>29</v>
      </c>
      <c r="F33" t="s">
        <v>29</v>
      </c>
      <c r="G33" t="s">
        <v>145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35">
      <c r="A34" s="5">
        <v>46157</v>
      </c>
      <c r="B34" t="s">
        <v>73</v>
      </c>
      <c r="C34" s="6" t="s">
        <v>146</v>
      </c>
      <c r="D34" t="s">
        <v>13</v>
      </c>
      <c r="E34" t="s">
        <v>14</v>
      </c>
      <c r="F34" t="s">
        <v>147</v>
      </c>
      <c r="G34" t="s">
        <v>148</v>
      </c>
      <c r="H34" t="s">
        <v>72</v>
      </c>
      <c r="I34" t="str">
        <f>_xlfn.XLOOKUP(Tabla1[[#This Row],[Dependencia]],Tabla2[Dependencia],Tabla2[Clasificación],"No indexado")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35">
      <c r="A35" s="5">
        <v>46157</v>
      </c>
      <c r="B35" t="s">
        <v>73</v>
      </c>
      <c r="C35" s="6" t="s">
        <v>149</v>
      </c>
      <c r="D35" t="s">
        <v>12</v>
      </c>
      <c r="E35" t="s">
        <v>23</v>
      </c>
      <c r="F35" t="s">
        <v>23</v>
      </c>
      <c r="G35" t="s">
        <v>150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35">
      <c r="A36" s="5">
        <v>46157</v>
      </c>
      <c r="B36" t="s">
        <v>73</v>
      </c>
      <c r="C36" s="6" t="s">
        <v>151</v>
      </c>
      <c r="D36" t="s">
        <v>12</v>
      </c>
      <c r="E36" t="s">
        <v>16</v>
      </c>
      <c r="F36" t="s">
        <v>16</v>
      </c>
      <c r="G36" t="s">
        <v>152</v>
      </c>
      <c r="H36" t="s">
        <v>72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46157</v>
      </c>
      <c r="B37" t="s">
        <v>73</v>
      </c>
      <c r="C37" s="6" t="s">
        <v>153</v>
      </c>
      <c r="D37" t="s">
        <v>12</v>
      </c>
      <c r="E37" t="s">
        <v>27</v>
      </c>
      <c r="F37" t="s">
        <v>27</v>
      </c>
      <c r="G37" t="s">
        <v>154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35">
      <c r="A38" s="5">
        <v>46157</v>
      </c>
      <c r="B38" t="s">
        <v>73</v>
      </c>
      <c r="C38" s="6" t="s">
        <v>155</v>
      </c>
      <c r="D38" t="s">
        <v>12</v>
      </c>
      <c r="E38" t="s">
        <v>46</v>
      </c>
      <c r="F38" t="s">
        <v>46</v>
      </c>
      <c r="G38" t="s">
        <v>94</v>
      </c>
      <c r="H38" t="s">
        <v>11</v>
      </c>
      <c r="I38" t="str">
        <f>_xlfn.XLOOKUP(Tabla1[[#This Row],[Dependencia]],Tabla2[Dependencia],Tabla2[Clasificación],"No indexado")</f>
        <v>Partidos</v>
      </c>
      <c r="J38" t="str">
        <f>_xlfn.XLOOKUP(Tabla1[[#This Row],[Dependencia]],Tabla3[Dependencia],Tabla3[Nivel],"otros",0)</f>
        <v>otros</v>
      </c>
    </row>
    <row r="39" spans="1:10" x14ac:dyDescent="0.35">
      <c r="A39" s="5">
        <v>46157</v>
      </c>
      <c r="B39" t="s">
        <v>73</v>
      </c>
      <c r="C39" s="6" t="s">
        <v>156</v>
      </c>
      <c r="D39" t="s">
        <v>12</v>
      </c>
      <c r="E39" t="s">
        <v>20</v>
      </c>
      <c r="F39" t="s">
        <v>20</v>
      </c>
      <c r="G39" t="s">
        <v>105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5">
        <v>46157</v>
      </c>
      <c r="B40" t="s">
        <v>75</v>
      </c>
      <c r="C40" s="6" t="s">
        <v>157</v>
      </c>
      <c r="D40" t="s">
        <v>13</v>
      </c>
      <c r="E40" t="s">
        <v>158</v>
      </c>
      <c r="F40" t="s">
        <v>158</v>
      </c>
      <c r="G40" t="s">
        <v>159</v>
      </c>
      <c r="H40" t="s">
        <v>11</v>
      </c>
      <c r="I40" t="str">
        <f>_xlfn.XLOOKUP(Tabla1[[#This Row],[Dependencia]],Tabla2[Dependencia],Tabla2[Clasificación],"No indexado")</f>
        <v>Partidos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46157</v>
      </c>
      <c r="B41" t="s">
        <v>75</v>
      </c>
      <c r="C41" s="6" t="s">
        <v>160</v>
      </c>
      <c r="D41" t="s">
        <v>9</v>
      </c>
      <c r="E41" t="s">
        <v>24</v>
      </c>
      <c r="F41" t="s">
        <v>24</v>
      </c>
      <c r="G41" t="s">
        <v>101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Gobernador</v>
      </c>
    </row>
    <row r="42" spans="1:10" x14ac:dyDescent="0.35">
      <c r="A42" s="5">
        <v>46157</v>
      </c>
      <c r="B42" t="s">
        <v>75</v>
      </c>
      <c r="C42" s="6" t="s">
        <v>161</v>
      </c>
      <c r="D42" t="s">
        <v>12</v>
      </c>
      <c r="E42" t="s">
        <v>14</v>
      </c>
      <c r="F42" t="s">
        <v>14</v>
      </c>
      <c r="G42" t="s">
        <v>162</v>
      </c>
      <c r="H42" t="s">
        <v>11</v>
      </c>
      <c r="I42" t="str">
        <f>_xlfn.XLOOKUP(Tabla1[[#This Row],[Dependencia]],Tabla2[Dependencia],Tabla2[Clasificación],"No indexado")</f>
        <v>Presidencia de la República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46157</v>
      </c>
      <c r="B43" t="s">
        <v>75</v>
      </c>
      <c r="C43" s="6" t="s">
        <v>163</v>
      </c>
      <c r="D43" t="s">
        <v>12</v>
      </c>
      <c r="E43" t="s">
        <v>34</v>
      </c>
      <c r="F43" t="s">
        <v>34</v>
      </c>
      <c r="G43" t="s">
        <v>120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46157</v>
      </c>
      <c r="B44" t="s">
        <v>75</v>
      </c>
      <c r="C44" s="6" t="s">
        <v>164</v>
      </c>
      <c r="D44" t="s">
        <v>12</v>
      </c>
      <c r="E44" t="s">
        <v>25</v>
      </c>
      <c r="F44" t="s">
        <v>25</v>
      </c>
      <c r="G44" t="s">
        <v>123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46157</v>
      </c>
      <c r="B45" t="s">
        <v>79</v>
      </c>
      <c r="C45" s="6" t="s">
        <v>165</v>
      </c>
      <c r="D45" t="s">
        <v>82</v>
      </c>
      <c r="E45" t="s">
        <v>29</v>
      </c>
      <c r="F45" t="s">
        <v>29</v>
      </c>
      <c r="G45" t="s">
        <v>131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29" x14ac:dyDescent="0.35">
      <c r="A46" s="5">
        <v>46157</v>
      </c>
      <c r="B46" t="s">
        <v>79</v>
      </c>
      <c r="C46" s="6" t="s">
        <v>166</v>
      </c>
      <c r="D46" t="s">
        <v>12</v>
      </c>
      <c r="E46" t="s">
        <v>48</v>
      </c>
      <c r="F46" t="s">
        <v>48</v>
      </c>
      <c r="G46" t="s">
        <v>84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29" x14ac:dyDescent="0.35">
      <c r="A47" s="5">
        <v>46157</v>
      </c>
      <c r="B47" t="s">
        <v>79</v>
      </c>
      <c r="C47" s="6" t="s">
        <v>167</v>
      </c>
      <c r="D47" t="s">
        <v>13</v>
      </c>
      <c r="E47" t="s">
        <v>24</v>
      </c>
      <c r="F47" t="s">
        <v>24</v>
      </c>
      <c r="G47" t="s">
        <v>101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ht="29" x14ac:dyDescent="0.35">
      <c r="A48" s="5">
        <v>46157</v>
      </c>
      <c r="B48" t="s">
        <v>79</v>
      </c>
      <c r="C48" s="6" t="s">
        <v>168</v>
      </c>
      <c r="D48" t="s">
        <v>12</v>
      </c>
      <c r="E48" t="s">
        <v>23</v>
      </c>
      <c r="F48" t="s">
        <v>2</v>
      </c>
      <c r="G48" t="s">
        <v>169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46157</v>
      </c>
      <c r="B49" t="s">
        <v>79</v>
      </c>
      <c r="C49" s="6" t="s">
        <v>170</v>
      </c>
      <c r="D49" t="s">
        <v>12</v>
      </c>
      <c r="E49" t="s">
        <v>16</v>
      </c>
      <c r="F49" t="s">
        <v>16</v>
      </c>
      <c r="G49" t="s">
        <v>81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46157</v>
      </c>
      <c r="B50" t="s">
        <v>79</v>
      </c>
      <c r="C50" s="6" t="s">
        <v>171</v>
      </c>
      <c r="D50" t="s">
        <v>12</v>
      </c>
      <c r="E50" t="s">
        <v>10</v>
      </c>
      <c r="F50" t="s">
        <v>10</v>
      </c>
      <c r="G50" t="s">
        <v>92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46157</v>
      </c>
      <c r="B51" t="s">
        <v>79</v>
      </c>
      <c r="C51" s="6" t="s">
        <v>172</v>
      </c>
      <c r="D51" t="s">
        <v>12</v>
      </c>
      <c r="E51" t="s">
        <v>16</v>
      </c>
      <c r="F51" t="s">
        <v>16</v>
      </c>
      <c r="G51" t="s">
        <v>173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46157</v>
      </c>
      <c r="B52" t="s">
        <v>79</v>
      </c>
      <c r="C52" s="6" t="s">
        <v>174</v>
      </c>
      <c r="D52" t="s">
        <v>12</v>
      </c>
      <c r="E52" t="s">
        <v>34</v>
      </c>
      <c r="F52" t="s">
        <v>34</v>
      </c>
      <c r="G52" t="s">
        <v>175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35">
      <c r="A53" s="5">
        <v>46157</v>
      </c>
      <c r="B53" t="s">
        <v>83</v>
      </c>
      <c r="C53" s="6" t="s">
        <v>176</v>
      </c>
      <c r="D53" t="s">
        <v>13</v>
      </c>
      <c r="E53" t="s">
        <v>10</v>
      </c>
      <c r="F53" t="s">
        <v>10</v>
      </c>
      <c r="G53" t="s">
        <v>71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46157</v>
      </c>
      <c r="B54" t="s">
        <v>83</v>
      </c>
      <c r="C54" s="6" t="s">
        <v>177</v>
      </c>
      <c r="D54" t="s">
        <v>12</v>
      </c>
      <c r="E54" t="s">
        <v>10</v>
      </c>
      <c r="F54" t="s">
        <v>10</v>
      </c>
      <c r="G54" t="s">
        <v>81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46157</v>
      </c>
      <c r="B55" t="s">
        <v>83</v>
      </c>
      <c r="C55" s="6" t="s">
        <v>178</v>
      </c>
      <c r="D55" t="s">
        <v>12</v>
      </c>
      <c r="E55" t="s">
        <v>10</v>
      </c>
      <c r="F55" t="s">
        <v>10</v>
      </c>
      <c r="G55" t="s">
        <v>81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29" x14ac:dyDescent="0.35">
      <c r="A56" s="5">
        <v>46157</v>
      </c>
      <c r="B56" t="s">
        <v>83</v>
      </c>
      <c r="C56" s="6" t="s">
        <v>167</v>
      </c>
      <c r="D56" t="s">
        <v>12</v>
      </c>
      <c r="E56" t="s">
        <v>24</v>
      </c>
      <c r="F56" t="s">
        <v>24</v>
      </c>
      <c r="G56" t="s">
        <v>101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x14ac:dyDescent="0.35">
      <c r="A57" s="5">
        <v>46157</v>
      </c>
      <c r="B57" t="s">
        <v>83</v>
      </c>
      <c r="C57" s="6" t="s">
        <v>179</v>
      </c>
      <c r="D57" t="s">
        <v>12</v>
      </c>
      <c r="E57" t="s">
        <v>89</v>
      </c>
      <c r="F57" t="s">
        <v>89</v>
      </c>
      <c r="G57" t="s">
        <v>90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5">
        <v>46157</v>
      </c>
      <c r="B58" t="s">
        <v>83</v>
      </c>
      <c r="C58" s="6" t="s">
        <v>85</v>
      </c>
      <c r="D58" t="s">
        <v>86</v>
      </c>
      <c r="E58" t="s">
        <v>16</v>
      </c>
      <c r="F58" t="s">
        <v>16</v>
      </c>
      <c r="G58" t="s">
        <v>93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35">
      <c r="A59" s="5">
        <v>46157</v>
      </c>
      <c r="B59" t="s">
        <v>80</v>
      </c>
      <c r="C59" s="6" t="s">
        <v>180</v>
      </c>
      <c r="D59" t="s">
        <v>13</v>
      </c>
      <c r="E59" t="s">
        <v>14</v>
      </c>
      <c r="F59" t="s">
        <v>14</v>
      </c>
      <c r="G59" t="s">
        <v>181</v>
      </c>
      <c r="H59" t="s">
        <v>11</v>
      </c>
      <c r="I59" t="str">
        <f>_xlfn.XLOOKUP(Tabla1[[#This Row],[Dependencia]],Tabla2[Dependencia],Tabla2[Clasificación],"No indexado")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46157</v>
      </c>
      <c r="B60" t="s">
        <v>80</v>
      </c>
      <c r="C60" s="6" t="s">
        <v>182</v>
      </c>
      <c r="D60" t="s">
        <v>12</v>
      </c>
      <c r="E60" t="s">
        <v>10</v>
      </c>
      <c r="F60" t="s">
        <v>10</v>
      </c>
      <c r="G60" t="s">
        <v>183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58" x14ac:dyDescent="0.35">
      <c r="A61" s="5">
        <v>46157</v>
      </c>
      <c r="B61" t="s">
        <v>80</v>
      </c>
      <c r="C61" s="6" t="s">
        <v>184</v>
      </c>
      <c r="D61" t="s">
        <v>76</v>
      </c>
      <c r="E61" t="s">
        <v>10</v>
      </c>
      <c r="F61" t="s">
        <v>10</v>
      </c>
      <c r="G61" t="s">
        <v>92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5">
        <v>46157</v>
      </c>
      <c r="B62" t="s">
        <v>80</v>
      </c>
      <c r="C62" s="6" t="s">
        <v>185</v>
      </c>
      <c r="D62" t="s">
        <v>12</v>
      </c>
      <c r="E62" t="s">
        <v>14</v>
      </c>
      <c r="F62" t="s">
        <v>186</v>
      </c>
      <c r="G62" t="s">
        <v>187</v>
      </c>
      <c r="H62" t="s">
        <v>11</v>
      </c>
      <c r="I62" t="str">
        <f>_xlfn.XLOOKUP(Tabla1[[#This Row],[Dependencia]],Tabla2[Dependencia],Tabla2[Clasificación],"No indexado")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46157</v>
      </c>
      <c r="B63" t="s">
        <v>80</v>
      </c>
      <c r="C63" s="6" t="s">
        <v>188</v>
      </c>
      <c r="D63" t="s">
        <v>12</v>
      </c>
      <c r="E63" t="s">
        <v>10</v>
      </c>
      <c r="F63" t="s">
        <v>10</v>
      </c>
      <c r="G63" t="s">
        <v>71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2026-05-15T19:34:21Z</dcterms:modified>
</cp:coreProperties>
</file>