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3745F476-EA23-42AA-843C-4F174A2F5422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</calcChain>
</file>

<file path=xl/sharedStrings.xml><?xml version="1.0" encoding="utf-8"?>
<sst xmlns="http://schemas.openxmlformats.org/spreadsheetml/2006/main" count="638" uniqueCount="200">
  <si>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</si>
  <si>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</si>
  <si>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</si>
  <si>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</si>
  <si>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</si>
  <si>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</si>
  <si>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</si>
  <si>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</si>
  <si>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</si>
  <si>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</si>
  <si>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</si>
  <si>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</si>
  <si>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</si>
  <si>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</si>
  <si>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</si>
  <si>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</si>
  <si>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</si>
  <si>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</si>
  <si>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</si>
  <si>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</si>
  <si>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</si>
  <si>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</si>
  <si>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</si>
  <si>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</si>
  <si>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</si>
  <si>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</si>
  <si>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</si>
  <si>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</si>
  <si>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</si>
  <si>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</si>
  <si>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</si>
  <si>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</si>
  <si>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</si>
  <si>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</si>
  <si>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</si>
  <si>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</si>
  <si>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</si>
  <si>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</si>
  <si>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</si>
  <si>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</si>
  <si>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</si>
  <si>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</si>
  <si>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</si>
  <si>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</si>
  <si>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</si>
  <si>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</si>
  <si>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</si>
  <si>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</si>
  <si>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</si>
  <si>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</si>
  <si>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</si>
  <si>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</si>
  <si>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</si>
  <si>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</si>
  <si>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</si>
  <si>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</si>
  <si>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</si>
  <si>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</si>
  <si>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</si>
  <si>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</si>
  <si>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</si>
  <si>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</si>
  <si>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</si>
  <si>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</si>
  <si>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</si>
  <si>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</si>
  <si>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</si>
  <si>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</si>
  <si>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</si>
  <si>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</si>
  <si>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</si>
  <si>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</si>
  <si>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</si>
  <si>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</si>
  <si>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</si>
  <si>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</si>
  <si>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</si>
  <si>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</si>
  <si>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</si>
  <si>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</si>
  <si>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</si>
  <si>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</si>
  <si>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</si>
  <si>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</si>
  <si>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</si>
  <si>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Reforma De Ley</t>
  </si>
  <si>
    <t>Feria Pachuca</t>
  </si>
  <si>
    <t>IMSS</t>
  </si>
  <si>
    <t>Alcalde</t>
  </si>
  <si>
    <t>OEEH</t>
  </si>
  <si>
    <t>Sipdus</t>
  </si>
  <si>
    <t>Plan Nacional De Vivienda</t>
  </si>
  <si>
    <t>Informe de actividades</t>
  </si>
  <si>
    <t>Nuevo Hospital General</t>
  </si>
  <si>
    <t>Ola De Violencia</t>
  </si>
  <si>
    <t>Campaña de vacunación</t>
  </si>
  <si>
    <t>Comparecencias</t>
  </si>
  <si>
    <t>Tauromaquia</t>
  </si>
  <si>
    <t>Aclaran que predio pertenece a Fovissste</t>
  </si>
  <si>
    <t>ISSSTE</t>
  </si>
  <si>
    <t>Registran cupo lleno en hoteles en el Huasteca</t>
  </si>
  <si>
    <t>Xantolo</t>
  </si>
  <si>
    <t>PAN rechaza nueva reforma</t>
  </si>
  <si>
    <t>Hay 97 denuncias por posible corrupción</t>
  </si>
  <si>
    <t>Combate a la corrupción</t>
  </si>
  <si>
    <t>Estados Unidos abre más recortes de agua</t>
  </si>
  <si>
    <t>Temas internacionales</t>
  </si>
  <si>
    <t>Plantean limitar el alza al minisalario</t>
  </si>
  <si>
    <t>Aumento salarial</t>
  </si>
  <si>
    <t>Abren glosa Olivares y N. Naranjo</t>
  </si>
  <si>
    <t>Denuncia Morena presuntos delitos fiscales de Viggiano</t>
  </si>
  <si>
    <t>Denuncia por enriquecimiento ilícito</t>
  </si>
  <si>
    <t>Afectan a la entidad males cardiacos</t>
  </si>
  <si>
    <t>Control de enfermedades</t>
  </si>
  <si>
    <t>Detecta la Contraloría desfalcos por 2.4 mmdp</t>
  </si>
  <si>
    <t>Feria de los Angelitos dejó 400 mdp</t>
  </si>
  <si>
    <t>Feria Patronal</t>
  </si>
  <si>
    <t>Destaca Olivares avances en seguridad</t>
  </si>
  <si>
    <t>Corte invalida cobros a las comunicaciones en Yahualica</t>
  </si>
  <si>
    <t>Ayu</t>
  </si>
  <si>
    <t>Ley De Ingresos</t>
  </si>
  <si>
    <t>Asume deuda</t>
  </si>
  <si>
    <t>Barsa, por otro golpe</t>
  </si>
  <si>
    <t>Descartan represión vs personal del IMSS durante protestas</t>
  </si>
  <si>
    <t>Chocan posturas por la refoirma que avala a ediles firmar contratos</t>
  </si>
  <si>
    <t>Plagada de baches, calle 10 de Santa Julia</t>
  </si>
  <si>
    <t>Caasim</t>
  </si>
  <si>
    <t>Baches</t>
  </si>
  <si>
    <t>Preliberaron a 10 personas de cárceles de la entidad: Reyna</t>
  </si>
  <si>
    <t>Por la compra de mansión, Morenadenuncia a Caro Viggiano ante FGR</t>
  </si>
  <si>
    <t>Denuncia enriquecimiento ilícito</t>
  </si>
  <si>
    <t>Constructoras del Hospital General enfrentan sanciones</t>
  </si>
  <si>
    <t>DIF de la entidad obtiene certificación internacional</t>
  </si>
  <si>
    <t>Certificación</t>
  </si>
  <si>
    <t>Llegan a Ciudad Sahagún exposiciones y espectáculos</t>
  </si>
  <si>
    <t>Feria industrial</t>
  </si>
  <si>
    <t>Reportan caída en homicidios ...y alza en las inversiones</t>
  </si>
  <si>
    <t>Arrancan en el estado campaña de vacunación</t>
  </si>
  <si>
    <t>Refuerzan vigilancia con cámaras y parador seguro</t>
  </si>
  <si>
    <t>Impulsan la producción de flores de temporada</t>
  </si>
  <si>
    <t>Impulso al agro</t>
  </si>
  <si>
    <t>Piso por piso buscará el IMSS las deficiencias en 277 hospitales del país</t>
  </si>
  <si>
    <t>Supervisión</t>
  </si>
  <si>
    <t>Se guardan qué patógeno mató a científica rusa</t>
  </si>
  <si>
    <t>Vigilancia Epidemiológica</t>
  </si>
  <si>
    <t>Destaca SEP por lo menos 5 medidas contra violencia</t>
  </si>
  <si>
    <t>Educación socioemocional</t>
  </si>
  <si>
    <t>Legisladores de Morena denuncian a Carolina Viggiano</t>
  </si>
  <si>
    <t>Reforma para agilizar contratos en alcaldías evita parálisis: contralor</t>
  </si>
  <si>
    <t>Hubo pagos para frenar el parque circular: Olivares</t>
  </si>
  <si>
    <t>Parque Ecológico Tula</t>
  </si>
  <si>
    <t>Matan a exedil y amenazan escuela en Veracruz</t>
  </si>
  <si>
    <t>Homicidios</t>
  </si>
  <si>
    <t>Legisladores denuncian a Viggiano por enriquecimiento ilícito</t>
  </si>
  <si>
    <t>La participación ciudadana, conciencia y organización de la población  son los factores que permiten consolidar el cambio verdadero, sin ello,  no importa qué se construya, simplemente no tendrá el soporte y  estructura que le permita crecer”.</t>
  </si>
  <si>
    <t>Simey</t>
  </si>
  <si>
    <t>Acumula Contraloría 97 denuncias penales por corrupción en cuatro años</t>
  </si>
  <si>
    <t>Presentan denuncia contra Carolina Viggiano por presunto enriquecimiento ilícito</t>
  </si>
  <si>
    <t>Personas en prisión preventiva podrán participar en consulta sobre corridas de toros</t>
  </si>
  <si>
    <t>Jorge Reyes respalda reforma para modernizar la gestión administrativa municipal</t>
  </si>
  <si>
    <t>Operativo policial contra trabajadores del IMSS fue por incumplimiento de acuerdo: Olivares Reyna</t>
  </si>
  <si>
    <t>Caos, temor y muerte por balaceras en colonias de Tula</t>
  </si>
  <si>
    <t>Morena denunca a Carolina Viggiano</t>
  </si>
  <si>
    <t>Desgraciadamente la  violencia en su modo más  crudo llegó a Hidalgo,  se recrudece en Tula  donde prevalece el  huachicoleo. Es  momento de frenar  estos hechos  delincuenciales…</t>
  </si>
  <si>
    <t>Editorial</t>
  </si>
  <si>
    <t>Medidas para que sea eficaz la atención pública en salud</t>
  </si>
  <si>
    <t>Atención médica</t>
  </si>
  <si>
    <t>Morena denuncia a Viggiano ante la FGR</t>
  </si>
  <si>
    <t>Gobierno privilegió el diálogo antes de usar fuerza pública: Olivares</t>
  </si>
  <si>
    <t>Hallan tres calcinados en vivienda de Tepeapulco</t>
  </si>
  <si>
    <t>Policía municipal</t>
  </si>
  <si>
    <t>Localización de cuerpo</t>
  </si>
  <si>
    <t>Regidores y síndicos del PAN rechazan reforma</t>
  </si>
  <si>
    <t>Arranca vacunación masiva en Hidalgo</t>
  </si>
  <si>
    <t>Destina Saderh apoyos al sector agropecuario en Lolotla</t>
  </si>
  <si>
    <t>Apoyo Al Agro</t>
  </si>
  <si>
    <t>Concluye tigrillo su rehabilitación en Pachuca y se prepara para regresar a su hábitat natural</t>
  </si>
  <si>
    <t>Rehabilitación animal</t>
  </si>
  <si>
    <t>Morena denuncia a Viggiano ante el SAT por presunta simulación fiscal</t>
  </si>
  <si>
    <t>Hidalgo fortalece la paz, seguridad y el diálogo con atención cercana: Guillermo Olivares</t>
  </si>
  <si>
    <t>Claudia Sandoval visita primaria</t>
  </si>
  <si>
    <t>info</t>
  </si>
  <si>
    <t>Entrega mobiliario escolar</t>
  </si>
  <si>
    <t>Tlaxcoapan, sede del taller estratégico para el desarrollo regional</t>
  </si>
  <si>
    <t>Desarrollo regional</t>
  </si>
  <si>
    <t>El magisterio de Hidalgo fortalece sus estructuras sindicales con encuentros regionales</t>
  </si>
  <si>
    <t>Reunión con sindicato</t>
  </si>
  <si>
    <t>Ajacuba participa en taller estratégico para el desarrollo regional en Tlaxcoapan</t>
  </si>
  <si>
    <t>Justifica Olivares uso de fuerza pública contra personas del IMSS</t>
  </si>
  <si>
    <t>Cuernudos proyecta riqueza cultural de Hidalgo en Festival Cervantino</t>
  </si>
  <si>
    <t>Festival Cultural</t>
  </si>
  <si>
    <t>91 millones 600 mil desayunos escolares para niñas, niños y adolescentes</t>
  </si>
  <si>
    <t>Fortalecen la paz, seguridad y el diálogo con atención cercana: Guillermo Olivares</t>
  </si>
  <si>
    <t>Destaca Hidalgo en materia anticorrupción</t>
  </si>
  <si>
    <t>Natividad Castrejón entrega obra educativa por 12.9 mdp en Huichapan</t>
  </si>
  <si>
    <t>Entrega de infraestructura escolar</t>
  </si>
  <si>
    <t>Denuncia Morena a Carolina Viggiano por presunta simulación fiscal</t>
  </si>
  <si>
    <t>¡Iuuuu!! El Recodo le puso sabor sinaloense a la Feria</t>
  </si>
  <si>
    <t>61 niñas, niños y adolescentes encontraron un hogar a través de la adopción</t>
  </si>
  <si>
    <t>Recuerda: la detección temprana salva vidas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</si>
</sst>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6" headerRowBorderDxfId="5">
  <autoFilter ref="A1:J69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4"/>
    <tableColumn id="2" xr3:uid="{03A139BE-A997-45E6-81E6-5F7467162FC5}" name="Medio"/>
    <tableColumn id="3" xr3:uid="{4CA37DD5-010E-43EE-907D-87C1845DB2AB}" name="Titular" dataDxfId="3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2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11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topLeftCell="A54" workbookViewId="0">
      <selection activeCell="I69" sqref="I6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46308</v>
      </c>
      <c r="B2" t="s">
        <v>81</v>
      </c>
      <c r="C2" s="5" t="s">
        <v>98</v>
      </c>
      <c r="D2" t="s">
        <v>12</v>
      </c>
      <c r="E2" t="s">
        <v>14</v>
      </c>
      <c r="F2" t="s">
        <v>99</v>
      </c>
      <c r="G2" t="s">
        <v>91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46308</v>
      </c>
      <c r="B3" t="s">
        <v>81</v>
      </c>
      <c r="C3" s="5" t="s">
        <v>100</v>
      </c>
      <c r="D3" t="s">
        <v>12</v>
      </c>
      <c r="E3" t="s">
        <v>29</v>
      </c>
      <c r="F3" t="s">
        <v>29</v>
      </c>
      <c r="G3" t="s">
        <v>101</v>
      </c>
      <c r="H3" t="s">
        <v>72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46308</v>
      </c>
      <c r="B4" t="s">
        <v>81</v>
      </c>
      <c r="C4" s="5" t="s">
        <v>102</v>
      </c>
      <c r="D4" t="s">
        <v>12</v>
      </c>
      <c r="E4" t="s">
        <v>45</v>
      </c>
      <c r="F4" t="s">
        <v>45</v>
      </c>
      <c r="G4" t="s">
        <v>85</v>
      </c>
      <c r="H4" t="s">
        <v>11</v>
      </c>
      <c r="I4" t="str">
        <f>_xlfn.XLOOKUP(Tabla1[[#This Row],[Dependencia]],Tabla2[Dependencia],Tabla2[Clasificación],"XXX",0)</f>
        <v>Partidos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46308</v>
      </c>
      <c r="B5" t="s">
        <v>81</v>
      </c>
      <c r="C5" s="5" t="s">
        <v>103</v>
      </c>
      <c r="D5" t="s">
        <v>13</v>
      </c>
      <c r="E5" t="s">
        <v>34</v>
      </c>
      <c r="F5" t="s">
        <v>34</v>
      </c>
      <c r="G5" t="s">
        <v>104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46308</v>
      </c>
      <c r="B6" t="s">
        <v>81</v>
      </c>
      <c r="C6" s="5" t="s">
        <v>105</v>
      </c>
      <c r="D6" t="s">
        <v>12</v>
      </c>
      <c r="E6" t="s">
        <v>10</v>
      </c>
      <c r="F6" t="s">
        <v>10</v>
      </c>
      <c r="G6" t="s">
        <v>106</v>
      </c>
      <c r="H6" t="s">
        <v>68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46308</v>
      </c>
      <c r="B7" t="s">
        <v>81</v>
      </c>
      <c r="C7" s="5" t="s">
        <v>107</v>
      </c>
      <c r="D7" t="s">
        <v>12</v>
      </c>
      <c r="E7" t="s">
        <v>10</v>
      </c>
      <c r="F7" t="s">
        <v>10</v>
      </c>
      <c r="G7" t="s">
        <v>108</v>
      </c>
      <c r="H7" t="s">
        <v>68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46308</v>
      </c>
      <c r="B8" t="s">
        <v>81</v>
      </c>
      <c r="C8" s="5" t="s">
        <v>109</v>
      </c>
      <c r="D8" t="s">
        <v>9</v>
      </c>
      <c r="E8" t="s">
        <v>23</v>
      </c>
      <c r="F8" t="s">
        <v>2</v>
      </c>
      <c r="G8" t="s">
        <v>96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ht="30" x14ac:dyDescent="0.25">
      <c r="A9" s="11">
        <v>46308</v>
      </c>
      <c r="B9" t="s">
        <v>69</v>
      </c>
      <c r="C9" s="5" t="s">
        <v>110</v>
      </c>
      <c r="D9" t="s">
        <v>12</v>
      </c>
      <c r="E9" t="s">
        <v>18</v>
      </c>
      <c r="F9" t="s">
        <v>18</v>
      </c>
      <c r="G9" t="s">
        <v>111</v>
      </c>
      <c r="H9" t="s">
        <v>11</v>
      </c>
      <c r="I9" t="str">
        <f>_xlfn.XLOOKUP(Tabla1[[#This Row],[Dependencia]],Tabla2[Dependencia],Tabla2[Clasificación],"XXX",0)</f>
        <v>Partidos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46308</v>
      </c>
      <c r="B10" t="s">
        <v>69</v>
      </c>
      <c r="C10" s="5" t="s">
        <v>112</v>
      </c>
      <c r="D10" t="s">
        <v>12</v>
      </c>
      <c r="E10" t="s">
        <v>14</v>
      </c>
      <c r="F10" t="s">
        <v>99</v>
      </c>
      <c r="G10" t="s">
        <v>113</v>
      </c>
      <c r="H10" t="s">
        <v>11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46308</v>
      </c>
      <c r="B11" t="s">
        <v>69</v>
      </c>
      <c r="C11" s="5" t="s">
        <v>114</v>
      </c>
      <c r="D11" t="s">
        <v>13</v>
      </c>
      <c r="E11" t="s">
        <v>34</v>
      </c>
      <c r="F11" t="s">
        <v>34</v>
      </c>
      <c r="G11" t="s">
        <v>104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46308</v>
      </c>
      <c r="B12" t="s">
        <v>69</v>
      </c>
      <c r="C12" s="5" t="s">
        <v>115</v>
      </c>
      <c r="D12" t="s">
        <v>12</v>
      </c>
      <c r="E12" t="s">
        <v>16</v>
      </c>
      <c r="F12" t="s">
        <v>16</v>
      </c>
      <c r="G12" t="s">
        <v>116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46308</v>
      </c>
      <c r="B13" t="s">
        <v>69</v>
      </c>
      <c r="C13" s="5" t="s">
        <v>117</v>
      </c>
      <c r="D13" t="s">
        <v>9</v>
      </c>
      <c r="E13" t="s">
        <v>23</v>
      </c>
      <c r="F13" t="s">
        <v>2</v>
      </c>
      <c r="G13" t="s">
        <v>96</v>
      </c>
      <c r="H13" t="s">
        <v>72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11">
        <v>46308</v>
      </c>
      <c r="B14" t="s">
        <v>69</v>
      </c>
      <c r="C14" s="5" t="s">
        <v>118</v>
      </c>
      <c r="D14" t="s">
        <v>119</v>
      </c>
      <c r="E14" t="s">
        <v>16</v>
      </c>
      <c r="F14" t="s">
        <v>10</v>
      </c>
      <c r="G14" t="s">
        <v>120</v>
      </c>
      <c r="H14" t="s">
        <v>68</v>
      </c>
      <c r="I14" t="str">
        <f>_xlfn.XLOOKUP(Tabla1[[#This Row],[Dependencia]],Tabla2[Dependencia],Tabla2[Clasificación],"XXX",0)</f>
        <v>Alcaldías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46308</v>
      </c>
      <c r="B15" t="s">
        <v>71</v>
      </c>
      <c r="C15" s="5" t="s">
        <v>121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46308</v>
      </c>
      <c r="B16" t="s">
        <v>71</v>
      </c>
      <c r="C16" s="5" t="s">
        <v>122</v>
      </c>
      <c r="D16" t="s">
        <v>12</v>
      </c>
      <c r="E16" t="s">
        <v>10</v>
      </c>
      <c r="F16" t="s">
        <v>10</v>
      </c>
      <c r="G16" t="s">
        <v>70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46308</v>
      </c>
      <c r="B17" t="s">
        <v>71</v>
      </c>
      <c r="C17" s="5" t="s">
        <v>123</v>
      </c>
      <c r="D17" t="s">
        <v>13</v>
      </c>
      <c r="E17" t="s">
        <v>23</v>
      </c>
      <c r="F17" t="s">
        <v>2</v>
      </c>
      <c r="G17" t="s">
        <v>96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46308</v>
      </c>
      <c r="B18" t="s">
        <v>71</v>
      </c>
      <c r="C18" s="5" t="s">
        <v>124</v>
      </c>
      <c r="D18" t="s">
        <v>12</v>
      </c>
      <c r="E18" t="s">
        <v>33</v>
      </c>
      <c r="F18" t="s">
        <v>33</v>
      </c>
      <c r="G18" t="s">
        <v>85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46308</v>
      </c>
      <c r="B19" t="s">
        <v>71</v>
      </c>
      <c r="C19" s="5" t="s">
        <v>125</v>
      </c>
      <c r="D19" t="s">
        <v>9</v>
      </c>
      <c r="E19" t="s">
        <v>90</v>
      </c>
      <c r="F19" t="s">
        <v>126</v>
      </c>
      <c r="G19" t="s">
        <v>127</v>
      </c>
      <c r="H19" t="s">
        <v>68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46308</v>
      </c>
      <c r="B20" t="s">
        <v>71</v>
      </c>
      <c r="C20" s="5" t="s">
        <v>128</v>
      </c>
      <c r="D20" t="s">
        <v>12</v>
      </c>
      <c r="E20" t="s">
        <v>23</v>
      </c>
      <c r="F20" t="s">
        <v>2</v>
      </c>
      <c r="G20" t="s">
        <v>96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46308</v>
      </c>
      <c r="B21" t="s">
        <v>71</v>
      </c>
      <c r="C21" s="5" t="s">
        <v>129</v>
      </c>
      <c r="D21" t="s">
        <v>12</v>
      </c>
      <c r="E21" t="s">
        <v>18</v>
      </c>
      <c r="F21" t="s">
        <v>18</v>
      </c>
      <c r="G21" t="s">
        <v>130</v>
      </c>
      <c r="H21" t="s">
        <v>11</v>
      </c>
      <c r="I21" t="str">
        <f>_xlfn.XLOOKUP(Tabla1[[#This Row],[Dependencia]],Tabla2[Dependencia],Tabla2[Clasificación],"XXX",0)</f>
        <v>Partidos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46308</v>
      </c>
      <c r="B22" t="s">
        <v>75</v>
      </c>
      <c r="C22" s="5" t="s">
        <v>131</v>
      </c>
      <c r="D22" t="s">
        <v>13</v>
      </c>
      <c r="E22" t="s">
        <v>34</v>
      </c>
      <c r="F22" t="s">
        <v>34</v>
      </c>
      <c r="G22" t="s">
        <v>93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46308</v>
      </c>
      <c r="B23" t="s">
        <v>75</v>
      </c>
      <c r="C23" s="5" t="s">
        <v>132</v>
      </c>
      <c r="D23" t="s">
        <v>12</v>
      </c>
      <c r="E23" t="s">
        <v>36</v>
      </c>
      <c r="F23" t="s">
        <v>36</v>
      </c>
      <c r="G23" t="s">
        <v>133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46308</v>
      </c>
      <c r="B24" t="s">
        <v>75</v>
      </c>
      <c r="C24" s="5" t="s">
        <v>134</v>
      </c>
      <c r="D24" t="s">
        <v>12</v>
      </c>
      <c r="E24" t="s">
        <v>16</v>
      </c>
      <c r="F24" t="s">
        <v>16</v>
      </c>
      <c r="G24" t="s">
        <v>135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46308</v>
      </c>
      <c r="B25" t="s">
        <v>75</v>
      </c>
      <c r="C25" s="5" t="s">
        <v>136</v>
      </c>
      <c r="D25" t="s">
        <v>12</v>
      </c>
      <c r="E25" t="s">
        <v>23</v>
      </c>
      <c r="F25" t="s">
        <v>2</v>
      </c>
      <c r="G25" t="s">
        <v>96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46308</v>
      </c>
      <c r="B26" t="s">
        <v>75</v>
      </c>
      <c r="C26" s="5" t="s">
        <v>137</v>
      </c>
      <c r="D26" t="s">
        <v>9</v>
      </c>
      <c r="E26" t="s">
        <v>15</v>
      </c>
      <c r="F26" t="s">
        <v>2</v>
      </c>
      <c r="G26" t="s">
        <v>95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46308</v>
      </c>
      <c r="B27" t="s">
        <v>75</v>
      </c>
      <c r="C27" s="5" t="s">
        <v>138</v>
      </c>
      <c r="D27" t="s">
        <v>12</v>
      </c>
      <c r="E27" t="s">
        <v>23</v>
      </c>
      <c r="F27" t="s">
        <v>2</v>
      </c>
      <c r="G27" t="s">
        <v>96</v>
      </c>
      <c r="H27" t="s">
        <v>72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46308</v>
      </c>
      <c r="B28" t="s">
        <v>75</v>
      </c>
      <c r="C28" s="5" t="s">
        <v>139</v>
      </c>
      <c r="D28" t="s">
        <v>12</v>
      </c>
      <c r="E28" t="s">
        <v>16</v>
      </c>
      <c r="F28" t="s">
        <v>16</v>
      </c>
      <c r="G28" t="s">
        <v>140</v>
      </c>
      <c r="H28" t="s">
        <v>11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46308</v>
      </c>
      <c r="B29" t="s">
        <v>75</v>
      </c>
      <c r="C29" s="5" t="s">
        <v>141</v>
      </c>
      <c r="D29" t="s">
        <v>12</v>
      </c>
      <c r="E29" t="s">
        <v>14</v>
      </c>
      <c r="F29" t="s">
        <v>87</v>
      </c>
      <c r="G29" t="s">
        <v>142</v>
      </c>
      <c r="H29" t="s">
        <v>11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46308</v>
      </c>
      <c r="B30" t="s">
        <v>75</v>
      </c>
      <c r="C30" s="5" t="s">
        <v>143</v>
      </c>
      <c r="D30" t="s">
        <v>12</v>
      </c>
      <c r="E30" t="s">
        <v>10</v>
      </c>
      <c r="F30" t="s">
        <v>10</v>
      </c>
      <c r="G30" t="s">
        <v>144</v>
      </c>
      <c r="H30" t="s">
        <v>68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46308</v>
      </c>
      <c r="B31" t="s">
        <v>75</v>
      </c>
      <c r="C31" s="5" t="s">
        <v>145</v>
      </c>
      <c r="D31" t="s">
        <v>12</v>
      </c>
      <c r="E31" t="s">
        <v>14</v>
      </c>
      <c r="F31" t="s">
        <v>14</v>
      </c>
      <c r="G31" t="s">
        <v>146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46308</v>
      </c>
      <c r="B32" t="s">
        <v>75</v>
      </c>
      <c r="C32" s="5" t="s">
        <v>147</v>
      </c>
      <c r="D32" t="s">
        <v>12</v>
      </c>
      <c r="E32" t="s">
        <v>18</v>
      </c>
      <c r="F32" t="s">
        <v>18</v>
      </c>
      <c r="G32" t="s">
        <v>111</v>
      </c>
      <c r="H32" t="s">
        <v>11</v>
      </c>
      <c r="I32" t="str">
        <f>_xlfn.XLOOKUP(Tabla1[[#This Row],[Dependencia]],Tabla2[Dependencia],Tabla2[Clasificación],"XXX",0)</f>
        <v>Partidos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46308</v>
      </c>
      <c r="B33" t="s">
        <v>79</v>
      </c>
      <c r="C33" s="5" t="s">
        <v>148</v>
      </c>
      <c r="D33" t="s">
        <v>12</v>
      </c>
      <c r="E33" t="s">
        <v>34</v>
      </c>
      <c r="F33" t="s">
        <v>2</v>
      </c>
      <c r="G33" t="s">
        <v>85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46308</v>
      </c>
      <c r="B34" t="s">
        <v>79</v>
      </c>
      <c r="C34" s="5" t="s">
        <v>149</v>
      </c>
      <c r="D34" t="s">
        <v>13</v>
      </c>
      <c r="E34" t="s">
        <v>23</v>
      </c>
      <c r="F34" t="s">
        <v>2</v>
      </c>
      <c r="G34" t="s">
        <v>150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46308</v>
      </c>
      <c r="B35" t="s">
        <v>79</v>
      </c>
      <c r="C35" s="5" t="s">
        <v>151</v>
      </c>
      <c r="D35" t="s">
        <v>12</v>
      </c>
      <c r="E35" t="s">
        <v>10</v>
      </c>
      <c r="F35" t="s">
        <v>10</v>
      </c>
      <c r="G35" t="s">
        <v>152</v>
      </c>
      <c r="H35" t="s">
        <v>68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46308</v>
      </c>
      <c r="B36" t="s">
        <v>79</v>
      </c>
      <c r="C36" s="5" t="s">
        <v>153</v>
      </c>
      <c r="D36" t="s">
        <v>9</v>
      </c>
      <c r="E36" t="s">
        <v>18</v>
      </c>
      <c r="F36" t="s">
        <v>18</v>
      </c>
      <c r="G36" t="s">
        <v>111</v>
      </c>
      <c r="H36" t="s">
        <v>11</v>
      </c>
      <c r="I36" t="str">
        <f>_xlfn.XLOOKUP(Tabla1[[#This Row],[Dependencia]],Tabla2[Dependencia],Tabla2[Clasificación],"XXX",0)</f>
        <v>Partidos</v>
      </c>
      <c r="J36" t="str">
        <f>_xlfn.XLOOKUP(Tabla1[[#This Row],[Dependencia]],Tabla3[Dependencia],Tabla3[Nivel],"Otros",0)</f>
        <v>Otros</v>
      </c>
    </row>
    <row r="37" spans="1:10" ht="75" x14ac:dyDescent="0.25">
      <c r="A37" s="11">
        <v>46308</v>
      </c>
      <c r="B37" t="s">
        <v>79</v>
      </c>
      <c r="C37" s="5" t="s">
        <v>154</v>
      </c>
      <c r="D37" t="s">
        <v>12</v>
      </c>
      <c r="E37" t="s">
        <v>61</v>
      </c>
      <c r="F37" t="s">
        <v>155</v>
      </c>
      <c r="G37" t="s">
        <v>78</v>
      </c>
      <c r="H37" t="s">
        <v>11</v>
      </c>
      <c r="I37" t="str">
        <f>_xlfn.XLOOKUP(Tabla1[[#This Row],[Dependencia]],Tabla2[Dependencia],Tabla2[Clasificación],"XXX",0)</f>
        <v>Sucesión gubernamental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46308</v>
      </c>
      <c r="B38" t="s">
        <v>74</v>
      </c>
      <c r="C38" s="5" t="s">
        <v>156</v>
      </c>
      <c r="D38" t="s">
        <v>13</v>
      </c>
      <c r="E38" t="s">
        <v>34</v>
      </c>
      <c r="F38" t="s">
        <v>2</v>
      </c>
      <c r="G38" t="s">
        <v>104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46308</v>
      </c>
      <c r="B39" t="s">
        <v>74</v>
      </c>
      <c r="C39" s="5" t="s">
        <v>157</v>
      </c>
      <c r="D39" t="s">
        <v>12</v>
      </c>
      <c r="E39" t="s">
        <v>18</v>
      </c>
      <c r="F39" t="s">
        <v>18</v>
      </c>
      <c r="G39" t="s">
        <v>111</v>
      </c>
      <c r="H39" t="s">
        <v>11</v>
      </c>
      <c r="I39" t="str">
        <f>_xlfn.XLOOKUP(Tabla1[[#This Row],[Dependencia]],Tabla2[Dependencia],Tabla2[Clasificación],"XXX",0)</f>
        <v>Partidos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46308</v>
      </c>
      <c r="B40" t="s">
        <v>74</v>
      </c>
      <c r="C40" s="5" t="s">
        <v>158</v>
      </c>
      <c r="D40" t="s">
        <v>12</v>
      </c>
      <c r="E40" t="s">
        <v>40</v>
      </c>
      <c r="F40" t="s">
        <v>40</v>
      </c>
      <c r="G40" t="s">
        <v>97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46308</v>
      </c>
      <c r="B41" t="s">
        <v>74</v>
      </c>
      <c r="C41" s="5" t="s">
        <v>159</v>
      </c>
      <c r="D41" t="s">
        <v>12</v>
      </c>
      <c r="E41" t="s">
        <v>16</v>
      </c>
      <c r="F41" t="s">
        <v>88</v>
      </c>
      <c r="G41" t="s">
        <v>85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46308</v>
      </c>
      <c r="B42" t="s">
        <v>74</v>
      </c>
      <c r="C42" s="5" t="s">
        <v>160</v>
      </c>
      <c r="D42" t="s">
        <v>12</v>
      </c>
      <c r="E42" t="s">
        <v>23</v>
      </c>
      <c r="F42" t="s">
        <v>2</v>
      </c>
      <c r="G42" t="s">
        <v>96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1">
        <v>46308</v>
      </c>
      <c r="B43" t="s">
        <v>77</v>
      </c>
      <c r="C43" s="5" t="s">
        <v>161</v>
      </c>
      <c r="D43" t="s">
        <v>13</v>
      </c>
      <c r="E43" t="s">
        <v>22</v>
      </c>
      <c r="F43" t="s">
        <v>22</v>
      </c>
      <c r="G43" t="s">
        <v>94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11">
        <v>46308</v>
      </c>
      <c r="B44" t="s">
        <v>77</v>
      </c>
      <c r="C44" s="5" t="s">
        <v>162</v>
      </c>
      <c r="D44" t="s">
        <v>12</v>
      </c>
      <c r="E44" t="s">
        <v>18</v>
      </c>
      <c r="F44" t="s">
        <v>18</v>
      </c>
      <c r="G44" t="s">
        <v>111</v>
      </c>
      <c r="H44" t="s">
        <v>11</v>
      </c>
      <c r="I44" t="str">
        <f>_xlfn.XLOOKUP(Tabla1[[#This Row],[Dependencia]],Tabla2[Dependencia],Tabla2[Clasificación],"XXX",0)</f>
        <v>Partidos</v>
      </c>
      <c r="J44" t="str">
        <f>_xlfn.XLOOKUP(Tabla1[[#This Row],[Dependencia]],Tabla3[Dependencia],Tabla3[Nivel],"Otros",0)</f>
        <v>Otros</v>
      </c>
    </row>
    <row r="45" spans="1:10" ht="60" x14ac:dyDescent="0.25">
      <c r="A45" s="11">
        <v>46308</v>
      </c>
      <c r="B45" t="s">
        <v>77</v>
      </c>
      <c r="C45" s="5" t="s">
        <v>163</v>
      </c>
      <c r="D45" t="s">
        <v>164</v>
      </c>
      <c r="E45" t="s">
        <v>22</v>
      </c>
      <c r="F45" t="s">
        <v>22</v>
      </c>
      <c r="G45" t="s">
        <v>94</v>
      </c>
      <c r="H45" t="s">
        <v>68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46308</v>
      </c>
      <c r="B46" t="s">
        <v>77</v>
      </c>
      <c r="C46" s="5" t="s">
        <v>165</v>
      </c>
      <c r="D46" t="s">
        <v>12</v>
      </c>
      <c r="E46" t="s">
        <v>14</v>
      </c>
      <c r="F46" t="s">
        <v>14</v>
      </c>
      <c r="G46" t="s">
        <v>166</v>
      </c>
      <c r="H46" t="s">
        <v>11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46308</v>
      </c>
      <c r="B47" t="s">
        <v>73</v>
      </c>
      <c r="C47" s="5" t="s">
        <v>167</v>
      </c>
      <c r="D47" t="s">
        <v>13</v>
      </c>
      <c r="E47" t="s">
        <v>18</v>
      </c>
      <c r="F47" t="s">
        <v>18</v>
      </c>
      <c r="G47" t="s">
        <v>111</v>
      </c>
      <c r="H47" t="s">
        <v>11</v>
      </c>
      <c r="I47" t="str">
        <f>_xlfn.XLOOKUP(Tabla1[[#This Row],[Dependencia]],Tabla2[Dependencia],Tabla2[Clasificación],"XXX",0)</f>
        <v>Partidos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46308</v>
      </c>
      <c r="B48" t="s">
        <v>73</v>
      </c>
      <c r="C48" s="5" t="s">
        <v>168</v>
      </c>
      <c r="D48" t="s">
        <v>12</v>
      </c>
      <c r="E48" t="s">
        <v>23</v>
      </c>
      <c r="F48" t="s">
        <v>2</v>
      </c>
      <c r="G48" t="s">
        <v>96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46308</v>
      </c>
      <c r="B49" t="s">
        <v>73</v>
      </c>
      <c r="C49" s="5" t="s">
        <v>169</v>
      </c>
      <c r="D49" t="s">
        <v>12</v>
      </c>
      <c r="E49" t="s">
        <v>16</v>
      </c>
      <c r="F49" t="s">
        <v>170</v>
      </c>
      <c r="G49" t="s">
        <v>171</v>
      </c>
      <c r="H49" t="s">
        <v>68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46308</v>
      </c>
      <c r="B50" t="s">
        <v>73</v>
      </c>
      <c r="C50" s="5" t="s">
        <v>172</v>
      </c>
      <c r="D50" t="s">
        <v>12</v>
      </c>
      <c r="E50" t="s">
        <v>45</v>
      </c>
      <c r="F50" t="s">
        <v>45</v>
      </c>
      <c r="G50" t="s">
        <v>85</v>
      </c>
      <c r="H50" t="s">
        <v>11</v>
      </c>
      <c r="I50" t="str">
        <f>_xlfn.XLOOKUP(Tabla1[[#This Row],[Dependencia]],Tabla2[Dependencia],Tabla2[Clasificación],"XXX",0)</f>
        <v>Partidos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46308</v>
      </c>
      <c r="B51" t="s">
        <v>73</v>
      </c>
      <c r="C51" s="5" t="s">
        <v>173</v>
      </c>
      <c r="D51" t="s">
        <v>12</v>
      </c>
      <c r="E51" t="s">
        <v>15</v>
      </c>
      <c r="F51" t="s">
        <v>2</v>
      </c>
      <c r="G51" t="s">
        <v>95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46308</v>
      </c>
      <c r="B52" t="s">
        <v>82</v>
      </c>
      <c r="C52" s="5" t="s">
        <v>174</v>
      </c>
      <c r="D52" t="s">
        <v>83</v>
      </c>
      <c r="E52" t="s">
        <v>53</v>
      </c>
      <c r="F52" t="s">
        <v>53</v>
      </c>
      <c r="G52" t="s">
        <v>175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46308</v>
      </c>
      <c r="B53" t="s">
        <v>82</v>
      </c>
      <c r="C53" s="5" t="s">
        <v>176</v>
      </c>
      <c r="D53" t="s">
        <v>12</v>
      </c>
      <c r="E53" t="s">
        <v>16</v>
      </c>
      <c r="F53" t="s">
        <v>16</v>
      </c>
      <c r="G53" t="s">
        <v>177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46308</v>
      </c>
      <c r="B54" t="s">
        <v>82</v>
      </c>
      <c r="C54" s="5" t="s">
        <v>178</v>
      </c>
      <c r="D54" t="s">
        <v>13</v>
      </c>
      <c r="E54" t="s">
        <v>18</v>
      </c>
      <c r="F54" t="s">
        <v>18</v>
      </c>
      <c r="G54" t="s">
        <v>111</v>
      </c>
      <c r="H54" t="s">
        <v>11</v>
      </c>
      <c r="I54" t="str">
        <f>_xlfn.XLOOKUP(Tabla1[[#This Row],[Dependencia]],Tabla2[Dependencia],Tabla2[Clasificación],"XXX",0)</f>
        <v>Partidos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46308</v>
      </c>
      <c r="B55" t="s">
        <v>82</v>
      </c>
      <c r="C55" s="5" t="s">
        <v>179</v>
      </c>
      <c r="D55" t="s">
        <v>12</v>
      </c>
      <c r="E55" t="s">
        <v>23</v>
      </c>
      <c r="F55" t="s">
        <v>2</v>
      </c>
      <c r="G55" t="s">
        <v>96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46308</v>
      </c>
      <c r="B56" t="s">
        <v>82</v>
      </c>
      <c r="C56" s="5" t="s">
        <v>180</v>
      </c>
      <c r="D56" t="s">
        <v>181</v>
      </c>
      <c r="E56" t="s">
        <v>16</v>
      </c>
      <c r="F56" t="s">
        <v>88</v>
      </c>
      <c r="G56" t="s">
        <v>182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46308</v>
      </c>
      <c r="B57" t="s">
        <v>82</v>
      </c>
      <c r="C57" s="5" t="s">
        <v>183</v>
      </c>
      <c r="D57" t="s">
        <v>12</v>
      </c>
      <c r="E57" t="s">
        <v>16</v>
      </c>
      <c r="F57" t="s">
        <v>88</v>
      </c>
      <c r="G57" t="s">
        <v>184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46308</v>
      </c>
      <c r="B58" t="s">
        <v>82</v>
      </c>
      <c r="C58" s="5" t="s">
        <v>185</v>
      </c>
      <c r="D58" t="s">
        <v>12</v>
      </c>
      <c r="E58" t="s">
        <v>10</v>
      </c>
      <c r="F58" t="s">
        <v>10</v>
      </c>
      <c r="G58" t="s">
        <v>186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46308</v>
      </c>
      <c r="B59" t="s">
        <v>82</v>
      </c>
      <c r="C59" s="5" t="s">
        <v>187</v>
      </c>
      <c r="D59" t="s">
        <v>12</v>
      </c>
      <c r="E59" t="s">
        <v>16</v>
      </c>
      <c r="F59" t="s">
        <v>16</v>
      </c>
      <c r="G59" t="s">
        <v>184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46308</v>
      </c>
      <c r="B60" t="s">
        <v>82</v>
      </c>
      <c r="C60" s="5" t="s">
        <v>188</v>
      </c>
      <c r="D60" t="s">
        <v>12</v>
      </c>
      <c r="E60" t="s">
        <v>23</v>
      </c>
      <c r="F60" t="s">
        <v>2</v>
      </c>
      <c r="G60" t="s">
        <v>96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46308</v>
      </c>
      <c r="B61" t="s">
        <v>82</v>
      </c>
      <c r="C61" s="5" t="s">
        <v>189</v>
      </c>
      <c r="D61" t="s">
        <v>12</v>
      </c>
      <c r="E61" t="s">
        <v>28</v>
      </c>
      <c r="F61" t="s">
        <v>28</v>
      </c>
      <c r="G61" t="s">
        <v>190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46308</v>
      </c>
      <c r="B62" t="s">
        <v>82</v>
      </c>
      <c r="C62" s="5" t="s">
        <v>191</v>
      </c>
      <c r="D62" t="s">
        <v>80</v>
      </c>
      <c r="E62" t="s">
        <v>36</v>
      </c>
      <c r="F62" t="s">
        <v>36</v>
      </c>
      <c r="G62" t="s">
        <v>92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46308</v>
      </c>
      <c r="B63" t="s">
        <v>82</v>
      </c>
      <c r="C63" s="5" t="s">
        <v>192</v>
      </c>
      <c r="D63" t="s">
        <v>13</v>
      </c>
      <c r="E63" t="s">
        <v>23</v>
      </c>
      <c r="F63" t="s">
        <v>2</v>
      </c>
      <c r="G63" t="s">
        <v>96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1">
        <v>46308</v>
      </c>
      <c r="B64" t="s">
        <v>82</v>
      </c>
      <c r="C64" s="5" t="s">
        <v>193</v>
      </c>
      <c r="D64" t="s">
        <v>12</v>
      </c>
      <c r="E64" t="s">
        <v>34</v>
      </c>
      <c r="F64" t="s">
        <v>2</v>
      </c>
      <c r="G64" t="s">
        <v>104</v>
      </c>
      <c r="H64" t="s">
        <v>72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11">
        <v>46308</v>
      </c>
      <c r="B65" t="s">
        <v>82</v>
      </c>
      <c r="C65" s="5" t="s">
        <v>194</v>
      </c>
      <c r="D65" t="s">
        <v>12</v>
      </c>
      <c r="E65" t="s">
        <v>26</v>
      </c>
      <c r="F65" t="s">
        <v>2</v>
      </c>
      <c r="G65" t="s">
        <v>195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46308</v>
      </c>
      <c r="B66" t="s">
        <v>82</v>
      </c>
      <c r="C66" s="5" t="s">
        <v>196</v>
      </c>
      <c r="D66" t="s">
        <v>12</v>
      </c>
      <c r="E66" t="s">
        <v>18</v>
      </c>
      <c r="F66" t="s">
        <v>18</v>
      </c>
      <c r="G66" t="s">
        <v>111</v>
      </c>
      <c r="H66" t="s">
        <v>11</v>
      </c>
      <c r="I66" t="str">
        <f>_xlfn.XLOOKUP(Tabla1[[#This Row],[Dependencia]],Tabla2[Dependencia],Tabla2[Clasificación],"XXX",0)</f>
        <v>Partidos</v>
      </c>
      <c r="J66" t="str">
        <f>_xlfn.XLOOKUP(Tabla1[[#This Row],[Dependencia]],Tabla3[Dependencia],Tabla3[Nivel],"Otros",0)</f>
        <v>Otros</v>
      </c>
    </row>
    <row r="67" spans="1:10" x14ac:dyDescent="0.25">
      <c r="A67" s="11">
        <v>46308</v>
      </c>
      <c r="B67" t="s">
        <v>82</v>
      </c>
      <c r="C67" s="5" t="s">
        <v>197</v>
      </c>
      <c r="D67" t="s">
        <v>12</v>
      </c>
      <c r="E67" t="s">
        <v>29</v>
      </c>
      <c r="F67" t="s">
        <v>89</v>
      </c>
      <c r="G67" t="s">
        <v>86</v>
      </c>
      <c r="H67" t="s">
        <v>72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11">
        <v>46308</v>
      </c>
      <c r="B68" t="s">
        <v>82</v>
      </c>
      <c r="C68" s="5" t="s">
        <v>198</v>
      </c>
      <c r="D68" t="s">
        <v>80</v>
      </c>
      <c r="E68" t="s">
        <v>36</v>
      </c>
      <c r="F68" t="s">
        <v>36</v>
      </c>
      <c r="G68" t="s">
        <v>92</v>
      </c>
      <c r="H68" t="s">
        <v>11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25">
      <c r="A69" s="11">
        <v>46308</v>
      </c>
      <c r="B69" t="s">
        <v>82</v>
      </c>
      <c r="C69" s="5" t="s">
        <v>199</v>
      </c>
      <c r="D69" t="s">
        <v>80</v>
      </c>
      <c r="E69" t="s">
        <v>16</v>
      </c>
      <c r="F69" t="s">
        <v>16</v>
      </c>
      <c r="G69" t="s">
        <v>84</v>
      </c>
      <c r="H69" t="s">
        <v>11</v>
      </c>
      <c r="I69" t="str">
        <f>_xlfn.XLOOKUP(Tabla1[[#This Row],[Dependencia]],Tabla2[Dependencia],Tabla2[Clasificación],"XXX",0)</f>
        <v>Alcaldías</v>
      </c>
      <c r="J69" t="str">
        <f>_xlfn.XLOOKUP(Tabla1[[#This Row],[Dependencia]],Tabla3[Dependencia],Tabla3[Nivel],"Otros",0)</f>
        <v>Otros</v>
      </c>
    </row>
  </sheetData>
  <conditionalFormatting sqref="I2:I69">
    <cfRule type="expression" dxfId="0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76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2026-10-13T15:02:37Z</dcterms:modified>
</cp:coreProperties>
</file>