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8BF8B090-C115-4665-963B-23B316B86B23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I2" i="1"/>
  <c r="J2" i="1"/>
</calcChain>
</file>

<file path=xl/sharedStrings.xml><?xml version="1.0" encoding="utf-8"?>
<sst xmlns="http://schemas.openxmlformats.org/spreadsheetml/2006/main" count="636" uniqueCount="201">
  <si>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</si>
  <si>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</si>
  <si>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</si>
  <si>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</si>
  <si>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</si>
  <si>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</si>
  <si>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</si>
  <si>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</si>
  <si>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</si>
  <si>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</si>
  <si>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</si>
  <si>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</si>
  <si>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</si>
  <si>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</si>
  <si>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</si>
  <si>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</si>
  <si>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</si>
  <si>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</si>
  <si>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</si>
  <si>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</si>
  <si>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</si>
  <si>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</si>
  <si>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</si>
  <si>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</si>
  <si>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</si>
  <si>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</si>
  <si>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</si>
  <si>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</si>
  <si>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</si>
  <si>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</si>
  <si>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</si>
  <si>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</si>
  <si>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</si>
  <si>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</si>
  <si>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</si>
  <si>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</si>
  <si>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</si>
  <si>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</si>
  <si>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</si>
  <si>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</si>
  <si>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</si>
  <si>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</si>
  <si>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</si>
  <si>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</si>
  <si>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</si>
  <si>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</si>
  <si>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</si>
  <si>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</si>
  <si>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</si>
  <si>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</si>
  <si>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</si>
  <si>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</si>
  <si>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</si>
  <si>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</si>
  <si>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</si>
  <si>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</si>
  <si>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</si>
  <si>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</si>
  <si>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</si>
  <si>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</si>
  <si>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</si>
  <si>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</si>
  <si>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</si>
  <si>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</si>
  <si>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</si>
  <si>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</si>
  <si>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</si>
  <si>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</si>
  <si>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</si>
  <si>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</si>
  <si>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</si>
  <si>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</si>
  <si>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</si>
  <si>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La Jornada Hidalgo</t>
  </si>
  <si>
    <t>OCSAD</t>
  </si>
  <si>
    <t>Mundial De Futbol</t>
  </si>
  <si>
    <t>Effetá</t>
  </si>
  <si>
    <t>Plaza Juárez</t>
  </si>
  <si>
    <t>Criterio</t>
  </si>
  <si>
    <t>Publicidad</t>
  </si>
  <si>
    <t>El Universal Hidalgo</t>
  </si>
  <si>
    <t>Maltrato animal</t>
  </si>
  <si>
    <t>Ellos importan</t>
  </si>
  <si>
    <t>Incidencia Delictiva</t>
  </si>
  <si>
    <t>Temas varios</t>
  </si>
  <si>
    <t>Sipdus</t>
  </si>
  <si>
    <t>Marfeca</t>
  </si>
  <si>
    <t>Caasim</t>
  </si>
  <si>
    <t>Adeudos Caasim</t>
  </si>
  <si>
    <t>Admisiones</t>
  </si>
  <si>
    <t>Identidad segura</t>
  </si>
  <si>
    <t>Pachuca Brilla</t>
  </si>
  <si>
    <t>En breve, multas por invasión al carril de Tuzobús</t>
  </si>
  <si>
    <t>Sitmah</t>
  </si>
  <si>
    <t>Carril confinado</t>
  </si>
  <si>
    <t>Registran alza en denuncias por fraudes</t>
  </si>
  <si>
    <t>Cristiano irrumpe en mundial</t>
  </si>
  <si>
    <t>Exigen cumplimiento en obras inconclusas</t>
  </si>
  <si>
    <t>Incumplimiento de obra</t>
  </si>
  <si>
    <t>Afición vive la emoción en la pantalla grande</t>
  </si>
  <si>
    <t>Salen a hacer historia</t>
  </si>
  <si>
    <t>Reduce INE plantilla... pero deja sueldazos</t>
  </si>
  <si>
    <t>Tabulador salarial</t>
  </si>
  <si>
    <t>Cuenta regresiva para multar a quienes invadan carril del Tuzobús</t>
  </si>
  <si>
    <t>Ola de calor asfixia a Francia</t>
  </si>
  <si>
    <t>Ola de calor</t>
  </si>
  <si>
    <t>Rechaza la UAEH a la mitad de aspirantes a prepas y licenciaturas</t>
  </si>
  <si>
    <t>México busca paso perfecto</t>
  </si>
  <si>
    <t>Definen su destino en el Mundial 2026</t>
  </si>
  <si>
    <t>Multarán por invadir carril del Tuzobús</t>
  </si>
  <si>
    <t>Del riesgo en estructura al megaproyecto: salón de plenos</t>
  </si>
  <si>
    <t>Salón De Plenos</t>
  </si>
  <si>
    <t>Buscarán blindar leyes de ingresos</t>
  </si>
  <si>
    <t>Ley De Ingresos</t>
  </si>
  <si>
    <t>Descarta oficial mayor conflicto por adquisición de departamento</t>
  </si>
  <si>
    <t>Conflicto de interés</t>
  </si>
  <si>
    <t>Unidades que circulan sí son nuevas, asegura Lyzbeth Robles</t>
  </si>
  <si>
    <t>Modernización Tuzobús</t>
  </si>
  <si>
    <t>Ponen lupa a obras; la Auditoría triplica fiscalización en 2 años</t>
  </si>
  <si>
    <t>ASEH</t>
  </si>
  <si>
    <t>Vigilancia del gasto público</t>
  </si>
  <si>
    <t>Viviendas del Bienestar: se ofrecen como solución a damnificados por vaguada</t>
  </si>
  <si>
    <t>Reubicación de viviendas</t>
  </si>
  <si>
    <t>Tren México-Querétaro En Santiago Tlaltepoxco  piden atender inquietudes</t>
  </si>
  <si>
    <t>SICT</t>
  </si>
  <si>
    <t>Tren México Querétaro</t>
  </si>
  <si>
    <t>Desplazados LGBT+ van a la Casa Frida</t>
  </si>
  <si>
    <t>Discriminación</t>
  </si>
  <si>
    <t>Tulancingo reporta caída en incidencia delictiva</t>
  </si>
  <si>
    <t>Doblete. CR7 calla bocas: gol en cada una de sus seis copas</t>
  </si>
  <si>
    <t>Retiran del servicio unidades obsoletas</t>
  </si>
  <si>
    <t>Claudia Sheinbaum condena timos de gobernadores para imponer delfines</t>
  </si>
  <si>
    <t>Ley de nepotismo</t>
  </si>
  <si>
    <t>Nuevo hallazgo de restos humanos en Tulancingo</t>
  </si>
  <si>
    <t>Localización De Restos</t>
  </si>
  <si>
    <t>Unidades viejas del Tuzobús ya n o circulan: Sitmah</t>
  </si>
  <si>
    <t>Atacan a otro exalcalde en Oaxaca; muere su escolta</t>
  </si>
  <si>
    <t>Ataque Armado</t>
  </si>
  <si>
    <t>¿Tenemos el derecho humano a morir con dignidad? ¿Cómo se garantiza?  ¿Cuáles son las obligaciones del Estado? Para quienes militamos en esta  causa sabemos que sí es un derecho y necesitamos que se deje de  criminalizar”</t>
  </si>
  <si>
    <t>Eutanasia</t>
  </si>
  <si>
    <t>Aplicarán multas de hasta 3 mil pesos por invadir carril exclusivo del Sistema de Transporte Metropolitano</t>
  </si>
  <si>
    <t>Unidades de movilidad incluyente fueron rotuladas para implementarlas al Sistema de Transporte Metropolitano: Semot</t>
  </si>
  <si>
    <t>Proponen prisión por difusión de material relativo a investigación de feminicidio</t>
  </si>
  <si>
    <t>Iniciativa</t>
  </si>
  <si>
    <t>SEPH incorpora 81 nuevos docentes de educación física; incrementa 21 en la plantilla</t>
  </si>
  <si>
    <t>Vida Saludable</t>
  </si>
  <si>
    <t>Hallan agentes un cadáver durante cateo en inmueble de Tulancingo</t>
  </si>
  <si>
    <t>Exigen justicia para niños atropellados en Atlapexco</t>
  </si>
  <si>
    <t>Atropellamiento</t>
  </si>
  <si>
    <t>Viejas unidades del Tuzobús sí fueron sustituidas por nuevas</t>
  </si>
  <si>
    <t>Sin avance el registro obligatorio de celulares</t>
  </si>
  <si>
    <t>Registro de celulares</t>
  </si>
  <si>
    <t>24 de junio inicia la siembra de cempasúçhil</t>
  </si>
  <si>
    <t>Jueves, último día para registro formal a becas económicas de posgrado CITNOVA</t>
  </si>
  <si>
    <t>Citnova</t>
  </si>
  <si>
    <t>Becas De Posgrado</t>
  </si>
  <si>
    <t>Amparo no detuvo concurso indígena</t>
  </si>
  <si>
    <t>Cedspi</t>
  </si>
  <si>
    <t>Suprema Corte no corrigió al Congreso""</t>
  </si>
  <si>
    <t>Contaminación en la presa Endhó amenaza cultivos, advierte UAEH</t>
  </si>
  <si>
    <t>Presa Endhó</t>
  </si>
  <si>
    <t>Se acabó la tolerancia</t>
  </si>
  <si>
    <t>Aclaran polémica del Tuzobús</t>
  </si>
  <si>
    <t>Cateo destapa hallazgo de restos humanos</t>
  </si>
  <si>
    <t>Diputada lleva al Congreso iniciativa para regular Airbnb</t>
  </si>
  <si>
    <t>Impulsa Hidalgo activación física y vida saludable en las escuelas</t>
  </si>
  <si>
    <t>Cintillo</t>
  </si>
  <si>
    <t>Caasim recurrirá a vía judicial para exigir a la UAEH pago por agua; adeudo asciende a 56 mdp</t>
  </si>
  <si>
    <t>Viejas unidades del Tuzobús sí fueron sustituidas: aclaran autoridades</t>
  </si>
  <si>
    <t>Claudia Sandoval escuha y resuelve en territorio</t>
  </si>
  <si>
    <t>Alcalde</t>
  </si>
  <si>
    <t>Atención a la ciudadanía</t>
  </si>
  <si>
    <t>Ana Maria Rivera encabeza arranque de obra de drenaje sanitario en Santiago Acayutlán</t>
  </si>
  <si>
    <t>alcalde</t>
  </si>
  <si>
    <t>Drenaje</t>
  </si>
  <si>
    <t>Arranca Yocelyn Tovar el programa social Alimentario Municipal</t>
  </si>
  <si>
    <t>Entrega De Apoyos</t>
  </si>
  <si>
    <t>Hidalguenses transportistas refrendan su compromiso con la transformación y la movilidad segura en Hidalgo</t>
  </si>
  <si>
    <t>Reunión con sindicato</t>
  </si>
  <si>
    <t>Cristhian Martínez entrega más de 20 mil litros de pintura</t>
  </si>
  <si>
    <t>UTEC fortalece formación científica con encuentro de nanotecnología</t>
  </si>
  <si>
    <t>Encuentro académico</t>
  </si>
  <si>
    <t>Vive la casa de cultura</t>
  </si>
  <si>
    <t>Casa de Cultura</t>
  </si>
  <si>
    <t>Viejas unidades del Tuzobús fueron sustituidas: Semot; 80 nuevos autobuses</t>
  </si>
  <si>
    <t>Impulsa Hidalgo activación física y vida saludable en escuelas</t>
  </si>
  <si>
    <t>Convoca Pachuca a vive la casa de Cultura... un verano de descubrimientos</t>
  </si>
  <si>
    <t>Hombres se hacen pasar por empleados de tienda y encierran a mujeres, en Hidalgo</t>
  </si>
  <si>
    <t>Combate a la delincuencia</t>
  </si>
  <si>
    <t>Sudáfrica comparte foto oficial en Pachuca; hoy buscan clasificación</t>
  </si>
  <si>
    <t>Prevención de Extorsión</t>
  </si>
  <si>
    <t>Camionetas se incendian en toma clandestina</t>
  </si>
  <si>
    <t>Explosión por huachicol</t>
  </si>
  <si>
    <t>Genera polémica declaración patrimonial de exfiscal general</t>
  </si>
  <si>
    <t>Declaración patrimonial</t>
  </si>
  <si>
    <t>Como con la CNTE, se llegó a un acuerdo negociado con los transportistas, por lo que se suspende el mega bloqueo programado para hoy en las carreteras del país para exigir más seguridad ...</t>
  </si>
  <si>
    <t>Paro nacional</t>
  </si>
  <si>
    <t>Estacionamientos deberán contar con seguro de autos</t>
  </si>
  <si>
    <t>Expo feria</t>
  </si>
  <si>
    <t>Biofutura llama a evitar tala en Cenro Minero</t>
  </si>
  <si>
    <t>Proyecto de urbanización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</si>
</sst>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9" totalsRowShown="0" headerRowDxfId="5" headerRowBorderDxfId="4">
  <autoFilter ref="A1:J69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9"/>
  <sheetViews>
    <sheetView tabSelected="1" workbookViewId="0">
      <selection activeCell="A2" sqref="A2:H69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46197</v>
      </c>
      <c r="B2" t="s">
        <v>68</v>
      </c>
      <c r="C2" s="6" t="s">
        <v>92</v>
      </c>
      <c r="D2" t="s">
        <v>13</v>
      </c>
      <c r="E2" t="s">
        <v>27</v>
      </c>
      <c r="F2" t="s">
        <v>93</v>
      </c>
      <c r="G2" t="s">
        <v>94</v>
      </c>
      <c r="H2" t="s">
        <v>11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5">
        <v>46197</v>
      </c>
      <c r="B3" t="s">
        <v>68</v>
      </c>
      <c r="C3" s="6" t="s">
        <v>95</v>
      </c>
      <c r="D3" t="s">
        <v>12</v>
      </c>
      <c r="E3" t="s">
        <v>17</v>
      </c>
      <c r="F3" t="s">
        <v>17</v>
      </c>
      <c r="G3" t="s">
        <v>83</v>
      </c>
      <c r="H3" t="s">
        <v>11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5">
        <v>46197</v>
      </c>
      <c r="B4" t="s">
        <v>68</v>
      </c>
      <c r="C4" s="6" t="s">
        <v>96</v>
      </c>
      <c r="D4" t="s">
        <v>12</v>
      </c>
      <c r="E4" t="s">
        <v>10</v>
      </c>
      <c r="F4" t="s">
        <v>10</v>
      </c>
      <c r="G4" t="s">
        <v>75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46197</v>
      </c>
      <c r="B5" t="s">
        <v>68</v>
      </c>
      <c r="C5" s="6" t="s">
        <v>97</v>
      </c>
      <c r="D5" t="s">
        <v>9</v>
      </c>
      <c r="E5" t="s">
        <v>14</v>
      </c>
      <c r="F5" t="s">
        <v>14</v>
      </c>
      <c r="G5" t="s">
        <v>98</v>
      </c>
      <c r="H5" t="s">
        <v>70</v>
      </c>
      <c r="I5" t="str">
        <f>_xlfn.XLOOKUP(Tabla1[[#This Row],[Dependencia]],Tabla2[Dependencia],Tabla2[Clasificación],"No indexado")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46197</v>
      </c>
      <c r="B6" t="s">
        <v>68</v>
      </c>
      <c r="C6" s="6" t="s">
        <v>99</v>
      </c>
      <c r="D6" t="s">
        <v>12</v>
      </c>
      <c r="E6" t="s">
        <v>10</v>
      </c>
      <c r="F6" t="s">
        <v>10</v>
      </c>
      <c r="G6" t="s">
        <v>75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46197</v>
      </c>
      <c r="B7" t="s">
        <v>80</v>
      </c>
      <c r="C7" s="6" t="s">
        <v>100</v>
      </c>
      <c r="D7" t="s">
        <v>9</v>
      </c>
      <c r="E7" t="s">
        <v>10</v>
      </c>
      <c r="F7" t="s">
        <v>10</v>
      </c>
      <c r="G7" t="s">
        <v>75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46197</v>
      </c>
      <c r="B8" t="s">
        <v>80</v>
      </c>
      <c r="C8" s="6" t="s">
        <v>101</v>
      </c>
      <c r="D8" t="s">
        <v>13</v>
      </c>
      <c r="E8" t="s">
        <v>10</v>
      </c>
      <c r="F8" t="s">
        <v>10</v>
      </c>
      <c r="G8" t="s">
        <v>102</v>
      </c>
      <c r="H8" t="s">
        <v>70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ht="30" x14ac:dyDescent="0.25">
      <c r="A9" s="5">
        <v>46197</v>
      </c>
      <c r="B9" t="s">
        <v>80</v>
      </c>
      <c r="C9" s="6" t="s">
        <v>103</v>
      </c>
      <c r="D9" t="s">
        <v>12</v>
      </c>
      <c r="E9" t="s">
        <v>27</v>
      </c>
      <c r="F9" t="s">
        <v>93</v>
      </c>
      <c r="G9" t="s">
        <v>94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46197</v>
      </c>
      <c r="B10" t="s">
        <v>80</v>
      </c>
      <c r="C10" s="6" t="s">
        <v>104</v>
      </c>
      <c r="D10" t="s">
        <v>12</v>
      </c>
      <c r="E10" t="s">
        <v>10</v>
      </c>
      <c r="F10" t="s">
        <v>10</v>
      </c>
      <c r="G10" t="s">
        <v>105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ht="30" x14ac:dyDescent="0.25">
      <c r="A11" s="5">
        <v>46197</v>
      </c>
      <c r="B11" t="s">
        <v>80</v>
      </c>
      <c r="C11" s="6" t="s">
        <v>106</v>
      </c>
      <c r="D11" t="s">
        <v>12</v>
      </c>
      <c r="E11" t="s">
        <v>59</v>
      </c>
      <c r="F11" t="s">
        <v>59</v>
      </c>
      <c r="G11" t="s">
        <v>89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46197</v>
      </c>
      <c r="B12" t="s">
        <v>78</v>
      </c>
      <c r="C12" s="6" t="s">
        <v>107</v>
      </c>
      <c r="D12" t="s">
        <v>12</v>
      </c>
      <c r="E12" t="s">
        <v>10</v>
      </c>
      <c r="F12" t="s">
        <v>10</v>
      </c>
      <c r="G12" t="s">
        <v>75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46197</v>
      </c>
      <c r="B13" t="s">
        <v>78</v>
      </c>
      <c r="C13" s="6" t="s">
        <v>108</v>
      </c>
      <c r="D13" t="s">
        <v>12</v>
      </c>
      <c r="E13" t="s">
        <v>10</v>
      </c>
      <c r="F13" t="s">
        <v>10</v>
      </c>
      <c r="G13" t="s">
        <v>75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46197</v>
      </c>
      <c r="B14" t="s">
        <v>78</v>
      </c>
      <c r="C14" s="6" t="s">
        <v>109</v>
      </c>
      <c r="D14" t="s">
        <v>13</v>
      </c>
      <c r="E14" t="s">
        <v>27</v>
      </c>
      <c r="F14" t="s">
        <v>93</v>
      </c>
      <c r="G14" t="s">
        <v>94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ht="30" x14ac:dyDescent="0.25">
      <c r="A15" s="5">
        <v>46197</v>
      </c>
      <c r="B15" t="s">
        <v>78</v>
      </c>
      <c r="C15" s="6" t="s">
        <v>110</v>
      </c>
      <c r="D15" t="s">
        <v>12</v>
      </c>
      <c r="E15" t="s">
        <v>33</v>
      </c>
      <c r="F15" t="s">
        <v>33</v>
      </c>
      <c r="G15" t="s">
        <v>111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5">
        <v>46197</v>
      </c>
      <c r="B16" t="s">
        <v>78</v>
      </c>
      <c r="C16" s="6" t="s">
        <v>112</v>
      </c>
      <c r="D16" t="s">
        <v>12</v>
      </c>
      <c r="E16" t="s">
        <v>33</v>
      </c>
      <c r="F16" t="s">
        <v>33</v>
      </c>
      <c r="G16" t="s">
        <v>113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ht="30" x14ac:dyDescent="0.25">
      <c r="A17" s="5">
        <v>46197</v>
      </c>
      <c r="B17" t="s">
        <v>78</v>
      </c>
      <c r="C17" s="6" t="s">
        <v>114</v>
      </c>
      <c r="D17" t="s">
        <v>12</v>
      </c>
      <c r="E17" t="s">
        <v>21</v>
      </c>
      <c r="F17" t="s">
        <v>2</v>
      </c>
      <c r="G17" t="s">
        <v>115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5">
        <v>46197</v>
      </c>
      <c r="B18" t="s">
        <v>78</v>
      </c>
      <c r="C18" s="6" t="s">
        <v>116</v>
      </c>
      <c r="D18" t="s">
        <v>12</v>
      </c>
      <c r="E18" t="s">
        <v>27</v>
      </c>
      <c r="F18" t="s">
        <v>93</v>
      </c>
      <c r="G18" t="s">
        <v>117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ht="30" x14ac:dyDescent="0.25">
      <c r="A19" s="5">
        <v>46197</v>
      </c>
      <c r="B19" t="s">
        <v>67</v>
      </c>
      <c r="C19" s="6" t="s">
        <v>118</v>
      </c>
      <c r="D19" t="s">
        <v>13</v>
      </c>
      <c r="E19" t="s">
        <v>33</v>
      </c>
      <c r="F19" t="s">
        <v>119</v>
      </c>
      <c r="G19" t="s">
        <v>120</v>
      </c>
      <c r="H19" t="s">
        <v>69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ht="30" x14ac:dyDescent="0.25">
      <c r="A20" s="5">
        <v>46197</v>
      </c>
      <c r="B20" t="s">
        <v>67</v>
      </c>
      <c r="C20" s="6" t="s">
        <v>121</v>
      </c>
      <c r="D20" t="s">
        <v>12</v>
      </c>
      <c r="E20" t="s">
        <v>25</v>
      </c>
      <c r="F20" t="s">
        <v>25</v>
      </c>
      <c r="G20" t="s">
        <v>122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5">
        <v>46197</v>
      </c>
      <c r="B21" t="s">
        <v>67</v>
      </c>
      <c r="C21" s="6" t="s">
        <v>123</v>
      </c>
      <c r="D21" t="s">
        <v>12</v>
      </c>
      <c r="E21" t="s">
        <v>14</v>
      </c>
      <c r="F21" t="s">
        <v>124</v>
      </c>
      <c r="G21" t="s">
        <v>125</v>
      </c>
      <c r="H21" t="s">
        <v>11</v>
      </c>
      <c r="I21" t="str">
        <f>_xlfn.XLOOKUP(Tabla1[[#This Row],[Dependencia]],Tabla2[Dependencia],Tabla2[Clasificación],"No indexado")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46197</v>
      </c>
      <c r="B22" t="s">
        <v>67</v>
      </c>
      <c r="C22" s="6" t="s">
        <v>126</v>
      </c>
      <c r="D22" t="s">
        <v>12</v>
      </c>
      <c r="E22" t="s">
        <v>10</v>
      </c>
      <c r="F22" t="s">
        <v>10</v>
      </c>
      <c r="G22" t="s">
        <v>127</v>
      </c>
      <c r="H22" t="s">
        <v>70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46197</v>
      </c>
      <c r="B23" t="s">
        <v>67</v>
      </c>
      <c r="C23" s="6" t="s">
        <v>128</v>
      </c>
      <c r="D23" t="s">
        <v>12</v>
      </c>
      <c r="E23" t="s">
        <v>22</v>
      </c>
      <c r="F23" t="s">
        <v>22</v>
      </c>
      <c r="G23" t="s">
        <v>83</v>
      </c>
      <c r="H23" t="s">
        <v>69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ht="30" x14ac:dyDescent="0.25">
      <c r="A24" s="5">
        <v>46197</v>
      </c>
      <c r="B24" t="s">
        <v>67</v>
      </c>
      <c r="C24" s="6" t="s">
        <v>129</v>
      </c>
      <c r="D24" t="s">
        <v>9</v>
      </c>
      <c r="E24" t="s">
        <v>10</v>
      </c>
      <c r="F24" t="s">
        <v>10</v>
      </c>
      <c r="G24" t="s">
        <v>75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46197</v>
      </c>
      <c r="B25" t="s">
        <v>67</v>
      </c>
      <c r="C25" s="6" t="s">
        <v>130</v>
      </c>
      <c r="D25" t="s">
        <v>12</v>
      </c>
      <c r="E25" t="s">
        <v>27</v>
      </c>
      <c r="F25" t="s">
        <v>2</v>
      </c>
      <c r="G25" t="s">
        <v>117</v>
      </c>
      <c r="H25" t="s">
        <v>69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ht="30" x14ac:dyDescent="0.25">
      <c r="A26" s="5">
        <v>46197</v>
      </c>
      <c r="B26" t="s">
        <v>67</v>
      </c>
      <c r="C26" s="6" t="s">
        <v>131</v>
      </c>
      <c r="D26" t="s">
        <v>12</v>
      </c>
      <c r="E26" t="s">
        <v>14</v>
      </c>
      <c r="F26" t="s">
        <v>14</v>
      </c>
      <c r="G26" t="s">
        <v>132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25">
      <c r="A27" s="5">
        <v>46197</v>
      </c>
      <c r="B27" t="s">
        <v>73</v>
      </c>
      <c r="C27" s="6" t="s">
        <v>133</v>
      </c>
      <c r="D27" t="s">
        <v>12</v>
      </c>
      <c r="E27" t="s">
        <v>17</v>
      </c>
      <c r="F27" t="s">
        <v>17</v>
      </c>
      <c r="G27" t="s">
        <v>134</v>
      </c>
      <c r="H27" t="s">
        <v>70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25">
      <c r="A28" s="5">
        <v>46197</v>
      </c>
      <c r="B28" t="s">
        <v>73</v>
      </c>
      <c r="C28" s="6" t="s">
        <v>135</v>
      </c>
      <c r="D28" t="s">
        <v>13</v>
      </c>
      <c r="E28" t="s">
        <v>27</v>
      </c>
      <c r="F28" t="s">
        <v>93</v>
      </c>
      <c r="G28" t="s">
        <v>117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x14ac:dyDescent="0.25">
      <c r="A29" s="5">
        <v>46197</v>
      </c>
      <c r="B29" t="s">
        <v>73</v>
      </c>
      <c r="C29" s="6" t="s">
        <v>136</v>
      </c>
      <c r="D29" t="s">
        <v>12</v>
      </c>
      <c r="E29" t="s">
        <v>10</v>
      </c>
      <c r="F29" t="s">
        <v>10</v>
      </c>
      <c r="G29" t="s">
        <v>137</v>
      </c>
      <c r="H29" t="s">
        <v>70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ht="75" x14ac:dyDescent="0.25">
      <c r="A30" s="5">
        <v>46197</v>
      </c>
      <c r="B30" t="s">
        <v>73</v>
      </c>
      <c r="C30" s="6" t="s">
        <v>138</v>
      </c>
      <c r="D30" t="s">
        <v>12</v>
      </c>
      <c r="E30" t="s">
        <v>10</v>
      </c>
      <c r="F30" t="s">
        <v>10</v>
      </c>
      <c r="G30" t="s">
        <v>139</v>
      </c>
      <c r="H30" t="s">
        <v>11</v>
      </c>
      <c r="I30" t="str">
        <f>_xlfn.XLOOKUP(Tabla1[[#This Row],[Dependencia]],Tabla2[Dependencia],Tabla2[Clasificación],"No indexado")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5">
        <v>46197</v>
      </c>
      <c r="B31" t="s">
        <v>72</v>
      </c>
      <c r="C31" s="6" t="s">
        <v>140</v>
      </c>
      <c r="D31" t="s">
        <v>13</v>
      </c>
      <c r="E31" t="s">
        <v>27</v>
      </c>
      <c r="F31" t="s">
        <v>93</v>
      </c>
      <c r="G31" t="s">
        <v>94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45" x14ac:dyDescent="0.25">
      <c r="A32" s="5">
        <v>46197</v>
      </c>
      <c r="B32" t="s">
        <v>72</v>
      </c>
      <c r="C32" s="6" t="s">
        <v>141</v>
      </c>
      <c r="D32" t="s">
        <v>12</v>
      </c>
      <c r="E32" t="s">
        <v>27</v>
      </c>
      <c r="F32" t="s">
        <v>93</v>
      </c>
      <c r="G32" t="s">
        <v>117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ht="30" x14ac:dyDescent="0.25">
      <c r="A33" s="5">
        <v>46197</v>
      </c>
      <c r="B33" t="s">
        <v>72</v>
      </c>
      <c r="C33" s="6" t="s">
        <v>142</v>
      </c>
      <c r="D33" t="s">
        <v>12</v>
      </c>
      <c r="E33" t="s">
        <v>33</v>
      </c>
      <c r="F33" t="s">
        <v>33</v>
      </c>
      <c r="G33" t="s">
        <v>143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46197</v>
      </c>
      <c r="B34" t="s">
        <v>72</v>
      </c>
      <c r="C34" s="6" t="s">
        <v>144</v>
      </c>
      <c r="D34" t="s">
        <v>12</v>
      </c>
      <c r="E34" t="s">
        <v>26</v>
      </c>
      <c r="F34" t="s">
        <v>26</v>
      </c>
      <c r="G34" t="s">
        <v>145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46197</v>
      </c>
      <c r="B35" t="s">
        <v>72</v>
      </c>
      <c r="C35" s="6" t="s">
        <v>146</v>
      </c>
      <c r="D35" t="s">
        <v>12</v>
      </c>
      <c r="E35" t="s">
        <v>17</v>
      </c>
      <c r="F35" t="s">
        <v>17</v>
      </c>
      <c r="G35" t="s">
        <v>134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x14ac:dyDescent="0.25">
      <c r="A36" s="5">
        <v>46197</v>
      </c>
      <c r="B36" t="s">
        <v>71</v>
      </c>
      <c r="C36" s="6" t="s">
        <v>147</v>
      </c>
      <c r="D36" t="s">
        <v>13</v>
      </c>
      <c r="E36" t="s">
        <v>17</v>
      </c>
      <c r="F36" t="s">
        <v>17</v>
      </c>
      <c r="G36" t="s">
        <v>148</v>
      </c>
      <c r="H36" t="s">
        <v>70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5">
        <v>46197</v>
      </c>
      <c r="B37" t="s">
        <v>71</v>
      </c>
      <c r="C37" s="6" t="s">
        <v>149</v>
      </c>
      <c r="D37" t="s">
        <v>12</v>
      </c>
      <c r="E37" t="s">
        <v>27</v>
      </c>
      <c r="F37" t="s">
        <v>93</v>
      </c>
      <c r="G37" t="s">
        <v>117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25">
      <c r="A38" s="5">
        <v>46197</v>
      </c>
      <c r="B38" t="s">
        <v>71</v>
      </c>
      <c r="C38" s="6" t="s">
        <v>150</v>
      </c>
      <c r="D38" t="s">
        <v>12</v>
      </c>
      <c r="E38" t="s">
        <v>10</v>
      </c>
      <c r="F38" t="s">
        <v>10</v>
      </c>
      <c r="G38" t="s">
        <v>151</v>
      </c>
      <c r="H38" t="s">
        <v>11</v>
      </c>
      <c r="I38" t="str">
        <f>_xlfn.XLOOKUP(Tabla1[[#This Row],[Dependencia]],Tabla2[Dependencia],Tabla2[Clasificación],"No indexado")</f>
        <v>Otros</v>
      </c>
      <c r="J38" t="str">
        <f>_xlfn.XLOOKUP(Tabla1[[#This Row],[Dependencia]],Tabla3[Dependencia],Tabla3[Nivel],"otros",0)</f>
        <v>otros</v>
      </c>
    </row>
    <row r="39" spans="1:10" x14ac:dyDescent="0.25">
      <c r="A39" s="5">
        <v>46197</v>
      </c>
      <c r="B39" t="s">
        <v>71</v>
      </c>
      <c r="C39" s="6" t="s">
        <v>152</v>
      </c>
      <c r="D39" t="s">
        <v>12</v>
      </c>
      <c r="E39" t="s">
        <v>10</v>
      </c>
      <c r="F39" t="s">
        <v>10</v>
      </c>
      <c r="G39" t="s">
        <v>84</v>
      </c>
      <c r="H39" t="s">
        <v>11</v>
      </c>
      <c r="I39" t="str">
        <f>_xlfn.XLOOKUP(Tabla1[[#This Row],[Dependencia]],Tabla2[Dependencia],Tabla2[Clasificación],"No indexado")</f>
        <v>Otros</v>
      </c>
      <c r="J39" t="str">
        <f>_xlfn.XLOOKUP(Tabla1[[#This Row],[Dependencia]],Tabla3[Dependencia],Tabla3[Nivel],"otros",0)</f>
        <v>otros</v>
      </c>
    </row>
    <row r="40" spans="1:10" ht="30" x14ac:dyDescent="0.25">
      <c r="A40" s="5">
        <v>46197</v>
      </c>
      <c r="B40" t="s">
        <v>71</v>
      </c>
      <c r="C40" s="6" t="s">
        <v>153</v>
      </c>
      <c r="D40" t="s">
        <v>12</v>
      </c>
      <c r="E40" t="s">
        <v>47</v>
      </c>
      <c r="F40" t="s">
        <v>154</v>
      </c>
      <c r="G40" t="s">
        <v>155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5">
        <v>46197</v>
      </c>
      <c r="B41" t="s">
        <v>76</v>
      </c>
      <c r="C41" s="6" t="s">
        <v>156</v>
      </c>
      <c r="D41" t="s">
        <v>9</v>
      </c>
      <c r="E41" t="s">
        <v>47</v>
      </c>
      <c r="F41" t="s">
        <v>157</v>
      </c>
      <c r="G41" t="s">
        <v>75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5">
        <v>46197</v>
      </c>
      <c r="B42" t="s">
        <v>76</v>
      </c>
      <c r="C42" s="6" t="s">
        <v>158</v>
      </c>
      <c r="D42" t="s">
        <v>12</v>
      </c>
      <c r="E42" t="s">
        <v>33</v>
      </c>
      <c r="F42" t="s">
        <v>33</v>
      </c>
      <c r="G42" t="s">
        <v>113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ht="30" x14ac:dyDescent="0.25">
      <c r="A43" s="5">
        <v>46197</v>
      </c>
      <c r="B43" t="s">
        <v>76</v>
      </c>
      <c r="C43" s="6" t="s">
        <v>159</v>
      </c>
      <c r="D43" t="s">
        <v>12</v>
      </c>
      <c r="E43" t="s">
        <v>59</v>
      </c>
      <c r="F43" t="s">
        <v>59</v>
      </c>
      <c r="G43" t="s">
        <v>160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25">
      <c r="A44" s="5">
        <v>46197</v>
      </c>
      <c r="B44" t="s">
        <v>76</v>
      </c>
      <c r="C44" s="6" t="s">
        <v>161</v>
      </c>
      <c r="D44" t="s">
        <v>12</v>
      </c>
      <c r="E44" t="s">
        <v>27</v>
      </c>
      <c r="F44" t="s">
        <v>93</v>
      </c>
      <c r="G44" t="s">
        <v>94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5">
        <v>46197</v>
      </c>
      <c r="B45" t="s">
        <v>76</v>
      </c>
      <c r="C45" s="6" t="s">
        <v>162</v>
      </c>
      <c r="D45" t="s">
        <v>12</v>
      </c>
      <c r="E45" t="s">
        <v>27</v>
      </c>
      <c r="F45" t="s">
        <v>93</v>
      </c>
      <c r="G45" t="s">
        <v>117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5">
        <v>46197</v>
      </c>
      <c r="B46" t="s">
        <v>76</v>
      </c>
      <c r="C46" s="6" t="s">
        <v>163</v>
      </c>
      <c r="D46" t="s">
        <v>12</v>
      </c>
      <c r="E46" t="s">
        <v>17</v>
      </c>
      <c r="F46" t="s">
        <v>17</v>
      </c>
      <c r="G46" t="s">
        <v>134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5">
        <v>46197</v>
      </c>
      <c r="B47" t="s">
        <v>76</v>
      </c>
      <c r="C47" s="6" t="s">
        <v>164</v>
      </c>
      <c r="D47" t="s">
        <v>12</v>
      </c>
      <c r="E47" t="s">
        <v>33</v>
      </c>
      <c r="F47" t="s">
        <v>33</v>
      </c>
      <c r="G47" t="s">
        <v>143</v>
      </c>
      <c r="H47" t="s">
        <v>11</v>
      </c>
      <c r="I47" t="str">
        <f>_xlfn.XLOOKUP(Tabla1[[#This Row],[Dependencia]],Tabla2[Dependencia],Tabla2[Clasificación],"No indexado")</f>
        <v>Otros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46197</v>
      </c>
      <c r="B48" t="s">
        <v>86</v>
      </c>
      <c r="C48" s="6" t="s">
        <v>165</v>
      </c>
      <c r="D48" t="s">
        <v>166</v>
      </c>
      <c r="E48" t="s">
        <v>26</v>
      </c>
      <c r="F48" t="s">
        <v>26</v>
      </c>
      <c r="G48" t="s">
        <v>145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5">
        <v>46197</v>
      </c>
      <c r="B49" t="s">
        <v>86</v>
      </c>
      <c r="C49" s="6" t="s">
        <v>167</v>
      </c>
      <c r="D49" t="s">
        <v>12</v>
      </c>
      <c r="E49" t="s">
        <v>85</v>
      </c>
      <c r="F49" t="s">
        <v>87</v>
      </c>
      <c r="G49" t="s">
        <v>88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5">
        <v>46197</v>
      </c>
      <c r="B50" t="s">
        <v>86</v>
      </c>
      <c r="C50" s="6" t="s">
        <v>168</v>
      </c>
      <c r="D50" t="s">
        <v>13</v>
      </c>
      <c r="E50" t="s">
        <v>27</v>
      </c>
      <c r="F50" t="s">
        <v>2</v>
      </c>
      <c r="G50" t="s">
        <v>117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x14ac:dyDescent="0.25">
      <c r="A51" s="5">
        <v>46197</v>
      </c>
      <c r="B51" t="s">
        <v>86</v>
      </c>
      <c r="C51" s="6" t="s">
        <v>169</v>
      </c>
      <c r="D51" t="s">
        <v>12</v>
      </c>
      <c r="E51" t="s">
        <v>16</v>
      </c>
      <c r="F51" t="s">
        <v>170</v>
      </c>
      <c r="G51" t="s">
        <v>171</v>
      </c>
      <c r="H51" t="s">
        <v>69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46197</v>
      </c>
      <c r="B52" t="s">
        <v>86</v>
      </c>
      <c r="C52" s="6" t="s">
        <v>172</v>
      </c>
      <c r="D52" t="s">
        <v>12</v>
      </c>
      <c r="E52" t="s">
        <v>16</v>
      </c>
      <c r="F52" t="s">
        <v>173</v>
      </c>
      <c r="G52" t="s">
        <v>174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46197</v>
      </c>
      <c r="B53" t="s">
        <v>86</v>
      </c>
      <c r="C53" s="6" t="s">
        <v>175</v>
      </c>
      <c r="D53" t="s">
        <v>12</v>
      </c>
      <c r="E53" t="s">
        <v>16</v>
      </c>
      <c r="F53" t="s">
        <v>170</v>
      </c>
      <c r="G53" t="s">
        <v>176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46197</v>
      </c>
      <c r="B54" t="s">
        <v>86</v>
      </c>
      <c r="C54" s="6" t="s">
        <v>177</v>
      </c>
      <c r="D54" t="s">
        <v>12</v>
      </c>
      <c r="E54" t="s">
        <v>23</v>
      </c>
      <c r="F54" t="s">
        <v>2</v>
      </c>
      <c r="G54" t="s">
        <v>178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5">
        <v>46197</v>
      </c>
      <c r="B55" t="s">
        <v>86</v>
      </c>
      <c r="C55" s="6" t="s">
        <v>179</v>
      </c>
      <c r="D55" t="s">
        <v>12</v>
      </c>
      <c r="E55" t="s">
        <v>16</v>
      </c>
      <c r="F55" t="s">
        <v>170</v>
      </c>
      <c r="G55" t="s">
        <v>176</v>
      </c>
      <c r="H55" t="s">
        <v>11</v>
      </c>
      <c r="I55" t="str">
        <f>_xlfn.XLOOKUP(Tabla1[[#This Row],[Dependencia]],Tabla2[Dependencia],Tabla2[Clasificación],"No indexado")</f>
        <v>Alcaldías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46197</v>
      </c>
      <c r="B56" t="s">
        <v>86</v>
      </c>
      <c r="C56" s="6" t="s">
        <v>180</v>
      </c>
      <c r="D56" t="s">
        <v>12</v>
      </c>
      <c r="E56" t="s">
        <v>26</v>
      </c>
      <c r="F56" t="s">
        <v>26</v>
      </c>
      <c r="G56" t="s">
        <v>181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25">
      <c r="A57" s="5">
        <v>46197</v>
      </c>
      <c r="B57" t="s">
        <v>86</v>
      </c>
      <c r="C57" s="6" t="s">
        <v>182</v>
      </c>
      <c r="D57" t="s">
        <v>79</v>
      </c>
      <c r="E57" t="s">
        <v>10</v>
      </c>
      <c r="F57" t="s">
        <v>10</v>
      </c>
      <c r="G57" t="s">
        <v>183</v>
      </c>
      <c r="H57" t="s">
        <v>11</v>
      </c>
      <c r="I57" t="str">
        <f>_xlfn.XLOOKUP(Tabla1[[#This Row],[Dependencia]],Tabla2[Dependencia],Tabla2[Clasificación],"No indexado")</f>
        <v>Otros</v>
      </c>
      <c r="J57" t="str">
        <f>_xlfn.XLOOKUP(Tabla1[[#This Row],[Dependencia]],Tabla3[Dependencia],Tabla3[Nivel],"otros",0)</f>
        <v>otros</v>
      </c>
    </row>
    <row r="58" spans="1:10" ht="30" x14ac:dyDescent="0.25">
      <c r="A58" s="5">
        <v>46197</v>
      </c>
      <c r="B58" t="s">
        <v>91</v>
      </c>
      <c r="C58" s="6" t="s">
        <v>184</v>
      </c>
      <c r="D58" t="s">
        <v>13</v>
      </c>
      <c r="E58" t="s">
        <v>27</v>
      </c>
      <c r="F58" t="s">
        <v>93</v>
      </c>
      <c r="G58" t="s">
        <v>117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5">
        <v>46197</v>
      </c>
      <c r="B59" t="s">
        <v>91</v>
      </c>
      <c r="C59" s="6" t="s">
        <v>185</v>
      </c>
      <c r="D59" t="s">
        <v>12</v>
      </c>
      <c r="E59" t="s">
        <v>26</v>
      </c>
      <c r="F59" t="s">
        <v>2</v>
      </c>
      <c r="G59" t="s">
        <v>145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5">
        <v>46197</v>
      </c>
      <c r="B60" t="s">
        <v>91</v>
      </c>
      <c r="C60" s="6" t="s">
        <v>186</v>
      </c>
      <c r="D60" t="s">
        <v>12</v>
      </c>
      <c r="E60" t="s">
        <v>16</v>
      </c>
      <c r="F60" t="s">
        <v>16</v>
      </c>
      <c r="G60" t="s">
        <v>183</v>
      </c>
      <c r="H60" t="s">
        <v>11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ht="30" x14ac:dyDescent="0.25">
      <c r="A61" s="5">
        <v>46197</v>
      </c>
      <c r="B61" t="s">
        <v>91</v>
      </c>
      <c r="C61" s="6" t="s">
        <v>187</v>
      </c>
      <c r="D61" t="s">
        <v>12</v>
      </c>
      <c r="E61" t="s">
        <v>22</v>
      </c>
      <c r="F61" t="s">
        <v>22</v>
      </c>
      <c r="G61" t="s">
        <v>188</v>
      </c>
      <c r="H61" t="s">
        <v>69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5">
        <v>46197</v>
      </c>
      <c r="B62" t="s">
        <v>91</v>
      </c>
      <c r="C62" s="6" t="s">
        <v>189</v>
      </c>
      <c r="D62" t="s">
        <v>12</v>
      </c>
      <c r="E62" t="s">
        <v>10</v>
      </c>
      <c r="F62" t="s">
        <v>10</v>
      </c>
      <c r="G62" t="s">
        <v>75</v>
      </c>
      <c r="H62" t="s">
        <v>11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  <row r="63" spans="1:10" x14ac:dyDescent="0.25">
      <c r="A63" s="5">
        <v>46197</v>
      </c>
      <c r="B63" t="s">
        <v>91</v>
      </c>
      <c r="C63" s="6" t="s">
        <v>90</v>
      </c>
      <c r="D63" t="s">
        <v>79</v>
      </c>
      <c r="E63" t="s">
        <v>22</v>
      </c>
      <c r="F63" t="s">
        <v>22</v>
      </c>
      <c r="G63" t="s">
        <v>190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25">
      <c r="A64" s="5">
        <v>46197</v>
      </c>
      <c r="B64" t="s">
        <v>91</v>
      </c>
      <c r="C64" s="6" t="s">
        <v>82</v>
      </c>
      <c r="D64" t="s">
        <v>79</v>
      </c>
      <c r="E64" t="s">
        <v>16</v>
      </c>
      <c r="F64" t="s">
        <v>16</v>
      </c>
      <c r="G64" t="s">
        <v>81</v>
      </c>
      <c r="H64" t="s">
        <v>11</v>
      </c>
      <c r="I64" t="str">
        <f>_xlfn.XLOOKUP(Tabla1[[#This Row],[Dependencia]],Tabla2[Dependencia],Tabla2[Clasificación],"No indexado")</f>
        <v>Alcaldías</v>
      </c>
      <c r="J64" t="str">
        <f>_xlfn.XLOOKUP(Tabla1[[#This Row],[Dependencia]],Tabla3[Dependencia],Tabla3[Nivel],"otros",0)</f>
        <v>otros</v>
      </c>
    </row>
    <row r="65" spans="1:10" x14ac:dyDescent="0.25">
      <c r="A65" s="5">
        <v>46197</v>
      </c>
      <c r="B65" t="s">
        <v>77</v>
      </c>
      <c r="C65" s="6" t="s">
        <v>191</v>
      </c>
      <c r="D65" t="s">
        <v>13</v>
      </c>
      <c r="E65" t="s">
        <v>16</v>
      </c>
      <c r="F65" t="s">
        <v>16</v>
      </c>
      <c r="G65" t="s">
        <v>192</v>
      </c>
      <c r="H65" t="s">
        <v>11</v>
      </c>
      <c r="I65" t="str">
        <f>_xlfn.XLOOKUP(Tabla1[[#This Row],[Dependencia]],Tabla2[Dependencia],Tabla2[Clasificación],"No indexado")</f>
        <v>Alcaldías</v>
      </c>
      <c r="J65" t="str">
        <f>_xlfn.XLOOKUP(Tabla1[[#This Row],[Dependencia]],Tabla3[Dependencia],Tabla3[Nivel],"otros",0)</f>
        <v>otros</v>
      </c>
    </row>
    <row r="66" spans="1:10" ht="30" x14ac:dyDescent="0.25">
      <c r="A66" s="5">
        <v>46197</v>
      </c>
      <c r="B66" t="s">
        <v>77</v>
      </c>
      <c r="C66" s="6" t="s">
        <v>193</v>
      </c>
      <c r="D66" t="s">
        <v>12</v>
      </c>
      <c r="E66" t="s">
        <v>14</v>
      </c>
      <c r="F66" t="s">
        <v>14</v>
      </c>
      <c r="G66" t="s">
        <v>194</v>
      </c>
      <c r="H66" t="s">
        <v>70</v>
      </c>
      <c r="I66" t="str">
        <f>_xlfn.XLOOKUP(Tabla1[[#This Row],[Dependencia]],Tabla2[Dependencia],Tabla2[Clasificación],"No indexado")</f>
        <v>Presidencia de la República</v>
      </c>
      <c r="J66" t="str">
        <f>_xlfn.XLOOKUP(Tabla1[[#This Row],[Dependencia]],Tabla3[Dependencia],Tabla3[Nivel],"otros",0)</f>
        <v>otros</v>
      </c>
    </row>
    <row r="67" spans="1:10" ht="60" x14ac:dyDescent="0.25">
      <c r="A67" s="5">
        <v>46197</v>
      </c>
      <c r="B67" t="s">
        <v>77</v>
      </c>
      <c r="C67" s="6" t="s">
        <v>195</v>
      </c>
      <c r="D67" t="s">
        <v>12</v>
      </c>
      <c r="E67" t="s">
        <v>14</v>
      </c>
      <c r="F67" t="s">
        <v>14</v>
      </c>
      <c r="G67" t="s">
        <v>196</v>
      </c>
      <c r="H67" t="s">
        <v>69</v>
      </c>
      <c r="I67" t="str">
        <f>_xlfn.XLOOKUP(Tabla1[[#This Row],[Dependencia]],Tabla2[Dependencia],Tabla2[Clasificación],"No indexado")</f>
        <v>Presidencia de la República</v>
      </c>
      <c r="J67" t="str">
        <f>_xlfn.XLOOKUP(Tabla1[[#This Row],[Dependencia]],Tabla3[Dependencia],Tabla3[Nivel],"otros",0)</f>
        <v>otros</v>
      </c>
    </row>
    <row r="68" spans="1:10" x14ac:dyDescent="0.25">
      <c r="A68" s="5">
        <v>46197</v>
      </c>
      <c r="B68" t="s">
        <v>77</v>
      </c>
      <c r="C68" s="6" t="s">
        <v>197</v>
      </c>
      <c r="D68" t="s">
        <v>12</v>
      </c>
      <c r="E68" t="s">
        <v>16</v>
      </c>
      <c r="F68" t="s">
        <v>16</v>
      </c>
      <c r="G68" t="s">
        <v>198</v>
      </c>
      <c r="H68" t="s">
        <v>11</v>
      </c>
      <c r="I68" t="str">
        <f>_xlfn.XLOOKUP(Tabla1[[#This Row],[Dependencia]],Tabla2[Dependencia],Tabla2[Clasificación],"No indexado")</f>
        <v>Alcaldías</v>
      </c>
      <c r="J68" t="str">
        <f>_xlfn.XLOOKUP(Tabla1[[#This Row],[Dependencia]],Tabla3[Dependencia],Tabla3[Nivel],"otros",0)</f>
        <v>otros</v>
      </c>
    </row>
    <row r="69" spans="1:10" x14ac:dyDescent="0.25">
      <c r="A69" s="5">
        <v>46197</v>
      </c>
      <c r="B69" t="s">
        <v>77</v>
      </c>
      <c r="C69" s="6" t="s">
        <v>199</v>
      </c>
      <c r="D69" t="s">
        <v>12</v>
      </c>
      <c r="E69" t="s">
        <v>10</v>
      </c>
      <c r="F69" t="s">
        <v>10</v>
      </c>
      <c r="G69" t="s">
        <v>200</v>
      </c>
      <c r="H69" t="s">
        <v>11</v>
      </c>
      <c r="I69" t="str">
        <f>_xlfn.XLOOKUP(Tabla1[[#This Row],[Dependencia]],Tabla2[Dependencia],Tabla2[Clasificación],"No indexado")</f>
        <v>Otros</v>
      </c>
      <c r="J69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74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74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2026-06-24T15:56:32Z</dcterms:modified>
</cp:coreProperties>
</file>