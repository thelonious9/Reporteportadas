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CD5E7B40-45D8-4348-A64F-9CE158313B51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2" i="1"/>
  <c r="I2" i="1"/>
</calcChain>
</file>

<file path=xl/sharedStrings.xml><?xml version="1.0" encoding="utf-8"?>
<sst xmlns="http://schemas.openxmlformats.org/spreadsheetml/2006/main" count="622" uniqueCount="200">
  <si>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</si>
  <si>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</si>
  <si>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</si>
  <si>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</si>
  <si>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</si>
  <si>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</si>
  <si>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</si>
  <si>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</si>
  <si>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</si>
  <si>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</si>
  <si>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</si>
  <si>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</si>
  <si>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</si>
  <si>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</si>
  <si>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</si>
  <si>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</si>
  <si>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</si>
  <si>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</si>
  <si>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</si>
  <si>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</si>
  <si>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</si>
  <si>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</si>
  <si>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</si>
  <si>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</si>
  <si>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</si>
  <si>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</si>
  <si>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</si>
  <si>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</si>
  <si>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</si>
  <si>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</si>
  <si>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</si>
  <si>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</si>
  <si>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</si>
  <si>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</si>
  <si>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</si>
  <si>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</si>
  <si>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</si>
  <si>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</si>
  <si>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</si>
  <si>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</si>
  <si>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</si>
  <si>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</si>
  <si>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</si>
  <si>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</si>
  <si>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</si>
  <si>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</si>
  <si>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</si>
  <si>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</si>
  <si>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</si>
  <si>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</si>
  <si>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</si>
  <si>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</si>
  <si>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</si>
  <si>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</si>
  <si>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</si>
  <si>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</si>
  <si>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</si>
  <si>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</si>
  <si>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</si>
  <si>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</si>
  <si>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</si>
  <si>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</si>
  <si>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</si>
  <si>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</si>
  <si>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</si>
  <si>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</si>
  <si>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</si>
  <si>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</si>
  <si>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</si>
  <si>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</si>
  <si>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</si>
  <si>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</si>
  <si>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</si>
  <si>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</si>
  <si>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Criterio</t>
  </si>
  <si>
    <t>Marfeca</t>
  </si>
  <si>
    <t>Plaza Juárez</t>
  </si>
  <si>
    <t>Negativa</t>
  </si>
  <si>
    <t>Temas varios</t>
  </si>
  <si>
    <t>Alcalde</t>
  </si>
  <si>
    <t>Cintillo</t>
  </si>
  <si>
    <t>Zunoticia</t>
  </si>
  <si>
    <t>Pachuca Brilla</t>
  </si>
  <si>
    <t>Publicidad</t>
  </si>
  <si>
    <t>Sipdus</t>
  </si>
  <si>
    <t>Milenio Hidalgo</t>
  </si>
  <si>
    <t>Homicidios</t>
  </si>
  <si>
    <t>Luminarias</t>
  </si>
  <si>
    <t>Feria Pachuca</t>
  </si>
  <si>
    <t>Kitty Expo regresa con entrada libre en Pachuca</t>
  </si>
  <si>
    <t>Solicitan pobladores agua potable y obras</t>
  </si>
  <si>
    <t>Atención a la ciudadanía</t>
  </si>
  <si>
    <t>Alta demanda registra vivienda del Bienestar</t>
  </si>
  <si>
    <t>Infonavit</t>
  </si>
  <si>
    <t>Plan Nacional De Vivienda</t>
  </si>
  <si>
    <t>SNTE apela contra el caso de Mirna N. N.</t>
  </si>
  <si>
    <t>Del desabasto a la tranquilidad</t>
  </si>
  <si>
    <t>Caasim</t>
  </si>
  <si>
    <t>Tren AIFA</t>
  </si>
  <si>
    <t>Premian a la barbacoa de mejor sabir</t>
  </si>
  <si>
    <t>Festival Gastronómico</t>
  </si>
  <si>
    <t>El Universal Hidalgo°</t>
  </si>
  <si>
    <t>Acercan servicios de vivienda a hidalguenses</t>
  </si>
  <si>
    <t>Con reforma electoral prevén ahorro de 56 mdp</t>
  </si>
  <si>
    <t>Reforma Electoral</t>
  </si>
  <si>
    <t>Los cuatro equipos que quedan ya fueron campeones</t>
  </si>
  <si>
    <t>De San Bartolo Tutotepec para todo el mundo</t>
  </si>
  <si>
    <t>Llega de Colombia, y lo asesinan</t>
  </si>
  <si>
    <t>Estiman una derrama de 650 mdp en vacaciones</t>
  </si>
  <si>
    <t>Periodo vacacional</t>
  </si>
  <si>
    <t>Francia y España chocan por la final</t>
  </si>
  <si>
    <t>Con cuentas pendientes</t>
  </si>
  <si>
    <t>Recupara gobierno 385 inmuebles; en Pachuca ya van 16</t>
  </si>
  <si>
    <t>Recuperación Del Patrimonio</t>
  </si>
  <si>
    <t>Otorgan más de mil becas a estudiantes de la UPFIM</t>
  </si>
  <si>
    <t>Becas Para La Transformación</t>
  </si>
  <si>
    <t>Teermina mesa de trabajo; va ahora a Poder Legislativo</t>
  </si>
  <si>
    <t>Reunión con partidos</t>
  </si>
  <si>
    <t>Fue nutrida la asistencia a la Feria de Servicios</t>
  </si>
  <si>
    <t>Adopción de los animales es solo el comienzo del proceso: Hopeful</t>
  </si>
  <si>
    <t>Bienestar Animal</t>
  </si>
  <si>
    <t>Accidentes viales: por semana un muerto y un percance cada 2.5 horas</t>
  </si>
  <si>
    <t>Accidente Vial</t>
  </si>
  <si>
    <t>Documento tiene 90 % de avance y estará en este mes</t>
  </si>
  <si>
    <t>Atlas de Riesgos</t>
  </si>
  <si>
    <t>El INE reporta recursos necesarios para la elección</t>
  </si>
  <si>
    <t>Elecciones</t>
  </si>
  <si>
    <t>Apuestan por equipamiento y capacitación en la SSPH</t>
  </si>
  <si>
    <t>FASP</t>
  </si>
  <si>
    <t>La última y nos vamos</t>
  </si>
  <si>
    <t>Mordzinski, su lente y la nueva Babel</t>
  </si>
  <si>
    <t>Relevan al crimen autoridades en Tulum y detonan las extorsiones</t>
  </si>
  <si>
    <t>Extorsión</t>
  </si>
  <si>
    <t>Proyecto de parque fotovoltaico enfrenta rechazo en Tecozautla</t>
  </si>
  <si>
    <t>Parque Fotovoltaico</t>
  </si>
  <si>
    <t>Ofrecerán estudios vinculados al AIFA y al tren a Pachuca</t>
  </si>
  <si>
    <t>Nuevo alumbrado para el Everardo Márquez</t>
  </si>
  <si>
    <t>Gol de 42 mdp contra la Femexfut</t>
  </si>
  <si>
    <t>Multas</t>
  </si>
  <si>
    <t>No es casual que lo primero que desaparece en los gobiernos de  ultraderecha sean los Ministerios de Igualdad, de las Mujeres y de la  Diversidad, pues buscan socavar el movimiento que más ha impulsado  cambios sociales en las últimas décadas”.</t>
  </si>
  <si>
    <t>Violencia Política De Género</t>
  </si>
  <si>
    <t>Estrenan 102 luminarias en bulevar Everardo Márquez</t>
  </si>
  <si>
    <t>Ejercen funciones 16 tesoreros municipales que no cumplen con requerimientos de ley</t>
  </si>
  <si>
    <t>ASEH</t>
  </si>
  <si>
    <t>Perfil académico</t>
  </si>
  <si>
    <t>Reciben becas de la transformación más de mil universitarios</t>
  </si>
  <si>
    <t>Fortalecen mesas de acercamientos y seguimiento desarrollo de las comunidades: Olivares</t>
  </si>
  <si>
    <t>Mesas de acercamiento</t>
  </si>
  <si>
    <t>Lluvias se extenderán por fenómeno de El Niño</t>
  </si>
  <si>
    <t>Alerta Meteorológica</t>
  </si>
  <si>
    <t>Natividad Castrejón entrega más de mil Becas para la Transformación</t>
  </si>
  <si>
    <t>Sembrando vida impulsa parecelas demostrativas</t>
  </si>
  <si>
    <t>Tecnificación De Riego</t>
  </si>
  <si>
    <t>Fortalecen estrategia integral de vigilancia y control vectorial</t>
  </si>
  <si>
    <t>Vigilancia fitozoosanitaria</t>
  </si>
  <si>
    <t>Última oportunidad para descubrir la magia de Amaneceres Toltecas en Tula</t>
  </si>
  <si>
    <t>Zona Arqueológica</t>
  </si>
  <si>
    <t>Iluminan el Everardo Márquez</t>
  </si>
  <si>
    <t>PRD Hidalgo abre la puerta a alianza con Morena</t>
  </si>
  <si>
    <t>Alianzas Electorales</t>
  </si>
  <si>
    <t>Sistema Penal Acusatorio exige profesionales mejor preparados: Aladro</t>
  </si>
  <si>
    <t>Tema pendiente</t>
  </si>
  <si>
    <t>Choque de colectiva en el Minero deja 9 lesionados</t>
  </si>
  <si>
    <t>Accidente transporte público</t>
  </si>
  <si>
    <t>Excomisionadas del Itaih buscan dirigir órganos internos de control</t>
  </si>
  <si>
    <t>Extinción ITAIH</t>
  </si>
  <si>
    <t>Cancelan baile en la 11 de Julio tras riña</t>
  </si>
  <si>
    <t>Riña</t>
  </si>
  <si>
    <t>Morena definirá reelecciones de alcaldes mediante encuestas, adelanta Marco Rico</t>
  </si>
  <si>
    <t>Sucesión Gubernamental</t>
  </si>
  <si>
    <t>Cruz Azul conquista la Copa Fundadores</t>
  </si>
  <si>
    <t>Cruz Azul</t>
  </si>
  <si>
    <t>Atienden más de 3,345 cabezas de ganado en jornadas de salud pecuaria en Atitalaquia</t>
  </si>
  <si>
    <t>Apoyo Al Agro</t>
  </si>
  <si>
    <t>Claudia Sandoval cumple compromiso</t>
  </si>
  <si>
    <t>Rehabilitación De Mercados</t>
  </si>
  <si>
    <t>Everardo Márquez se suma a la modernización del alumbrado en las principales vialidades de Pachuca</t>
  </si>
  <si>
    <t>Said Vargas: las nuevas generaciones de docentes son el presente y el futuro del magisterio</t>
  </si>
  <si>
    <t>Inicia Zitlaly Zúñiga la segunda etapa de ""Iluminando Ajacuba""</t>
  </si>
  <si>
    <t>Claudia Sandoval pone al servicio de productores de atitalaquia un dron agrícola</t>
  </si>
  <si>
    <t>TGarzaLeal solicita soldador-suspensionista</t>
  </si>
  <si>
    <t>Publicidad comercial</t>
  </si>
  <si>
    <t>SSPH frustra robo en la México-Tuxpan</t>
  </si>
  <si>
    <t>Combate a la delincuencia</t>
  </si>
  <si>
    <t>Natividad Castrejón entrega más de mil becas para la Transformación en la UPFIM</t>
  </si>
  <si>
    <t>Comenzará este lunes venta de boletos del palenque</t>
  </si>
  <si>
    <t>OEEH</t>
  </si>
  <si>
    <t>Aime Armas representará a Hidalgo en Fashion Leaders</t>
  </si>
  <si>
    <t>VideoMapping</t>
  </si>
  <si>
    <t>Video Mapping</t>
  </si>
  <si>
    <t>Una sola voz contra la trata</t>
  </si>
  <si>
    <t>Combate a trata de personas</t>
  </si>
  <si>
    <t>No hay prohibición para contratar a adversarios políticos""</t>
  </si>
  <si>
    <t>Licitaciones</t>
  </si>
  <si>
    <t>Feria de los Angelitos, con show de comedia para adultos</t>
  </si>
  <si>
    <t>Expo feria</t>
  </si>
  <si>
    <t>Detuvieron a hombre que almacenana pornografía infantil</t>
  </si>
  <si>
    <t>FGR</t>
  </si>
  <si>
    <t>Violencia digital</t>
  </si>
  <si>
    <t>Se esperan chubascos y posibilidad de granizo en Hidalgo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</si>
</sst>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7" totalsRowShown="0" headerRowDxfId="5" headerRowBorderDxfId="4">
  <autoFilter ref="A1:J67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7"/>
  <sheetViews>
    <sheetView tabSelected="1" workbookViewId="0">
      <selection activeCell="A2" sqref="A2:H67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46216</v>
      </c>
      <c r="B2" t="s">
        <v>67</v>
      </c>
      <c r="C2" s="5" t="s">
        <v>89</v>
      </c>
      <c r="D2" t="s">
        <v>12</v>
      </c>
      <c r="E2" t="s">
        <v>10</v>
      </c>
      <c r="F2" t="s">
        <v>10</v>
      </c>
      <c r="G2" t="s">
        <v>78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46216</v>
      </c>
      <c r="B3" t="s">
        <v>67</v>
      </c>
      <c r="C3" s="5" t="s">
        <v>90</v>
      </c>
      <c r="D3" t="s">
        <v>12</v>
      </c>
      <c r="E3" t="s">
        <v>16</v>
      </c>
      <c r="F3" t="s">
        <v>16</v>
      </c>
      <c r="G3" t="s">
        <v>91</v>
      </c>
      <c r="H3" t="s">
        <v>11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46216</v>
      </c>
      <c r="B4" t="s">
        <v>67</v>
      </c>
      <c r="C4" s="5" t="s">
        <v>92</v>
      </c>
      <c r="D4" t="s">
        <v>12</v>
      </c>
      <c r="E4" t="s">
        <v>14</v>
      </c>
      <c r="F4" t="s">
        <v>93</v>
      </c>
      <c r="G4" t="s">
        <v>94</v>
      </c>
      <c r="H4" t="s">
        <v>11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46216</v>
      </c>
      <c r="B5" t="s">
        <v>67</v>
      </c>
      <c r="C5" s="5" t="s">
        <v>95</v>
      </c>
      <c r="D5" t="s">
        <v>13</v>
      </c>
      <c r="E5" t="s">
        <v>10</v>
      </c>
      <c r="F5" t="s">
        <v>10</v>
      </c>
      <c r="G5" t="s">
        <v>78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46216</v>
      </c>
      <c r="B6" t="s">
        <v>67</v>
      </c>
      <c r="C6" s="5" t="s">
        <v>96</v>
      </c>
      <c r="D6" t="s">
        <v>12</v>
      </c>
      <c r="E6" t="s">
        <v>84</v>
      </c>
      <c r="F6" t="s">
        <v>97</v>
      </c>
      <c r="G6" t="s">
        <v>98</v>
      </c>
      <c r="H6" t="s">
        <v>68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46216</v>
      </c>
      <c r="B7" t="s">
        <v>67</v>
      </c>
      <c r="C7" s="5" t="s">
        <v>99</v>
      </c>
      <c r="D7" t="s">
        <v>9</v>
      </c>
      <c r="E7" t="s">
        <v>10</v>
      </c>
      <c r="F7" t="s">
        <v>10</v>
      </c>
      <c r="G7" t="s">
        <v>100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46216</v>
      </c>
      <c r="B8" t="s">
        <v>101</v>
      </c>
      <c r="C8" s="5" t="s">
        <v>102</v>
      </c>
      <c r="D8" t="s">
        <v>12</v>
      </c>
      <c r="E8" t="s">
        <v>14</v>
      </c>
      <c r="F8" t="s">
        <v>93</v>
      </c>
      <c r="G8" t="s">
        <v>94</v>
      </c>
      <c r="H8" t="s">
        <v>11</v>
      </c>
      <c r="I8" t="str">
        <f>_xlfn.XLOOKUP(Tabla1[[#This Row],[Dependencia]],Tabla2[Dependencia],Tabla2[Clasificación],"XXX",0)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46216</v>
      </c>
      <c r="B9" t="s">
        <v>101</v>
      </c>
      <c r="C9" s="5" t="s">
        <v>103</v>
      </c>
      <c r="D9" t="s">
        <v>13</v>
      </c>
      <c r="E9" t="s">
        <v>33</v>
      </c>
      <c r="F9" t="s">
        <v>33</v>
      </c>
      <c r="G9" t="s">
        <v>104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46216</v>
      </c>
      <c r="B10" t="s">
        <v>101</v>
      </c>
      <c r="C10" s="5" t="s">
        <v>105</v>
      </c>
      <c r="D10" t="s">
        <v>12</v>
      </c>
      <c r="E10" t="s">
        <v>10</v>
      </c>
      <c r="F10" t="s">
        <v>10</v>
      </c>
      <c r="G10" t="s">
        <v>72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46216</v>
      </c>
      <c r="B11" t="s">
        <v>101</v>
      </c>
      <c r="C11" s="5" t="s">
        <v>106</v>
      </c>
      <c r="D11" t="s">
        <v>12</v>
      </c>
      <c r="E11" t="s">
        <v>10</v>
      </c>
      <c r="F11" t="s">
        <v>10</v>
      </c>
      <c r="G11" t="s">
        <v>78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46216</v>
      </c>
      <c r="B12" t="s">
        <v>101</v>
      </c>
      <c r="C12" s="5" t="s">
        <v>107</v>
      </c>
      <c r="D12" t="s">
        <v>12</v>
      </c>
      <c r="E12" t="s">
        <v>22</v>
      </c>
      <c r="F12" t="s">
        <v>22</v>
      </c>
      <c r="G12" t="s">
        <v>86</v>
      </c>
      <c r="H12" t="s">
        <v>77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46216</v>
      </c>
      <c r="B13" t="s">
        <v>101</v>
      </c>
      <c r="C13" s="5" t="s">
        <v>108</v>
      </c>
      <c r="D13" t="s">
        <v>12</v>
      </c>
      <c r="E13" t="s">
        <v>29</v>
      </c>
      <c r="F13" t="s">
        <v>29</v>
      </c>
      <c r="G13" t="s">
        <v>109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1">
        <v>46216</v>
      </c>
      <c r="B14" t="s">
        <v>74</v>
      </c>
      <c r="C14" s="5" t="s">
        <v>110</v>
      </c>
      <c r="D14" t="s">
        <v>12</v>
      </c>
      <c r="E14" t="s">
        <v>10</v>
      </c>
      <c r="F14" t="s">
        <v>10</v>
      </c>
      <c r="G14" t="s">
        <v>72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46216</v>
      </c>
      <c r="B15" t="s">
        <v>74</v>
      </c>
      <c r="C15" s="5" t="s">
        <v>111</v>
      </c>
      <c r="D15" t="s">
        <v>12</v>
      </c>
      <c r="E15" t="s">
        <v>10</v>
      </c>
      <c r="F15" t="s">
        <v>10</v>
      </c>
      <c r="G15" t="s">
        <v>72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11">
        <v>46216</v>
      </c>
      <c r="B16" t="s">
        <v>74</v>
      </c>
      <c r="C16" s="5" t="s">
        <v>112</v>
      </c>
      <c r="D16" t="s">
        <v>12</v>
      </c>
      <c r="E16" t="s">
        <v>38</v>
      </c>
      <c r="F16" t="s">
        <v>38</v>
      </c>
      <c r="G16" t="s">
        <v>113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46216</v>
      </c>
      <c r="B17" t="s">
        <v>74</v>
      </c>
      <c r="C17" s="5" t="s">
        <v>114</v>
      </c>
      <c r="D17" t="s">
        <v>12</v>
      </c>
      <c r="E17" t="s">
        <v>26</v>
      </c>
      <c r="F17" t="s">
        <v>2</v>
      </c>
      <c r="G17" t="s">
        <v>115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46216</v>
      </c>
      <c r="B18" t="s">
        <v>74</v>
      </c>
      <c r="C18" s="5" t="s">
        <v>116</v>
      </c>
      <c r="D18" t="s">
        <v>12</v>
      </c>
      <c r="E18" t="s">
        <v>23</v>
      </c>
      <c r="F18" t="s">
        <v>23</v>
      </c>
      <c r="G18" t="s">
        <v>117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11">
        <v>46216</v>
      </c>
      <c r="B19" t="s">
        <v>74</v>
      </c>
      <c r="C19" s="5" t="s">
        <v>118</v>
      </c>
      <c r="D19" t="s">
        <v>12</v>
      </c>
      <c r="E19" t="s">
        <v>14</v>
      </c>
      <c r="F19" t="s">
        <v>93</v>
      </c>
      <c r="G19" t="s">
        <v>94</v>
      </c>
      <c r="H19" t="s">
        <v>11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46216</v>
      </c>
      <c r="B20" t="s">
        <v>74</v>
      </c>
      <c r="C20" s="5" t="s">
        <v>119</v>
      </c>
      <c r="D20" t="s">
        <v>12</v>
      </c>
      <c r="E20" t="s">
        <v>10</v>
      </c>
      <c r="F20" t="s">
        <v>10</v>
      </c>
      <c r="G20" t="s">
        <v>120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46216</v>
      </c>
      <c r="B21" t="s">
        <v>85</v>
      </c>
      <c r="C21" s="5" t="s">
        <v>121</v>
      </c>
      <c r="D21" t="s">
        <v>13</v>
      </c>
      <c r="E21" t="s">
        <v>10</v>
      </c>
      <c r="F21" t="s">
        <v>10</v>
      </c>
      <c r="G21" t="s">
        <v>122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46216</v>
      </c>
      <c r="B22" t="s">
        <v>85</v>
      </c>
      <c r="C22" s="5" t="s">
        <v>123</v>
      </c>
      <c r="D22" t="s">
        <v>12</v>
      </c>
      <c r="E22" t="s">
        <v>16</v>
      </c>
      <c r="F22" t="s">
        <v>16</v>
      </c>
      <c r="G22" t="s">
        <v>124</v>
      </c>
      <c r="H22" t="s">
        <v>11</v>
      </c>
      <c r="I22" t="str">
        <f>_xlfn.XLOOKUP(Tabla1[[#This Row],[Dependencia]],Tabla2[Dependencia],Tabla2[Clasificación],"XXX",0)</f>
        <v>Alcaldías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46216</v>
      </c>
      <c r="B23" t="s">
        <v>85</v>
      </c>
      <c r="C23" s="5" t="s">
        <v>125</v>
      </c>
      <c r="D23" t="s">
        <v>12</v>
      </c>
      <c r="E23" t="s">
        <v>10</v>
      </c>
      <c r="F23" t="s">
        <v>10</v>
      </c>
      <c r="G23" t="s">
        <v>126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46216</v>
      </c>
      <c r="B24" t="s">
        <v>85</v>
      </c>
      <c r="C24" s="5" t="s">
        <v>127</v>
      </c>
      <c r="D24" t="s">
        <v>12</v>
      </c>
      <c r="E24" t="s">
        <v>22</v>
      </c>
      <c r="F24" t="s">
        <v>22</v>
      </c>
      <c r="G24" t="s">
        <v>128</v>
      </c>
      <c r="H24" t="s">
        <v>68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11">
        <v>46216</v>
      </c>
      <c r="B25" t="s">
        <v>85</v>
      </c>
      <c r="C25" s="5" t="s">
        <v>129</v>
      </c>
      <c r="D25" t="s">
        <v>9</v>
      </c>
      <c r="E25" t="s">
        <v>10</v>
      </c>
      <c r="F25" t="s">
        <v>10</v>
      </c>
      <c r="G25" t="s">
        <v>72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46216</v>
      </c>
      <c r="B26" t="s">
        <v>85</v>
      </c>
      <c r="C26" s="5" t="s">
        <v>130</v>
      </c>
      <c r="D26" t="s">
        <v>12</v>
      </c>
      <c r="E26" t="s">
        <v>10</v>
      </c>
      <c r="F26" t="s">
        <v>10</v>
      </c>
      <c r="G26" t="s">
        <v>78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46216</v>
      </c>
      <c r="B27" t="s">
        <v>85</v>
      </c>
      <c r="C27" s="5" t="s">
        <v>131</v>
      </c>
      <c r="D27" t="s">
        <v>12</v>
      </c>
      <c r="E27" t="s">
        <v>14</v>
      </c>
      <c r="F27" t="s">
        <v>14</v>
      </c>
      <c r="G27" t="s">
        <v>132</v>
      </c>
      <c r="H27" t="s">
        <v>77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46216</v>
      </c>
      <c r="B28" t="s">
        <v>70</v>
      </c>
      <c r="C28" s="5" t="s">
        <v>133</v>
      </c>
      <c r="D28" t="s">
        <v>12</v>
      </c>
      <c r="E28" t="s">
        <v>16</v>
      </c>
      <c r="F28" t="s">
        <v>16</v>
      </c>
      <c r="G28" t="s">
        <v>134</v>
      </c>
      <c r="H28" t="s">
        <v>11</v>
      </c>
      <c r="I28" t="str">
        <f>_xlfn.XLOOKUP(Tabla1[[#This Row],[Dependencia]],Tabla2[Dependencia],Tabla2[Clasificación],"XXX",0)</f>
        <v>Alcaldías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46216</v>
      </c>
      <c r="B29" t="s">
        <v>70</v>
      </c>
      <c r="C29" s="5" t="s">
        <v>135</v>
      </c>
      <c r="D29" t="s">
        <v>13</v>
      </c>
      <c r="E29" t="s">
        <v>26</v>
      </c>
      <c r="F29" t="s">
        <v>26</v>
      </c>
      <c r="G29" t="s">
        <v>98</v>
      </c>
      <c r="H29" t="s">
        <v>68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25">
      <c r="A30" s="11">
        <v>46216</v>
      </c>
      <c r="B30" t="s">
        <v>70</v>
      </c>
      <c r="C30" s="5" t="s">
        <v>136</v>
      </c>
      <c r="D30" t="s">
        <v>9</v>
      </c>
      <c r="E30" t="s">
        <v>16</v>
      </c>
      <c r="F30" t="s">
        <v>16</v>
      </c>
      <c r="G30" t="s">
        <v>87</v>
      </c>
      <c r="H30" t="s">
        <v>11</v>
      </c>
      <c r="I30" t="str">
        <f>_xlfn.XLOOKUP(Tabla1[[#This Row],[Dependencia]],Tabla2[Dependencia],Tabla2[Clasificación],"XXX",0)</f>
        <v>Alcaldías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46216</v>
      </c>
      <c r="B31" t="s">
        <v>70</v>
      </c>
      <c r="C31" s="5" t="s">
        <v>137</v>
      </c>
      <c r="D31" t="s">
        <v>12</v>
      </c>
      <c r="E31" t="s">
        <v>14</v>
      </c>
      <c r="F31" t="s">
        <v>14</v>
      </c>
      <c r="G31" t="s">
        <v>138</v>
      </c>
      <c r="H31" t="s">
        <v>11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75" x14ac:dyDescent="0.25">
      <c r="A32" s="11">
        <v>46216</v>
      </c>
      <c r="B32" t="s">
        <v>70</v>
      </c>
      <c r="C32" s="5" t="s">
        <v>139</v>
      </c>
      <c r="D32" t="s">
        <v>12</v>
      </c>
      <c r="E32" t="s">
        <v>10</v>
      </c>
      <c r="F32" t="s">
        <v>10</v>
      </c>
      <c r="G32" t="s">
        <v>140</v>
      </c>
      <c r="H32" t="s">
        <v>77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46216</v>
      </c>
      <c r="B33" t="s">
        <v>69</v>
      </c>
      <c r="C33" s="5" t="s">
        <v>141</v>
      </c>
      <c r="D33" t="s">
        <v>13</v>
      </c>
      <c r="E33" t="s">
        <v>16</v>
      </c>
      <c r="F33" t="s">
        <v>16</v>
      </c>
      <c r="G33" t="s">
        <v>87</v>
      </c>
      <c r="H33" t="s">
        <v>11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46216</v>
      </c>
      <c r="B34" t="s">
        <v>69</v>
      </c>
      <c r="C34" s="5" t="s">
        <v>142</v>
      </c>
      <c r="D34" t="s">
        <v>12</v>
      </c>
      <c r="E34" t="s">
        <v>33</v>
      </c>
      <c r="F34" t="s">
        <v>143</v>
      </c>
      <c r="G34" t="s">
        <v>144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46216</v>
      </c>
      <c r="B35" t="s">
        <v>69</v>
      </c>
      <c r="C35" s="5" t="s">
        <v>145</v>
      </c>
      <c r="D35" t="s">
        <v>12</v>
      </c>
      <c r="E35" t="s">
        <v>26</v>
      </c>
      <c r="F35" t="s">
        <v>2</v>
      </c>
      <c r="G35" t="s">
        <v>115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46216</v>
      </c>
      <c r="B36" t="s">
        <v>69</v>
      </c>
      <c r="C36" s="5" t="s">
        <v>146</v>
      </c>
      <c r="D36" t="s">
        <v>12</v>
      </c>
      <c r="E36" t="s">
        <v>23</v>
      </c>
      <c r="F36" t="s">
        <v>2</v>
      </c>
      <c r="G36" t="s">
        <v>147</v>
      </c>
      <c r="H36" t="s">
        <v>68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25">
      <c r="A37" s="11">
        <v>46216</v>
      </c>
      <c r="B37" t="s">
        <v>81</v>
      </c>
      <c r="C37" s="5" t="s">
        <v>148</v>
      </c>
      <c r="D37" t="s">
        <v>13</v>
      </c>
      <c r="E37" t="s">
        <v>16</v>
      </c>
      <c r="F37" t="s">
        <v>16</v>
      </c>
      <c r="G37" t="s">
        <v>149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46216</v>
      </c>
      <c r="B38" t="s">
        <v>81</v>
      </c>
      <c r="C38" s="5" t="s">
        <v>150</v>
      </c>
      <c r="D38" t="s">
        <v>12</v>
      </c>
      <c r="E38" t="s">
        <v>26</v>
      </c>
      <c r="F38" t="s">
        <v>2</v>
      </c>
      <c r="G38" t="s">
        <v>115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25">
      <c r="A39" s="11">
        <v>46216</v>
      </c>
      <c r="B39" t="s">
        <v>81</v>
      </c>
      <c r="C39" s="5" t="s">
        <v>151</v>
      </c>
      <c r="D39" t="s">
        <v>12</v>
      </c>
      <c r="E39" t="s">
        <v>14</v>
      </c>
      <c r="F39" t="s">
        <v>14</v>
      </c>
      <c r="G39" t="s">
        <v>152</v>
      </c>
      <c r="H39" t="s">
        <v>11</v>
      </c>
      <c r="I39" t="str">
        <f>_xlfn.XLOOKUP(Tabla1[[#This Row],[Dependencia]],Tabla2[Dependencia],Tabla2[Clasificación],"XXX",0)</f>
        <v>Presidencia de la República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46216</v>
      </c>
      <c r="B40" t="s">
        <v>81</v>
      </c>
      <c r="C40" s="5" t="s">
        <v>153</v>
      </c>
      <c r="D40" t="s">
        <v>12</v>
      </c>
      <c r="E40" t="s">
        <v>16</v>
      </c>
      <c r="F40" t="s">
        <v>16</v>
      </c>
      <c r="G40" t="s">
        <v>154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ht="30" x14ac:dyDescent="0.25">
      <c r="A41" s="11">
        <v>46216</v>
      </c>
      <c r="B41" t="s">
        <v>81</v>
      </c>
      <c r="C41" s="5" t="s">
        <v>155</v>
      </c>
      <c r="D41" t="s">
        <v>12</v>
      </c>
      <c r="E41" t="s">
        <v>29</v>
      </c>
      <c r="F41" t="s">
        <v>29</v>
      </c>
      <c r="G41" t="s">
        <v>156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11">
        <v>46216</v>
      </c>
      <c r="B42" t="s">
        <v>73</v>
      </c>
      <c r="C42" s="5" t="s">
        <v>157</v>
      </c>
      <c r="D42" t="s">
        <v>9</v>
      </c>
      <c r="E42" t="s">
        <v>16</v>
      </c>
      <c r="F42" t="s">
        <v>16</v>
      </c>
      <c r="G42" t="s">
        <v>87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46216</v>
      </c>
      <c r="B43" t="s">
        <v>73</v>
      </c>
      <c r="C43" s="5" t="s">
        <v>158</v>
      </c>
      <c r="D43" t="s">
        <v>13</v>
      </c>
      <c r="E43" t="s">
        <v>48</v>
      </c>
      <c r="F43" t="s">
        <v>48</v>
      </c>
      <c r="G43" t="s">
        <v>159</v>
      </c>
      <c r="H43" t="s">
        <v>11</v>
      </c>
      <c r="I43" t="str">
        <f>_xlfn.XLOOKUP(Tabla1[[#This Row],[Dependencia]],Tabla2[Dependencia],Tabla2[Clasificación],"XXX",0)</f>
        <v>Partidos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46216</v>
      </c>
      <c r="B44" t="s">
        <v>73</v>
      </c>
      <c r="C44" s="5" t="s">
        <v>160</v>
      </c>
      <c r="D44" t="s">
        <v>12</v>
      </c>
      <c r="E44" t="s">
        <v>58</v>
      </c>
      <c r="F44" t="s">
        <v>2</v>
      </c>
      <c r="G44" t="s">
        <v>161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x14ac:dyDescent="0.25">
      <c r="A45" s="11">
        <v>46216</v>
      </c>
      <c r="B45" t="s">
        <v>73</v>
      </c>
      <c r="C45" s="5" t="s">
        <v>162</v>
      </c>
      <c r="D45" t="s">
        <v>12</v>
      </c>
      <c r="E45" t="s">
        <v>27</v>
      </c>
      <c r="F45" t="s">
        <v>27</v>
      </c>
      <c r="G45" t="s">
        <v>163</v>
      </c>
      <c r="H45" t="s">
        <v>77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11">
        <v>46216</v>
      </c>
      <c r="B46" t="s">
        <v>73</v>
      </c>
      <c r="C46" s="5" t="s">
        <v>164</v>
      </c>
      <c r="D46" t="s">
        <v>12</v>
      </c>
      <c r="E46" t="s">
        <v>10</v>
      </c>
      <c r="F46" t="s">
        <v>10</v>
      </c>
      <c r="G46" t="s">
        <v>165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x14ac:dyDescent="0.25">
      <c r="A47" s="11">
        <v>46216</v>
      </c>
      <c r="B47" t="s">
        <v>73</v>
      </c>
      <c r="C47" s="5" t="s">
        <v>166</v>
      </c>
      <c r="D47" t="s">
        <v>12</v>
      </c>
      <c r="E47" t="s">
        <v>10</v>
      </c>
      <c r="F47" t="s">
        <v>10</v>
      </c>
      <c r="G47" t="s">
        <v>167</v>
      </c>
      <c r="H47" t="s">
        <v>77</v>
      </c>
      <c r="I47" t="str">
        <f>_xlfn.XLOOKUP(Tabla1[[#This Row],[Dependencia]],Tabla2[Dependencia],Tabla2[Clasificación],"XXX",0)</f>
        <v>Otros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46216</v>
      </c>
      <c r="B48" t="s">
        <v>75</v>
      </c>
      <c r="C48" s="5" t="s">
        <v>168</v>
      </c>
      <c r="D48" t="s">
        <v>80</v>
      </c>
      <c r="E48" t="s">
        <v>18</v>
      </c>
      <c r="F48" t="s">
        <v>2</v>
      </c>
      <c r="G48" t="s">
        <v>169</v>
      </c>
      <c r="H48" t="s">
        <v>11</v>
      </c>
      <c r="I48" t="str">
        <f>_xlfn.XLOOKUP(Tabla1[[#This Row],[Dependencia]],Tabla2[Dependencia],Tabla2[Clasificación],"XXX",0)</f>
        <v>Partidos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46216</v>
      </c>
      <c r="B49" t="s">
        <v>75</v>
      </c>
      <c r="C49" s="5" t="s">
        <v>170</v>
      </c>
      <c r="D49" t="s">
        <v>13</v>
      </c>
      <c r="E49" t="s">
        <v>10</v>
      </c>
      <c r="F49" t="s">
        <v>10</v>
      </c>
      <c r="G49" t="s">
        <v>171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46216</v>
      </c>
      <c r="B50" t="s">
        <v>75</v>
      </c>
      <c r="C50" s="5" t="s">
        <v>172</v>
      </c>
      <c r="D50" t="s">
        <v>12</v>
      </c>
      <c r="E50" t="s">
        <v>16</v>
      </c>
      <c r="F50" t="s">
        <v>16</v>
      </c>
      <c r="G50" t="s">
        <v>173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46216</v>
      </c>
      <c r="B51" t="s">
        <v>75</v>
      </c>
      <c r="C51" s="5" t="s">
        <v>174</v>
      </c>
      <c r="D51" t="s">
        <v>12</v>
      </c>
      <c r="E51" t="s">
        <v>16</v>
      </c>
      <c r="F51" t="s">
        <v>79</v>
      </c>
      <c r="G51" t="s">
        <v>175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46216</v>
      </c>
      <c r="B52" t="s">
        <v>75</v>
      </c>
      <c r="C52" s="5" t="s">
        <v>176</v>
      </c>
      <c r="D52" t="s">
        <v>12</v>
      </c>
      <c r="E52" t="s">
        <v>16</v>
      </c>
      <c r="F52" t="s">
        <v>16</v>
      </c>
      <c r="G52" t="s">
        <v>87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46216</v>
      </c>
      <c r="B53" t="s">
        <v>75</v>
      </c>
      <c r="C53" s="5" t="s">
        <v>177</v>
      </c>
      <c r="D53" t="s">
        <v>12</v>
      </c>
      <c r="E53" t="s">
        <v>10</v>
      </c>
      <c r="F53" t="s">
        <v>10</v>
      </c>
      <c r="G53" t="s">
        <v>78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46216</v>
      </c>
      <c r="B54" t="s">
        <v>75</v>
      </c>
      <c r="C54" s="5" t="s">
        <v>178</v>
      </c>
      <c r="D54" t="s">
        <v>12</v>
      </c>
      <c r="E54" t="s">
        <v>16</v>
      </c>
      <c r="F54" t="s">
        <v>79</v>
      </c>
      <c r="G54" t="s">
        <v>78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46216</v>
      </c>
      <c r="B55" t="s">
        <v>75</v>
      </c>
      <c r="C55" s="5" t="s">
        <v>179</v>
      </c>
      <c r="D55" t="s">
        <v>12</v>
      </c>
      <c r="E55" t="s">
        <v>16</v>
      </c>
      <c r="F55" t="s">
        <v>79</v>
      </c>
      <c r="G55" t="s">
        <v>173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x14ac:dyDescent="0.25">
      <c r="A56" s="11">
        <v>46216</v>
      </c>
      <c r="B56" t="s">
        <v>75</v>
      </c>
      <c r="C56" s="5" t="s">
        <v>180</v>
      </c>
      <c r="D56" t="s">
        <v>83</v>
      </c>
      <c r="E56" t="s">
        <v>10</v>
      </c>
      <c r="F56" t="s">
        <v>10</v>
      </c>
      <c r="G56" t="s">
        <v>181</v>
      </c>
      <c r="H56" t="s">
        <v>11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46216</v>
      </c>
      <c r="B57" t="s">
        <v>82</v>
      </c>
      <c r="C57" s="5" t="s">
        <v>176</v>
      </c>
      <c r="D57" t="s">
        <v>13</v>
      </c>
      <c r="E57" t="s">
        <v>16</v>
      </c>
      <c r="F57" t="s">
        <v>16</v>
      </c>
      <c r="G57" t="s">
        <v>87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x14ac:dyDescent="0.25">
      <c r="A58" s="11">
        <v>46216</v>
      </c>
      <c r="B58" t="s">
        <v>82</v>
      </c>
      <c r="C58" s="5" t="s">
        <v>182</v>
      </c>
      <c r="D58" t="s">
        <v>12</v>
      </c>
      <c r="E58" t="s">
        <v>22</v>
      </c>
      <c r="F58" t="s">
        <v>22</v>
      </c>
      <c r="G58" t="s">
        <v>183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11">
        <v>46216</v>
      </c>
      <c r="B59" t="s">
        <v>82</v>
      </c>
      <c r="C59" s="5" t="s">
        <v>184</v>
      </c>
      <c r="D59" t="s">
        <v>12</v>
      </c>
      <c r="E59" t="s">
        <v>26</v>
      </c>
      <c r="F59" t="s">
        <v>2</v>
      </c>
      <c r="G59" t="s">
        <v>115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25">
      <c r="A60" s="11">
        <v>46216</v>
      </c>
      <c r="B60" t="s">
        <v>82</v>
      </c>
      <c r="C60" s="5" t="s">
        <v>185</v>
      </c>
      <c r="D60" t="s">
        <v>12</v>
      </c>
      <c r="E60" t="s">
        <v>29</v>
      </c>
      <c r="F60" t="s">
        <v>186</v>
      </c>
      <c r="G60" t="s">
        <v>88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11">
        <v>46216</v>
      </c>
      <c r="B61" t="s">
        <v>82</v>
      </c>
      <c r="C61" s="5" t="s">
        <v>187</v>
      </c>
      <c r="D61" t="s">
        <v>12</v>
      </c>
      <c r="E61" t="s">
        <v>10</v>
      </c>
      <c r="F61" t="s">
        <v>10</v>
      </c>
      <c r="G61" t="s">
        <v>78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x14ac:dyDescent="0.25">
      <c r="A62" s="11">
        <v>46216</v>
      </c>
      <c r="B62" t="s">
        <v>82</v>
      </c>
      <c r="C62" s="5" t="s">
        <v>188</v>
      </c>
      <c r="D62" t="s">
        <v>83</v>
      </c>
      <c r="E62" t="s">
        <v>29</v>
      </c>
      <c r="F62" t="s">
        <v>29</v>
      </c>
      <c r="G62" t="s">
        <v>189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11">
        <v>46216</v>
      </c>
      <c r="B63" t="s">
        <v>82</v>
      </c>
      <c r="C63" s="5" t="s">
        <v>190</v>
      </c>
      <c r="D63" t="s">
        <v>83</v>
      </c>
      <c r="E63" t="s">
        <v>16</v>
      </c>
      <c r="F63" t="s">
        <v>16</v>
      </c>
      <c r="G63" t="s">
        <v>191</v>
      </c>
      <c r="H63" t="s">
        <v>11</v>
      </c>
      <c r="I63" t="str">
        <f>_xlfn.XLOOKUP(Tabla1[[#This Row],[Dependencia]],Tabla2[Dependencia],Tabla2[Clasificación],"XXX",0)</f>
        <v>Alcaldías</v>
      </c>
      <c r="J63" t="str">
        <f>_xlfn.XLOOKUP(Tabla1[[#This Row],[Dependencia]],Tabla3[Dependencia],Tabla3[Nivel],"Otros",0)</f>
        <v>Otros</v>
      </c>
    </row>
    <row r="64" spans="1:10" ht="30" x14ac:dyDescent="0.25">
      <c r="A64" s="11">
        <v>46216</v>
      </c>
      <c r="B64" t="s">
        <v>76</v>
      </c>
      <c r="C64" s="5" t="s">
        <v>192</v>
      </c>
      <c r="D64" t="s">
        <v>13</v>
      </c>
      <c r="E64" t="s">
        <v>24</v>
      </c>
      <c r="F64" t="s">
        <v>24</v>
      </c>
      <c r="G64" t="s">
        <v>193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Gobernador</v>
      </c>
    </row>
    <row r="65" spans="1:10" ht="30" x14ac:dyDescent="0.25">
      <c r="A65" s="11">
        <v>46216</v>
      </c>
      <c r="B65" t="s">
        <v>76</v>
      </c>
      <c r="C65" s="5" t="s">
        <v>194</v>
      </c>
      <c r="D65" t="s">
        <v>12</v>
      </c>
      <c r="E65" t="s">
        <v>16</v>
      </c>
      <c r="F65" t="s">
        <v>16</v>
      </c>
      <c r="G65" t="s">
        <v>195</v>
      </c>
      <c r="H65" t="s">
        <v>77</v>
      </c>
      <c r="I65" t="str">
        <f>_xlfn.XLOOKUP(Tabla1[[#This Row],[Dependencia]],Tabla2[Dependencia],Tabla2[Clasificación],"XXX",0)</f>
        <v>Alcaldías</v>
      </c>
      <c r="J65" t="str">
        <f>_xlfn.XLOOKUP(Tabla1[[#This Row],[Dependencia]],Tabla3[Dependencia],Tabla3[Nivel],"Otros",0)</f>
        <v>Otros</v>
      </c>
    </row>
    <row r="66" spans="1:10" ht="30" x14ac:dyDescent="0.25">
      <c r="A66" s="11">
        <v>46216</v>
      </c>
      <c r="B66" t="s">
        <v>76</v>
      </c>
      <c r="C66" s="5" t="s">
        <v>196</v>
      </c>
      <c r="D66" t="s">
        <v>9</v>
      </c>
      <c r="E66" t="s">
        <v>14</v>
      </c>
      <c r="F66" t="s">
        <v>197</v>
      </c>
      <c r="G66" t="s">
        <v>198</v>
      </c>
      <c r="H66" t="s">
        <v>11</v>
      </c>
      <c r="I66" t="str">
        <f>_xlfn.XLOOKUP(Tabla1[[#This Row],[Dependencia]],Tabla2[Dependencia],Tabla2[Clasificación],"XXX",0)</f>
        <v>Presidencia de la República</v>
      </c>
      <c r="J66" t="str">
        <f>_xlfn.XLOOKUP(Tabla1[[#This Row],[Dependencia]],Tabla3[Dependencia],Tabla3[Nivel],"Otros",0)</f>
        <v>Otros</v>
      </c>
    </row>
    <row r="67" spans="1:10" ht="30" x14ac:dyDescent="0.25">
      <c r="A67" s="11">
        <v>46216</v>
      </c>
      <c r="B67" t="s">
        <v>76</v>
      </c>
      <c r="C67" s="5" t="s">
        <v>199</v>
      </c>
      <c r="D67" t="s">
        <v>12</v>
      </c>
      <c r="E67" t="s">
        <v>10</v>
      </c>
      <c r="F67" t="s">
        <v>10</v>
      </c>
      <c r="G67" t="s">
        <v>149</v>
      </c>
      <c r="H67" t="s">
        <v>11</v>
      </c>
      <c r="I67" t="str">
        <f>_xlfn.XLOOKUP(Tabla1[[#This Row],[Dependencia]],Tabla2[Dependencia],Tabla2[Clasificación],"XXX",0)</f>
        <v>Otros</v>
      </c>
      <c r="J67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2026-07-13T15:14:06Z</dcterms:modified>
</cp:coreProperties>
</file>