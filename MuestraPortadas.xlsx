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de capturas y reportes\Reporteportadas\"/>
    </mc:Choice>
  </mc:AlternateContent>
  <xr:revisionPtr revIDLastSave="0" documentId="13_ncr:1_{0CF3893E-E627-4C84-89C0-CFD11921528D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2" i="1"/>
  <c r="I2" i="1"/>
</calcChain>
</file>

<file path=xl/sharedStrings.xml><?xml version="1.0" encoding="utf-8"?>
<sst xmlns="http://schemas.openxmlformats.org/spreadsheetml/2006/main" count="615" uniqueCount="193">
  <si>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</si>
  <si>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</si>
  <si>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</si>
  <si>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</si>
  <si>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</si>
  <si>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</si>
  <si>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</si>
  <si>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</si>
  <si>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</si>
  <si>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</si>
  <si>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</si>
  <si>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</si>
  <si>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</si>
  <si>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</si>
  <si>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</si>
  <si>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</si>
  <si>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</si>
  <si>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</si>
  <si>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</si>
  <si>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</si>
  <si>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</si>
  <si>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</si>
  <si>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</si>
  <si>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</si>
  <si>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</si>
  <si>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</si>
  <si>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</si>
  <si>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</si>
  <si>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</si>
  <si>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</si>
  <si>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</si>
  <si>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</si>
  <si>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</si>
  <si>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</si>
  <si>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</si>
  <si>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</si>
  <si>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</si>
  <si>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</si>
  <si>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</si>
  <si>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</si>
  <si>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</si>
  <si>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</si>
  <si>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</si>
  <si>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</si>
  <si>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</si>
  <si>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</si>
  <si>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</si>
  <si>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</si>
  <si>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</si>
  <si>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</si>
  <si>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</si>
  <si>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</si>
  <si>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</si>
  <si>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</si>
  <si>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</si>
  <si>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</si>
  <si>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</si>
  <si>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</si>
  <si>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</si>
  <si>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</si>
  <si>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</si>
  <si>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</si>
  <si>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</si>
  <si>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</si>
  <si>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</si>
  <si>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</si>
  <si>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</si>
  <si>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</si>
  <si>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Positiva</t>
  </si>
  <si>
    <t>Síntesis</t>
  </si>
  <si>
    <t>La Jornada Hidalgo</t>
  </si>
  <si>
    <t>OCSAD</t>
  </si>
  <si>
    <t>Effetá</t>
  </si>
  <si>
    <t>Negativa</t>
  </si>
  <si>
    <t>Milenio Hidalgo</t>
  </si>
  <si>
    <t>El Universal Hidalgo</t>
  </si>
  <si>
    <t>Criterio</t>
  </si>
  <si>
    <t>Pachuca Brilla</t>
  </si>
  <si>
    <t>Temas varios</t>
  </si>
  <si>
    <t>Deportes</t>
  </si>
  <si>
    <t>Sipdus</t>
  </si>
  <si>
    <t>Combate a la delincuencia</t>
  </si>
  <si>
    <t>Publicidad</t>
  </si>
  <si>
    <t>Una sola voz contra la trata</t>
  </si>
  <si>
    <t>Combate a trata de personas</t>
  </si>
  <si>
    <t>Enfrentamiento Político</t>
  </si>
  <si>
    <t>Trabajo legislativo</t>
  </si>
  <si>
    <t>Policía municipal</t>
  </si>
  <si>
    <t>Inteligencia Artificial</t>
  </si>
  <si>
    <t>Reforma Electoral</t>
  </si>
  <si>
    <t>Habilitan la nueva estación de bomberos y oficinas de PC</t>
  </si>
  <si>
    <t>Polifórum</t>
  </si>
  <si>
    <t>Rescatan a venada cola blanca en El Xuchitl</t>
  </si>
  <si>
    <t>Rescate Animal</t>
  </si>
  <si>
    <t>Revisan expedientes de indígenas presos</t>
  </si>
  <si>
    <t>Cedspi</t>
  </si>
  <si>
    <t>Excarcelación</t>
  </si>
  <si>
    <t>Monitorea IA examen de los maestros de SEP</t>
  </si>
  <si>
    <t>Preocupa suspensión de recolección de basura</t>
  </si>
  <si>
    <t>Recolección De Basura</t>
  </si>
  <si>
    <t>Estrenan estación de bomberos</t>
  </si>
  <si>
    <t>Buscan excarcelar a 70 indígenas hidalguenses</t>
  </si>
  <si>
    <t>Reconocen a personal operativo en Mundial</t>
  </si>
  <si>
    <t>Mundial De Futbol</t>
  </si>
  <si>
    <t>Inyectan $224 millones para obras públicas</t>
  </si>
  <si>
    <t>Ejecución de obras</t>
  </si>
  <si>
    <t>Trío Aurora, con sold out en EE. UU.</t>
  </si>
  <si>
    <t>Entrega de reconocimientos</t>
  </si>
  <si>
    <t>Van por el orgullo</t>
  </si>
  <si>
    <t>Mucho más que un juego de estrellas</t>
  </si>
  <si>
    <t>Julio Menchaca Salazar respalda reforma electoral</t>
  </si>
  <si>
    <t>Crear municipio no resuelve las carencias, dice legisladora</t>
  </si>
  <si>
    <t>GLMorena</t>
  </si>
  <si>
    <t>Municipio 85</t>
  </si>
  <si>
    <t>Artesanos no se han acercado a la Secretaría de Cultura: Titular</t>
  </si>
  <si>
    <t>titul</t>
  </si>
  <si>
    <t>Plagio</t>
  </si>
  <si>
    <t>Inauguran una nueva estación de Bomberos</t>
  </si>
  <si>
    <t>Ricardo Crespo presume 140 mil obras en Hidalgo</t>
  </si>
  <si>
    <t>Abatir rezago debe ser para mejorar el acceso a la justicia: Menchaca</t>
  </si>
  <si>
    <t>Acceso a la justicia</t>
  </si>
  <si>
    <t>Salud mental en casos de desaparición</t>
  </si>
  <si>
    <t>Personas desaparecidas</t>
  </si>
  <si>
    <t>Desconocen el paradero del hospital portátil</t>
  </si>
  <si>
    <t>Hospital inflable</t>
  </si>
  <si>
    <t>Cuatro de cada 10 balnearios incumplen con norma sanitaria</t>
  </si>
  <si>
    <t>Copriseh</t>
  </si>
  <si>
    <t>Certificación sanitaria</t>
  </si>
  <si>
    <t>Mejoran la atención de emergencias en Pachuca</t>
  </si>
  <si>
    <t>Plan México: BM se alinea, empujará empleo e inversión</t>
  </si>
  <si>
    <t>Plan México</t>
  </si>
  <si>
    <t>Refuerzan padrón de artesanos contra plagios</t>
  </si>
  <si>
    <t>Analizan dejar libres a indígenas en casos de delitos no graves</t>
  </si>
  <si>
    <t>Anuncian consulta sobre derechos de las audiencias</t>
  </si>
  <si>
    <t>Consulta Ciudadana</t>
  </si>
  <si>
    <t>Ofrece Sheinbaum auxilio de Agencia Digital a la UNAM</t>
  </si>
  <si>
    <t>Entregan nueva estación de bomberos por 91 mdp</t>
  </si>
  <si>
    <t>La oportunidad de esclarecer los hechos y saber si Jasso era culpable  se perdió. Con su muerte se cierra la investigación, así que la duda  se quedará y sobre esa duda no debemos siquiera seguir especulando  sobre los hechos. Es decir: no habrá justicia para nadie”.</t>
  </si>
  <si>
    <t>Abuso Sexual</t>
  </si>
  <si>
    <t>Inaugura Menchaca nueva Estación de Bomberos en Pachuca</t>
  </si>
  <si>
    <t>Reconoce 66 Legislatura local trayectoria del Trío Aurora Hidalguense</t>
  </si>
  <si>
    <t>Cultura va contra revendedores; integra padrón de artesanos</t>
  </si>
  <si>
    <t>Huejutla y cinco estados compartirán la riqueza de la huasteca en el Festival Tlajtoli 2026</t>
  </si>
  <si>
    <t>Tlajtoli</t>
  </si>
  <si>
    <t>Reconocen esfuerzo nacional durante Mudial de Futbol</t>
  </si>
  <si>
    <t>Capashh invita a usuarios a regular sus pagos</t>
  </si>
  <si>
    <t>Agua</t>
  </si>
  <si>
    <t>Pago de Servicios</t>
  </si>
  <si>
    <t>Fuerte derrumbe en La Virgencita de la México-Tampico</t>
  </si>
  <si>
    <t>Derrumbe Carretero</t>
  </si>
  <si>
    <t>Inician las macrojornadas de salud visual en Huejutla</t>
  </si>
  <si>
    <t>Salud Visual</t>
  </si>
  <si>
    <t>Rescatan a venada en Huejutla</t>
  </si>
  <si>
    <t>Contraloría supervisa entrega de apoyos sociales</t>
  </si>
  <si>
    <t>Vigilancia del gasto público</t>
  </si>
  <si>
    <t>Huejutla reunirá a pueblos originarios de seis estados</t>
  </si>
  <si>
    <t>Inauguran Sendero Seguro en Tizayuca</t>
  </si>
  <si>
    <t>Alcalde</t>
  </si>
  <si>
    <t>Yo creo que duelen dos derrotas continuas"": Menchaca a Viggiano</t>
  </si>
  <si>
    <t>Menchaca entrega nueva estación de Bomberos  y PC</t>
  </si>
  <si>
    <t>Reforma electoral no se aprobará en ""fast track""</t>
  </si>
  <si>
    <t>Junta de Gobierno</t>
  </si>
  <si>
    <t>Buscan liberar hasta 70 personas indígenas encarceladas</t>
  </si>
  <si>
    <t>Marfeca</t>
  </si>
  <si>
    <t>Alistan 17a Feria de la Planta Medicinal en Ajacuba</t>
  </si>
  <si>
    <t>Cintillo</t>
  </si>
  <si>
    <t>Festival Cultural</t>
  </si>
  <si>
    <t>Policía de Pachuca detiene a presunto responsable de robo a casa habitación en Santa Julia</t>
  </si>
  <si>
    <t>Reconocen esfuerzo nacional durante Mundial de Futbol 2026</t>
  </si>
  <si>
    <t>Julio Menchaca prioriza atención de emergencias con nuevas instalaciones para bomberos y PC</t>
  </si>
  <si>
    <t>Contraloría supervisa entrega de apoyos sociales y fortalece la transparencia en Tepehuacán de Guerrero</t>
  </si>
  <si>
    <t>Realizan jornada de esterilización canina y felina en Ajacuba</t>
  </si>
  <si>
    <t>Campaña de esterilización</t>
  </si>
  <si>
    <t>Municipio y Estado unen esfuerzos para acercar servicios y programas a la población migrante de Ajacuba</t>
  </si>
  <si>
    <t>Atención A Migrantes</t>
  </si>
  <si>
    <t>Hidalgo tiene algo</t>
  </si>
  <si>
    <t>Promoción turística</t>
  </si>
  <si>
    <t>Julio Menchaca prioriza atención de emergencias ocn nuevas instalaciones para Bomberos y PC</t>
  </si>
  <si>
    <t>Reconocen esfuerzo nacional durante Mundial de Futbol</t>
  </si>
  <si>
    <t>Hidalgo celebrará a sus pueblos originarios en Tlajtoli</t>
  </si>
  <si>
    <t>Detienen a presunto responsable de robo a casa habitación en Santa Julia</t>
  </si>
  <si>
    <t>Jugadores de Tuzos disputan el All Stars Game</t>
  </si>
  <si>
    <t>Prevenir está en nuestras manos</t>
  </si>
  <si>
    <t>Caasim</t>
  </si>
  <si>
    <t>Prevención de inundaciones</t>
  </si>
  <si>
    <t>Plaza Juárez</t>
  </si>
  <si>
    <t>Inauguran estación de bomberos y oificinas de Protección Civil</t>
  </si>
  <si>
    <t>Sheinbaum entrega reconocimientos por el plan Kulukán</t>
  </si>
  <si>
    <t>Editorial</t>
  </si>
  <si>
    <t>Apps de transporte</t>
  </si>
  <si>
    <t>Realizarán Festival de Pueblos originarios Tlajtoli</t>
  </si>
  <si>
    <t>13 muertos y decenas de heridos en Japón tras terremoto</t>
  </si>
  <si>
    <t>Sismo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</si>
</sst>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6" totalsRowShown="0" headerRowDxfId="5" headerRowBorderDxfId="4">
  <autoFilter ref="A1:J66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6"/>
  <sheetViews>
    <sheetView tabSelected="1" workbookViewId="0">
      <selection activeCell="A2" sqref="A2:H66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ht="30" x14ac:dyDescent="0.25">
      <c r="A2" s="11">
        <v>46232</v>
      </c>
      <c r="B2" t="s">
        <v>67</v>
      </c>
      <c r="C2" s="5" t="s">
        <v>90</v>
      </c>
      <c r="D2" t="s">
        <v>9</v>
      </c>
      <c r="E2" t="s">
        <v>24</v>
      </c>
      <c r="F2" t="s">
        <v>24</v>
      </c>
      <c r="G2" t="s">
        <v>91</v>
      </c>
      <c r="H2" t="s">
        <v>11</v>
      </c>
      <c r="I2" t="str">
        <f>_xlfn.XLOOKUP(Tabla1[[#This Row],[Dependencia]],Tabla2[Dependencia],Tabla2[Clasificación],"XXX",0)</f>
        <v>Gobierno del estado</v>
      </c>
      <c r="J2" t="str">
        <f>_xlfn.XLOOKUP(Tabla1[[#This Row],[Dependencia]],Tabla3[Dependencia],Tabla3[Nivel],"Otros",0)</f>
        <v>Gobernador</v>
      </c>
    </row>
    <row r="3" spans="1:10" x14ac:dyDescent="0.25">
      <c r="A3" s="11">
        <v>46232</v>
      </c>
      <c r="B3" t="s">
        <v>67</v>
      </c>
      <c r="C3" s="5" t="s">
        <v>92</v>
      </c>
      <c r="D3" t="s">
        <v>12</v>
      </c>
      <c r="E3" t="s">
        <v>16</v>
      </c>
      <c r="F3" t="s">
        <v>16</v>
      </c>
      <c r="G3" t="s">
        <v>93</v>
      </c>
      <c r="H3" t="s">
        <v>11</v>
      </c>
      <c r="I3" t="str">
        <f>_xlfn.XLOOKUP(Tabla1[[#This Row],[Dependencia]],Tabla2[Dependencia],Tabla2[Clasificación],"XXX",0)</f>
        <v>Alcaldías</v>
      </c>
      <c r="J3" t="str">
        <f>_xlfn.XLOOKUP(Tabla1[[#This Row],[Dependencia]],Tabla3[Dependencia],Tabla3[Nivel],"Otros",0)</f>
        <v>Otros</v>
      </c>
    </row>
    <row r="4" spans="1:10" x14ac:dyDescent="0.25">
      <c r="A4" s="11">
        <v>46232</v>
      </c>
      <c r="B4" t="s">
        <v>67</v>
      </c>
      <c r="C4" s="5" t="s">
        <v>94</v>
      </c>
      <c r="D4" t="s">
        <v>13</v>
      </c>
      <c r="E4" t="s">
        <v>47</v>
      </c>
      <c r="F4" t="s">
        <v>95</v>
      </c>
      <c r="G4" t="s">
        <v>96</v>
      </c>
      <c r="H4" t="s">
        <v>11</v>
      </c>
      <c r="I4" t="str">
        <f>_xlfn.XLOOKUP(Tabla1[[#This Row],[Dependencia]],Tabla2[Dependencia],Tabla2[Clasificación],"XXX",0)</f>
        <v>Gobierno del estado</v>
      </c>
      <c r="J4" t="str">
        <f>_xlfn.XLOOKUP(Tabla1[[#This Row],[Dependencia]],Tabla3[Dependencia],Tabla3[Nivel],"Otros",0)</f>
        <v>Gabinete</v>
      </c>
    </row>
    <row r="5" spans="1:10" x14ac:dyDescent="0.25">
      <c r="A5" s="11">
        <v>46232</v>
      </c>
      <c r="B5" t="s">
        <v>67</v>
      </c>
      <c r="C5" s="5" t="s">
        <v>97</v>
      </c>
      <c r="D5" t="s">
        <v>12</v>
      </c>
      <c r="E5" t="s">
        <v>14</v>
      </c>
      <c r="F5" t="s">
        <v>14</v>
      </c>
      <c r="G5" t="s">
        <v>88</v>
      </c>
      <c r="H5" t="s">
        <v>11</v>
      </c>
      <c r="I5" t="str">
        <f>_xlfn.XLOOKUP(Tabla1[[#This Row],[Dependencia]],Tabla2[Dependencia],Tabla2[Clasificación],"XXX",0)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25">
      <c r="A6" s="11">
        <v>46232</v>
      </c>
      <c r="B6" t="s">
        <v>67</v>
      </c>
      <c r="C6" s="5" t="s">
        <v>98</v>
      </c>
      <c r="D6" t="s">
        <v>12</v>
      </c>
      <c r="E6" t="s">
        <v>16</v>
      </c>
      <c r="F6" t="s">
        <v>16</v>
      </c>
      <c r="G6" t="s">
        <v>99</v>
      </c>
      <c r="H6" t="s">
        <v>73</v>
      </c>
      <c r="I6" t="str">
        <f>_xlfn.XLOOKUP(Tabla1[[#This Row],[Dependencia]],Tabla2[Dependencia],Tabla2[Clasificación],"XXX",0)</f>
        <v>Alcaldías</v>
      </c>
      <c r="J6" t="str">
        <f>_xlfn.XLOOKUP(Tabla1[[#This Row],[Dependencia]],Tabla3[Dependencia],Tabla3[Nivel],"Otros",0)</f>
        <v>Otros</v>
      </c>
    </row>
    <row r="7" spans="1:10" x14ac:dyDescent="0.25">
      <c r="A7" s="11">
        <v>46232</v>
      </c>
      <c r="B7" t="s">
        <v>75</v>
      </c>
      <c r="C7" s="5" t="s">
        <v>100</v>
      </c>
      <c r="D7" t="s">
        <v>9</v>
      </c>
      <c r="E7" t="s">
        <v>24</v>
      </c>
      <c r="F7" t="s">
        <v>24</v>
      </c>
      <c r="G7" t="s">
        <v>91</v>
      </c>
      <c r="H7" t="s">
        <v>11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Gobernador</v>
      </c>
    </row>
    <row r="8" spans="1:10" x14ac:dyDescent="0.25">
      <c r="A8" s="11">
        <v>46232</v>
      </c>
      <c r="B8" t="s">
        <v>75</v>
      </c>
      <c r="C8" s="5" t="s">
        <v>101</v>
      </c>
      <c r="D8" t="s">
        <v>13</v>
      </c>
      <c r="E8" t="s">
        <v>47</v>
      </c>
      <c r="F8" t="s">
        <v>95</v>
      </c>
      <c r="G8" t="s">
        <v>96</v>
      </c>
      <c r="H8" t="s">
        <v>11</v>
      </c>
      <c r="I8" t="str">
        <f>_xlfn.XLOOKUP(Tabla1[[#This Row],[Dependencia]],Tabla2[Dependencia],Tabla2[Clasificación],"XXX",0)</f>
        <v>Gobierno del estado</v>
      </c>
      <c r="J8" t="str">
        <f>_xlfn.XLOOKUP(Tabla1[[#This Row],[Dependencia]],Tabla3[Dependencia],Tabla3[Nivel],"Otros",0)</f>
        <v>Gabinete</v>
      </c>
    </row>
    <row r="9" spans="1:10" x14ac:dyDescent="0.25">
      <c r="A9" s="11">
        <v>46232</v>
      </c>
      <c r="B9" t="s">
        <v>75</v>
      </c>
      <c r="C9" s="5" t="s">
        <v>102</v>
      </c>
      <c r="D9" t="s">
        <v>12</v>
      </c>
      <c r="E9" t="s">
        <v>14</v>
      </c>
      <c r="F9" t="s">
        <v>14</v>
      </c>
      <c r="G9" t="s">
        <v>103</v>
      </c>
      <c r="H9" t="s">
        <v>11</v>
      </c>
      <c r="I9" t="str">
        <f>_xlfn.XLOOKUP(Tabla1[[#This Row],[Dependencia]],Tabla2[Dependencia],Tabla2[Clasificación],"XXX",0)</f>
        <v>Presidencia de la República</v>
      </c>
      <c r="J9" t="str">
        <f>_xlfn.XLOOKUP(Tabla1[[#This Row],[Dependencia]],Tabla3[Dependencia],Tabla3[Nivel],"Otros",0)</f>
        <v>Otros</v>
      </c>
    </row>
    <row r="10" spans="1:10" x14ac:dyDescent="0.25">
      <c r="A10" s="11">
        <v>46232</v>
      </c>
      <c r="B10" t="s">
        <v>75</v>
      </c>
      <c r="C10" s="5" t="s">
        <v>104</v>
      </c>
      <c r="D10" t="s">
        <v>12</v>
      </c>
      <c r="E10" t="s">
        <v>16</v>
      </c>
      <c r="F10" t="s">
        <v>16</v>
      </c>
      <c r="G10" t="s">
        <v>105</v>
      </c>
      <c r="H10" t="s">
        <v>11</v>
      </c>
      <c r="I10" t="str">
        <f>_xlfn.XLOOKUP(Tabla1[[#This Row],[Dependencia]],Tabla2[Dependencia],Tabla2[Clasificación],"XXX",0)</f>
        <v>Alcaldías</v>
      </c>
      <c r="J10" t="str">
        <f>_xlfn.XLOOKUP(Tabla1[[#This Row],[Dependencia]],Tabla3[Dependencia],Tabla3[Nivel],"Otros",0)</f>
        <v>Otros</v>
      </c>
    </row>
    <row r="11" spans="1:10" x14ac:dyDescent="0.25">
      <c r="A11" s="11">
        <v>46232</v>
      </c>
      <c r="B11" t="s">
        <v>75</v>
      </c>
      <c r="C11" s="5" t="s">
        <v>106</v>
      </c>
      <c r="D11" t="s">
        <v>12</v>
      </c>
      <c r="E11" t="s">
        <v>33</v>
      </c>
      <c r="F11" t="s">
        <v>33</v>
      </c>
      <c r="G11" t="s">
        <v>107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11">
        <v>46232</v>
      </c>
      <c r="B12" t="s">
        <v>76</v>
      </c>
      <c r="C12" s="5" t="s">
        <v>108</v>
      </c>
      <c r="D12" t="s">
        <v>12</v>
      </c>
      <c r="E12" t="s">
        <v>10</v>
      </c>
      <c r="F12" t="s">
        <v>10</v>
      </c>
      <c r="G12" t="s">
        <v>79</v>
      </c>
      <c r="H12" t="s">
        <v>11</v>
      </c>
      <c r="I12" t="str">
        <f>_xlfn.XLOOKUP(Tabla1[[#This Row],[Dependencia]],Tabla2[Dependencia],Tabla2[Clasificación],"XXX",0)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11">
        <v>46232</v>
      </c>
      <c r="B13" t="s">
        <v>76</v>
      </c>
      <c r="C13" s="5" t="s">
        <v>109</v>
      </c>
      <c r="D13" t="s">
        <v>12</v>
      </c>
      <c r="E13" t="s">
        <v>10</v>
      </c>
      <c r="F13" t="s">
        <v>10</v>
      </c>
      <c r="G13" t="s">
        <v>79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11">
        <v>46232</v>
      </c>
      <c r="B14" t="s">
        <v>76</v>
      </c>
      <c r="C14" s="5" t="s">
        <v>110</v>
      </c>
      <c r="D14" t="s">
        <v>13</v>
      </c>
      <c r="E14" t="s">
        <v>24</v>
      </c>
      <c r="F14" t="s">
        <v>24</v>
      </c>
      <c r="G14" t="s">
        <v>89</v>
      </c>
      <c r="H14" t="s">
        <v>68</v>
      </c>
      <c r="I14" t="str">
        <f>_xlfn.XLOOKUP(Tabla1[[#This Row],[Dependencia]],Tabla2[Dependencia],Tabla2[Clasificación],"XXX",0)</f>
        <v>Gobierno del estado</v>
      </c>
      <c r="J14" t="str">
        <f>_xlfn.XLOOKUP(Tabla1[[#This Row],[Dependencia]],Tabla3[Dependencia],Tabla3[Nivel],"Otros",0)</f>
        <v>Gobernador</v>
      </c>
    </row>
    <row r="15" spans="1:10" ht="30" x14ac:dyDescent="0.25">
      <c r="A15" s="11">
        <v>46232</v>
      </c>
      <c r="B15" t="s">
        <v>76</v>
      </c>
      <c r="C15" s="5" t="s">
        <v>111</v>
      </c>
      <c r="D15" t="s">
        <v>12</v>
      </c>
      <c r="E15" t="s">
        <v>33</v>
      </c>
      <c r="F15" t="s">
        <v>112</v>
      </c>
      <c r="G15" t="s">
        <v>113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ht="30" x14ac:dyDescent="0.25">
      <c r="A16" s="11">
        <v>46232</v>
      </c>
      <c r="B16" t="s">
        <v>76</v>
      </c>
      <c r="C16" s="5" t="s">
        <v>114</v>
      </c>
      <c r="D16" t="s">
        <v>12</v>
      </c>
      <c r="E16" t="s">
        <v>28</v>
      </c>
      <c r="F16" t="s">
        <v>115</v>
      </c>
      <c r="G16" t="s">
        <v>116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25">
      <c r="A17" s="11">
        <v>46232</v>
      </c>
      <c r="B17" t="s">
        <v>76</v>
      </c>
      <c r="C17" s="5" t="s">
        <v>117</v>
      </c>
      <c r="D17" t="s">
        <v>9</v>
      </c>
      <c r="E17" t="s">
        <v>24</v>
      </c>
      <c r="F17" t="s">
        <v>24</v>
      </c>
      <c r="G17" t="s">
        <v>91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Gobernador</v>
      </c>
    </row>
    <row r="18" spans="1:10" x14ac:dyDescent="0.25">
      <c r="A18" s="11">
        <v>46232</v>
      </c>
      <c r="B18" t="s">
        <v>76</v>
      </c>
      <c r="C18" s="5" t="s">
        <v>118</v>
      </c>
      <c r="D18" t="s">
        <v>12</v>
      </c>
      <c r="E18" t="s">
        <v>10</v>
      </c>
      <c r="F18" t="s">
        <v>10</v>
      </c>
      <c r="G18" t="s">
        <v>86</v>
      </c>
      <c r="H18" t="s">
        <v>68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ht="30" x14ac:dyDescent="0.25">
      <c r="A19" s="11">
        <v>46232</v>
      </c>
      <c r="B19" t="s">
        <v>74</v>
      </c>
      <c r="C19" s="5" t="s">
        <v>119</v>
      </c>
      <c r="D19" t="s">
        <v>13</v>
      </c>
      <c r="E19" t="s">
        <v>24</v>
      </c>
      <c r="F19" t="s">
        <v>24</v>
      </c>
      <c r="G19" t="s">
        <v>120</v>
      </c>
      <c r="H19" t="s">
        <v>68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Gobernador</v>
      </c>
    </row>
    <row r="20" spans="1:10" x14ac:dyDescent="0.25">
      <c r="A20" s="11">
        <v>46232</v>
      </c>
      <c r="B20" t="s">
        <v>74</v>
      </c>
      <c r="C20" s="5" t="s">
        <v>121</v>
      </c>
      <c r="D20" t="s">
        <v>12</v>
      </c>
      <c r="E20" t="s">
        <v>59</v>
      </c>
      <c r="F20" t="s">
        <v>59</v>
      </c>
      <c r="G20" t="s">
        <v>122</v>
      </c>
      <c r="H20" t="s">
        <v>11</v>
      </c>
      <c r="I20" t="str">
        <f>_xlfn.XLOOKUP(Tabla1[[#This Row],[Dependencia]],Tabla2[Dependencia],Tabla2[Clasificación],"XXX",0)</f>
        <v>Otros</v>
      </c>
      <c r="J20" t="str">
        <f>_xlfn.XLOOKUP(Tabla1[[#This Row],[Dependencia]],Tabla3[Dependencia],Tabla3[Nivel],"Otros",0)</f>
        <v>Otros</v>
      </c>
    </row>
    <row r="21" spans="1:10" x14ac:dyDescent="0.25">
      <c r="A21" s="11">
        <v>46232</v>
      </c>
      <c r="B21" t="s">
        <v>74</v>
      </c>
      <c r="C21" s="5" t="s">
        <v>123</v>
      </c>
      <c r="D21" t="s">
        <v>12</v>
      </c>
      <c r="E21" t="s">
        <v>21</v>
      </c>
      <c r="F21" t="s">
        <v>21</v>
      </c>
      <c r="G21" t="s">
        <v>124</v>
      </c>
      <c r="H21" t="s">
        <v>73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ht="30" x14ac:dyDescent="0.25">
      <c r="A22" s="11">
        <v>46232</v>
      </c>
      <c r="B22" t="s">
        <v>74</v>
      </c>
      <c r="C22" s="5" t="s">
        <v>125</v>
      </c>
      <c r="D22" t="s">
        <v>12</v>
      </c>
      <c r="E22" t="s">
        <v>15</v>
      </c>
      <c r="F22" t="s">
        <v>126</v>
      </c>
      <c r="G22" t="s">
        <v>127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25">
      <c r="A23" s="11">
        <v>46232</v>
      </c>
      <c r="B23" t="s">
        <v>74</v>
      </c>
      <c r="C23" s="5" t="s">
        <v>128</v>
      </c>
      <c r="D23" t="s">
        <v>9</v>
      </c>
      <c r="E23" t="s">
        <v>24</v>
      </c>
      <c r="F23" t="s">
        <v>24</v>
      </c>
      <c r="G23" t="s">
        <v>91</v>
      </c>
      <c r="H23" t="s">
        <v>68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Gobernador</v>
      </c>
    </row>
    <row r="24" spans="1:10" ht="30" x14ac:dyDescent="0.25">
      <c r="A24" s="11">
        <v>46232</v>
      </c>
      <c r="B24" t="s">
        <v>74</v>
      </c>
      <c r="C24" s="5" t="s">
        <v>129</v>
      </c>
      <c r="D24" t="s">
        <v>12</v>
      </c>
      <c r="E24" t="s">
        <v>14</v>
      </c>
      <c r="F24" t="s">
        <v>14</v>
      </c>
      <c r="G24" t="s">
        <v>130</v>
      </c>
      <c r="H24" t="s">
        <v>11</v>
      </c>
      <c r="I24" t="str">
        <f>_xlfn.XLOOKUP(Tabla1[[#This Row],[Dependencia]],Tabla2[Dependencia],Tabla2[Clasificación],"XXX",0)</f>
        <v>Presidencia de la República</v>
      </c>
      <c r="J24" t="str">
        <f>_xlfn.XLOOKUP(Tabla1[[#This Row],[Dependencia]],Tabla3[Dependencia],Tabla3[Nivel],"Otros",0)</f>
        <v>Otros</v>
      </c>
    </row>
    <row r="25" spans="1:10" x14ac:dyDescent="0.25">
      <c r="A25" s="11">
        <v>46232</v>
      </c>
      <c r="B25" t="s">
        <v>70</v>
      </c>
      <c r="C25" s="5" t="s">
        <v>131</v>
      </c>
      <c r="D25" t="s">
        <v>12</v>
      </c>
      <c r="E25" t="s">
        <v>28</v>
      </c>
      <c r="F25" t="s">
        <v>28</v>
      </c>
      <c r="G25" t="s">
        <v>116</v>
      </c>
      <c r="H25" t="s">
        <v>11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ht="30" x14ac:dyDescent="0.25">
      <c r="A26" s="11">
        <v>46232</v>
      </c>
      <c r="B26" t="s">
        <v>70</v>
      </c>
      <c r="C26" s="5" t="s">
        <v>132</v>
      </c>
      <c r="D26" t="s">
        <v>13</v>
      </c>
      <c r="E26" t="s">
        <v>47</v>
      </c>
      <c r="F26" t="s">
        <v>95</v>
      </c>
      <c r="G26" t="s">
        <v>96</v>
      </c>
      <c r="H26" t="s">
        <v>68</v>
      </c>
      <c r="I26" t="str">
        <f>_xlfn.XLOOKUP(Tabla1[[#This Row],[Dependencia]],Tabla2[Dependencia],Tabla2[Clasificación],"XXX",0)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25">
      <c r="A27" s="11">
        <v>46232</v>
      </c>
      <c r="B27" t="s">
        <v>70</v>
      </c>
      <c r="C27" s="5" t="s">
        <v>133</v>
      </c>
      <c r="D27" t="s">
        <v>12</v>
      </c>
      <c r="E27" t="s">
        <v>14</v>
      </c>
      <c r="F27" t="s">
        <v>14</v>
      </c>
      <c r="G27" t="s">
        <v>134</v>
      </c>
      <c r="H27" t="s">
        <v>11</v>
      </c>
      <c r="I27" t="str">
        <f>_xlfn.XLOOKUP(Tabla1[[#This Row],[Dependencia]],Tabla2[Dependencia],Tabla2[Clasificación],"XXX",0)</f>
        <v>Presidencia de la República</v>
      </c>
      <c r="J27" t="str">
        <f>_xlfn.XLOOKUP(Tabla1[[#This Row],[Dependencia]],Tabla3[Dependencia],Tabla3[Nivel],"Otros",0)</f>
        <v>Otros</v>
      </c>
    </row>
    <row r="28" spans="1:10" x14ac:dyDescent="0.25">
      <c r="A28" s="11">
        <v>46232</v>
      </c>
      <c r="B28" t="s">
        <v>70</v>
      </c>
      <c r="C28" s="5" t="s">
        <v>135</v>
      </c>
      <c r="D28" t="s">
        <v>12</v>
      </c>
      <c r="E28" t="s">
        <v>14</v>
      </c>
      <c r="F28" t="s">
        <v>14</v>
      </c>
      <c r="G28" t="s">
        <v>78</v>
      </c>
      <c r="H28" t="s">
        <v>11</v>
      </c>
      <c r="I28" t="str">
        <f>_xlfn.XLOOKUP(Tabla1[[#This Row],[Dependencia]],Tabla2[Dependencia],Tabla2[Clasificación],"XXX",0)</f>
        <v>Presidencia de la República</v>
      </c>
      <c r="J28" t="str">
        <f>_xlfn.XLOOKUP(Tabla1[[#This Row],[Dependencia]],Tabla3[Dependencia],Tabla3[Nivel],"Otros",0)</f>
        <v>Otros</v>
      </c>
    </row>
    <row r="29" spans="1:10" x14ac:dyDescent="0.25">
      <c r="A29" s="11">
        <v>46232</v>
      </c>
      <c r="B29" t="s">
        <v>70</v>
      </c>
      <c r="C29" s="5" t="s">
        <v>136</v>
      </c>
      <c r="D29" t="s">
        <v>9</v>
      </c>
      <c r="E29" t="s">
        <v>24</v>
      </c>
      <c r="F29" t="s">
        <v>24</v>
      </c>
      <c r="G29" t="s">
        <v>91</v>
      </c>
      <c r="H29" t="s">
        <v>11</v>
      </c>
      <c r="I29" t="str">
        <f>_xlfn.XLOOKUP(Tabla1[[#This Row],[Dependencia]],Tabla2[Dependencia],Tabla2[Clasificación],"XXX",0)</f>
        <v>Gobierno del estado</v>
      </c>
      <c r="J29" t="str">
        <f>_xlfn.XLOOKUP(Tabla1[[#This Row],[Dependencia]],Tabla3[Dependencia],Tabla3[Nivel],"Otros",0)</f>
        <v>Gobernador</v>
      </c>
    </row>
    <row r="30" spans="1:10" ht="90" x14ac:dyDescent="0.25">
      <c r="A30" s="11">
        <v>46232</v>
      </c>
      <c r="B30" t="s">
        <v>70</v>
      </c>
      <c r="C30" s="5" t="s">
        <v>137</v>
      </c>
      <c r="D30" t="s">
        <v>12</v>
      </c>
      <c r="E30" t="s">
        <v>10</v>
      </c>
      <c r="F30" t="s">
        <v>10</v>
      </c>
      <c r="G30" t="s">
        <v>138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ht="30" x14ac:dyDescent="0.25">
      <c r="A31" s="11">
        <v>46232</v>
      </c>
      <c r="B31" t="s">
        <v>69</v>
      </c>
      <c r="C31" s="5" t="s">
        <v>139</v>
      </c>
      <c r="D31" t="s">
        <v>13</v>
      </c>
      <c r="E31" t="s">
        <v>24</v>
      </c>
      <c r="F31" t="s">
        <v>24</v>
      </c>
      <c r="G31" t="s">
        <v>91</v>
      </c>
      <c r="H31" t="s">
        <v>68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Gobernador</v>
      </c>
    </row>
    <row r="32" spans="1:10" ht="30" x14ac:dyDescent="0.25">
      <c r="A32" s="11">
        <v>46232</v>
      </c>
      <c r="B32" t="s">
        <v>69</v>
      </c>
      <c r="C32" s="5" t="s">
        <v>140</v>
      </c>
      <c r="D32" t="s">
        <v>12</v>
      </c>
      <c r="E32" t="s">
        <v>33</v>
      </c>
      <c r="F32" t="s">
        <v>33</v>
      </c>
      <c r="G32" t="s">
        <v>107</v>
      </c>
      <c r="H32" t="s">
        <v>11</v>
      </c>
      <c r="I32" t="str">
        <f>_xlfn.XLOOKUP(Tabla1[[#This Row],[Dependencia]],Tabla2[Dependencia],Tabla2[Clasificación],"XXX",0)</f>
        <v>Otros</v>
      </c>
      <c r="J32" t="str">
        <f>_xlfn.XLOOKUP(Tabla1[[#This Row],[Dependencia]],Tabla3[Dependencia],Tabla3[Nivel],"Otros",0)</f>
        <v>Otros</v>
      </c>
    </row>
    <row r="33" spans="1:10" ht="30" x14ac:dyDescent="0.25">
      <c r="A33" s="11">
        <v>46232</v>
      </c>
      <c r="B33" t="s">
        <v>69</v>
      </c>
      <c r="C33" s="5" t="s">
        <v>141</v>
      </c>
      <c r="D33" t="s">
        <v>12</v>
      </c>
      <c r="E33" t="s">
        <v>28</v>
      </c>
      <c r="F33" t="s">
        <v>28</v>
      </c>
      <c r="G33" t="s">
        <v>116</v>
      </c>
      <c r="H33" t="s">
        <v>11</v>
      </c>
      <c r="I33" t="str">
        <f>_xlfn.XLOOKUP(Tabla1[[#This Row],[Dependencia]],Tabla2[Dependencia],Tabla2[Clasificación],"XXX",0)</f>
        <v>Gobierno del estado</v>
      </c>
      <c r="J33" t="str">
        <f>_xlfn.XLOOKUP(Tabla1[[#This Row],[Dependencia]],Tabla3[Dependencia],Tabla3[Nivel],"Otros",0)</f>
        <v>Gabinete</v>
      </c>
    </row>
    <row r="34" spans="1:10" ht="30" x14ac:dyDescent="0.25">
      <c r="A34" s="11">
        <v>46232</v>
      </c>
      <c r="B34" t="s">
        <v>69</v>
      </c>
      <c r="C34" s="5" t="s">
        <v>142</v>
      </c>
      <c r="D34" t="s">
        <v>12</v>
      </c>
      <c r="E34" t="s">
        <v>28</v>
      </c>
      <c r="F34" t="s">
        <v>28</v>
      </c>
      <c r="G34" t="s">
        <v>143</v>
      </c>
      <c r="H34" t="s">
        <v>11</v>
      </c>
      <c r="I34" t="str">
        <f>_xlfn.XLOOKUP(Tabla1[[#This Row],[Dependencia]],Tabla2[Dependencia],Tabla2[Clasificación],"XXX",0)</f>
        <v>Gobierno del estado</v>
      </c>
      <c r="J34" t="str">
        <f>_xlfn.XLOOKUP(Tabla1[[#This Row],[Dependencia]],Tabla3[Dependencia],Tabla3[Nivel],"Otros",0)</f>
        <v>Gabinete</v>
      </c>
    </row>
    <row r="35" spans="1:10" x14ac:dyDescent="0.25">
      <c r="A35" s="11">
        <v>46232</v>
      </c>
      <c r="B35" t="s">
        <v>69</v>
      </c>
      <c r="C35" s="5" t="s">
        <v>144</v>
      </c>
      <c r="D35" t="s">
        <v>12</v>
      </c>
      <c r="E35" t="s">
        <v>24</v>
      </c>
      <c r="F35" t="s">
        <v>24</v>
      </c>
      <c r="G35" t="s">
        <v>103</v>
      </c>
      <c r="H35" t="s">
        <v>68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Gobernador</v>
      </c>
    </row>
    <row r="36" spans="1:10" x14ac:dyDescent="0.25">
      <c r="A36" s="11">
        <v>46232</v>
      </c>
      <c r="B36" t="s">
        <v>69</v>
      </c>
      <c r="C36" s="5" t="s">
        <v>145</v>
      </c>
      <c r="D36" t="s">
        <v>12</v>
      </c>
      <c r="E36" t="s">
        <v>16</v>
      </c>
      <c r="F36" t="s">
        <v>146</v>
      </c>
      <c r="G36" t="s">
        <v>147</v>
      </c>
      <c r="H36" t="s">
        <v>11</v>
      </c>
      <c r="I36" t="str">
        <f>_xlfn.XLOOKUP(Tabla1[[#This Row],[Dependencia]],Tabla2[Dependencia],Tabla2[Clasificación],"XXX",0)</f>
        <v>Alcaldías</v>
      </c>
      <c r="J36" t="str">
        <f>_xlfn.XLOOKUP(Tabla1[[#This Row],[Dependencia]],Tabla3[Dependencia],Tabla3[Nivel],"Otros",0)</f>
        <v>Otros</v>
      </c>
    </row>
    <row r="37" spans="1:10" x14ac:dyDescent="0.25">
      <c r="A37" s="11">
        <v>46232</v>
      </c>
      <c r="B37" t="s">
        <v>69</v>
      </c>
      <c r="C37" s="5" t="s">
        <v>148</v>
      </c>
      <c r="D37" t="s">
        <v>13</v>
      </c>
      <c r="E37" t="s">
        <v>16</v>
      </c>
      <c r="F37" t="s">
        <v>16</v>
      </c>
      <c r="G37" t="s">
        <v>149</v>
      </c>
      <c r="H37" t="s">
        <v>11</v>
      </c>
      <c r="I37" t="str">
        <f>_xlfn.XLOOKUP(Tabla1[[#This Row],[Dependencia]],Tabla2[Dependencia],Tabla2[Clasificación],"XXX",0)</f>
        <v>Alcaldías</v>
      </c>
      <c r="J37" t="str">
        <f>_xlfn.XLOOKUP(Tabla1[[#This Row],[Dependencia]],Tabla3[Dependencia],Tabla3[Nivel],"Otros",0)</f>
        <v>Otros</v>
      </c>
    </row>
    <row r="38" spans="1:10" x14ac:dyDescent="0.25">
      <c r="A38" s="11">
        <v>46232</v>
      </c>
      <c r="B38" t="s">
        <v>69</v>
      </c>
      <c r="C38" s="5" t="s">
        <v>150</v>
      </c>
      <c r="D38" t="s">
        <v>12</v>
      </c>
      <c r="E38" t="s">
        <v>16</v>
      </c>
      <c r="F38" t="s">
        <v>16</v>
      </c>
      <c r="G38" t="s">
        <v>151</v>
      </c>
      <c r="H38" t="s">
        <v>11</v>
      </c>
      <c r="I38" t="str">
        <f>_xlfn.XLOOKUP(Tabla1[[#This Row],[Dependencia]],Tabla2[Dependencia],Tabla2[Clasificación],"XXX",0)</f>
        <v>Alcaldías</v>
      </c>
      <c r="J38" t="str">
        <f>_xlfn.XLOOKUP(Tabla1[[#This Row],[Dependencia]],Tabla3[Dependencia],Tabla3[Nivel],"Otros",0)</f>
        <v>Otros</v>
      </c>
    </row>
    <row r="39" spans="1:10" x14ac:dyDescent="0.25">
      <c r="A39" s="11">
        <v>46232</v>
      </c>
      <c r="B39" t="s">
        <v>69</v>
      </c>
      <c r="C39" s="5" t="s">
        <v>152</v>
      </c>
      <c r="D39" t="s">
        <v>12</v>
      </c>
      <c r="E39" t="s">
        <v>16</v>
      </c>
      <c r="F39" t="s">
        <v>16</v>
      </c>
      <c r="G39" t="s">
        <v>93</v>
      </c>
      <c r="H39" t="s">
        <v>11</v>
      </c>
      <c r="I39" t="str">
        <f>_xlfn.XLOOKUP(Tabla1[[#This Row],[Dependencia]],Tabla2[Dependencia],Tabla2[Clasificación],"XXX",0)</f>
        <v>Alcaldías</v>
      </c>
      <c r="J39" t="str">
        <f>_xlfn.XLOOKUP(Tabla1[[#This Row],[Dependencia]],Tabla3[Dependencia],Tabla3[Nivel],"Otros",0)</f>
        <v>Otros</v>
      </c>
    </row>
    <row r="40" spans="1:10" x14ac:dyDescent="0.25">
      <c r="A40" s="11">
        <v>46232</v>
      </c>
      <c r="B40" t="s">
        <v>69</v>
      </c>
      <c r="C40" s="5" t="s">
        <v>153</v>
      </c>
      <c r="D40" t="s">
        <v>12</v>
      </c>
      <c r="E40" t="s">
        <v>34</v>
      </c>
      <c r="F40" t="s">
        <v>34</v>
      </c>
      <c r="G40" t="s">
        <v>154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25">
      <c r="A41" s="11">
        <v>46232</v>
      </c>
      <c r="B41" t="s">
        <v>72</v>
      </c>
      <c r="C41" s="5" t="s">
        <v>155</v>
      </c>
      <c r="D41" t="s">
        <v>12</v>
      </c>
      <c r="E41" t="s">
        <v>16</v>
      </c>
      <c r="F41" t="s">
        <v>16</v>
      </c>
      <c r="G41" t="s">
        <v>143</v>
      </c>
      <c r="H41" t="s">
        <v>11</v>
      </c>
      <c r="I41" t="str">
        <f>_xlfn.XLOOKUP(Tabla1[[#This Row],[Dependencia]],Tabla2[Dependencia],Tabla2[Clasificación],"XXX",0)</f>
        <v>Alcaldías</v>
      </c>
      <c r="J41" t="str">
        <f>_xlfn.XLOOKUP(Tabla1[[#This Row],[Dependencia]],Tabla3[Dependencia],Tabla3[Nivel],"Otros",0)</f>
        <v>Otros</v>
      </c>
    </row>
    <row r="42" spans="1:10" x14ac:dyDescent="0.25">
      <c r="A42" s="11">
        <v>46232</v>
      </c>
      <c r="B42" t="s">
        <v>72</v>
      </c>
      <c r="C42" s="5" t="s">
        <v>156</v>
      </c>
      <c r="D42" t="s">
        <v>12</v>
      </c>
      <c r="E42" t="s">
        <v>16</v>
      </c>
      <c r="F42" t="s">
        <v>157</v>
      </c>
      <c r="G42" t="s">
        <v>105</v>
      </c>
      <c r="H42" t="s">
        <v>11</v>
      </c>
      <c r="I42" t="str">
        <f>_xlfn.XLOOKUP(Tabla1[[#This Row],[Dependencia]],Tabla2[Dependencia],Tabla2[Clasificación],"XXX",0)</f>
        <v>Alcaldías</v>
      </c>
      <c r="J42" t="str">
        <f>_xlfn.XLOOKUP(Tabla1[[#This Row],[Dependencia]],Tabla3[Dependencia],Tabla3[Nivel],"Otros",0)</f>
        <v>Otros</v>
      </c>
    </row>
    <row r="43" spans="1:10" ht="30" x14ac:dyDescent="0.25">
      <c r="A43" s="11">
        <v>46232</v>
      </c>
      <c r="B43" t="s">
        <v>72</v>
      </c>
      <c r="C43" s="5" t="s">
        <v>158</v>
      </c>
      <c r="D43" t="s">
        <v>13</v>
      </c>
      <c r="E43" t="s">
        <v>24</v>
      </c>
      <c r="F43" t="s">
        <v>24</v>
      </c>
      <c r="G43" t="s">
        <v>85</v>
      </c>
      <c r="H43" t="s">
        <v>68</v>
      </c>
      <c r="I43" t="str">
        <f>_xlfn.XLOOKUP(Tabla1[[#This Row],[Dependencia]],Tabla2[Dependencia],Tabla2[Clasificación],"XXX",0)</f>
        <v>Gobierno del estado</v>
      </c>
      <c r="J43" t="str">
        <f>_xlfn.XLOOKUP(Tabla1[[#This Row],[Dependencia]],Tabla3[Dependencia],Tabla3[Nivel],"Otros",0)</f>
        <v>Gobernador</v>
      </c>
    </row>
    <row r="44" spans="1:10" x14ac:dyDescent="0.25">
      <c r="A44" s="11">
        <v>46232</v>
      </c>
      <c r="B44" t="s">
        <v>72</v>
      </c>
      <c r="C44" s="5" t="s">
        <v>159</v>
      </c>
      <c r="D44" t="s">
        <v>12</v>
      </c>
      <c r="E44" t="s">
        <v>24</v>
      </c>
      <c r="F44" t="s">
        <v>24</v>
      </c>
      <c r="G44" t="s">
        <v>91</v>
      </c>
      <c r="H44" t="s">
        <v>11</v>
      </c>
      <c r="I44" t="str">
        <f>_xlfn.XLOOKUP(Tabla1[[#This Row],[Dependencia]],Tabla2[Dependencia],Tabla2[Clasificación],"XXX",0)</f>
        <v>Gobierno del estado</v>
      </c>
      <c r="J44" t="str">
        <f>_xlfn.XLOOKUP(Tabla1[[#This Row],[Dependencia]],Tabla3[Dependencia],Tabla3[Nivel],"Otros",0)</f>
        <v>Gobernador</v>
      </c>
    </row>
    <row r="45" spans="1:10" x14ac:dyDescent="0.25">
      <c r="A45" s="11">
        <v>46232</v>
      </c>
      <c r="B45" t="s">
        <v>72</v>
      </c>
      <c r="C45" s="5" t="s">
        <v>160</v>
      </c>
      <c r="D45" t="s">
        <v>12</v>
      </c>
      <c r="E45" t="s">
        <v>33</v>
      </c>
      <c r="F45" t="s">
        <v>161</v>
      </c>
      <c r="G45" t="s">
        <v>89</v>
      </c>
      <c r="H45" t="s">
        <v>68</v>
      </c>
      <c r="I45" t="str">
        <f>_xlfn.XLOOKUP(Tabla1[[#This Row],[Dependencia]],Tabla2[Dependencia],Tabla2[Clasificación],"XXX",0)</f>
        <v>Otros</v>
      </c>
      <c r="J45" t="str">
        <f>_xlfn.XLOOKUP(Tabla1[[#This Row],[Dependencia]],Tabla3[Dependencia],Tabla3[Nivel],"Otros",0)</f>
        <v>Otros</v>
      </c>
    </row>
    <row r="46" spans="1:10" ht="30" x14ac:dyDescent="0.25">
      <c r="A46" s="11">
        <v>46232</v>
      </c>
      <c r="B46" t="s">
        <v>72</v>
      </c>
      <c r="C46" s="5" t="s">
        <v>162</v>
      </c>
      <c r="D46" t="s">
        <v>12</v>
      </c>
      <c r="E46" t="s">
        <v>47</v>
      </c>
      <c r="F46" t="s">
        <v>95</v>
      </c>
      <c r="G46" t="s">
        <v>96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25">
      <c r="A47" s="11">
        <v>46232</v>
      </c>
      <c r="B47" t="s">
        <v>163</v>
      </c>
      <c r="C47" s="5" t="s">
        <v>164</v>
      </c>
      <c r="D47" t="s">
        <v>165</v>
      </c>
      <c r="E47" t="s">
        <v>16</v>
      </c>
      <c r="F47" t="s">
        <v>16</v>
      </c>
      <c r="G47" t="s">
        <v>166</v>
      </c>
      <c r="H47" t="s">
        <v>11</v>
      </c>
      <c r="I47" t="str">
        <f>_xlfn.XLOOKUP(Tabla1[[#This Row],[Dependencia]],Tabla2[Dependencia],Tabla2[Clasificación],"XXX",0)</f>
        <v>Alcaldías</v>
      </c>
      <c r="J47" t="str">
        <f>_xlfn.XLOOKUP(Tabla1[[#This Row],[Dependencia]],Tabla3[Dependencia],Tabla3[Nivel],"Otros",0)</f>
        <v>Otros</v>
      </c>
    </row>
    <row r="48" spans="1:10" ht="30" x14ac:dyDescent="0.25">
      <c r="A48" s="11">
        <v>46232</v>
      </c>
      <c r="B48" t="s">
        <v>163</v>
      </c>
      <c r="C48" s="5" t="s">
        <v>167</v>
      </c>
      <c r="D48" t="s">
        <v>12</v>
      </c>
      <c r="E48" t="s">
        <v>16</v>
      </c>
      <c r="F48" t="s">
        <v>87</v>
      </c>
      <c r="G48" t="s">
        <v>81</v>
      </c>
      <c r="H48" t="s">
        <v>11</v>
      </c>
      <c r="I48" t="str">
        <f>_xlfn.XLOOKUP(Tabla1[[#This Row],[Dependencia]],Tabla2[Dependencia],Tabla2[Clasificación],"XXX",0)</f>
        <v>Alcaldías</v>
      </c>
      <c r="J48" t="str">
        <f>_xlfn.XLOOKUP(Tabla1[[#This Row],[Dependencia]],Tabla3[Dependencia],Tabla3[Nivel],"Otros",0)</f>
        <v>Otros</v>
      </c>
    </row>
    <row r="49" spans="1:10" ht="30" x14ac:dyDescent="0.25">
      <c r="A49" s="11">
        <v>46232</v>
      </c>
      <c r="B49" t="s">
        <v>163</v>
      </c>
      <c r="C49" s="5" t="s">
        <v>168</v>
      </c>
      <c r="D49" t="s">
        <v>13</v>
      </c>
      <c r="E49" t="s">
        <v>24</v>
      </c>
      <c r="F49" t="s">
        <v>24</v>
      </c>
      <c r="G49" t="s">
        <v>103</v>
      </c>
      <c r="H49" t="s">
        <v>68</v>
      </c>
      <c r="I49" t="str">
        <f>_xlfn.XLOOKUP(Tabla1[[#This Row],[Dependencia]],Tabla2[Dependencia],Tabla2[Clasificación],"XXX",0)</f>
        <v>Gobierno del estado</v>
      </c>
      <c r="J49" t="str">
        <f>_xlfn.XLOOKUP(Tabla1[[#This Row],[Dependencia]],Tabla3[Dependencia],Tabla3[Nivel],"Otros",0)</f>
        <v>Gobernador</v>
      </c>
    </row>
    <row r="50" spans="1:10" ht="30" x14ac:dyDescent="0.25">
      <c r="A50" s="11">
        <v>46232</v>
      </c>
      <c r="B50" t="s">
        <v>163</v>
      </c>
      <c r="C50" s="5" t="s">
        <v>169</v>
      </c>
      <c r="D50" t="s">
        <v>12</v>
      </c>
      <c r="E50" t="s">
        <v>24</v>
      </c>
      <c r="F50" t="s">
        <v>24</v>
      </c>
      <c r="G50" t="s">
        <v>91</v>
      </c>
      <c r="H50" t="s">
        <v>68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Gobernador</v>
      </c>
    </row>
    <row r="51" spans="1:10" ht="30" x14ac:dyDescent="0.25">
      <c r="A51" s="11">
        <v>46232</v>
      </c>
      <c r="B51" t="s">
        <v>163</v>
      </c>
      <c r="C51" s="5" t="s">
        <v>170</v>
      </c>
      <c r="D51" t="s">
        <v>12</v>
      </c>
      <c r="E51" t="s">
        <v>34</v>
      </c>
      <c r="F51" t="s">
        <v>34</v>
      </c>
      <c r="G51" t="s">
        <v>154</v>
      </c>
      <c r="H51" t="s">
        <v>68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Gabinete</v>
      </c>
    </row>
    <row r="52" spans="1:10" ht="30" x14ac:dyDescent="0.25">
      <c r="A52" s="11">
        <v>46232</v>
      </c>
      <c r="B52" t="s">
        <v>163</v>
      </c>
      <c r="C52" s="5" t="s">
        <v>171</v>
      </c>
      <c r="D52" t="s">
        <v>12</v>
      </c>
      <c r="E52" t="s">
        <v>16</v>
      </c>
      <c r="F52" t="s">
        <v>16</v>
      </c>
      <c r="G52" t="s">
        <v>172</v>
      </c>
      <c r="H52" t="s">
        <v>11</v>
      </c>
      <c r="I52" t="str">
        <f>_xlfn.XLOOKUP(Tabla1[[#This Row],[Dependencia]],Tabla2[Dependencia],Tabla2[Clasificación],"XXX",0)</f>
        <v>Alcaldías</v>
      </c>
      <c r="J52" t="str">
        <f>_xlfn.XLOOKUP(Tabla1[[#This Row],[Dependencia]],Tabla3[Dependencia],Tabla3[Nivel],"Otros",0)</f>
        <v>Otros</v>
      </c>
    </row>
    <row r="53" spans="1:10" ht="45" x14ac:dyDescent="0.25">
      <c r="A53" s="11">
        <v>46232</v>
      </c>
      <c r="B53" t="s">
        <v>163</v>
      </c>
      <c r="C53" s="5" t="s">
        <v>173</v>
      </c>
      <c r="D53" t="s">
        <v>12</v>
      </c>
      <c r="E53" t="s">
        <v>16</v>
      </c>
      <c r="F53" t="s">
        <v>16</v>
      </c>
      <c r="G53" t="s">
        <v>174</v>
      </c>
      <c r="H53" t="s">
        <v>11</v>
      </c>
      <c r="I53" t="str">
        <f>_xlfn.XLOOKUP(Tabla1[[#This Row],[Dependencia]],Tabla2[Dependencia],Tabla2[Clasificación],"XXX",0)</f>
        <v>Alcaldías</v>
      </c>
      <c r="J53" t="str">
        <f>_xlfn.XLOOKUP(Tabla1[[#This Row],[Dependencia]],Tabla3[Dependencia],Tabla3[Nivel],"Otros",0)</f>
        <v>Otros</v>
      </c>
    </row>
    <row r="54" spans="1:10" x14ac:dyDescent="0.25">
      <c r="A54" s="11">
        <v>46232</v>
      </c>
      <c r="B54" t="s">
        <v>163</v>
      </c>
      <c r="C54" s="5" t="s">
        <v>175</v>
      </c>
      <c r="D54" t="s">
        <v>82</v>
      </c>
      <c r="E54" t="s">
        <v>29</v>
      </c>
      <c r="F54" t="s">
        <v>29</v>
      </c>
      <c r="G54" t="s">
        <v>176</v>
      </c>
      <c r="H54" t="s">
        <v>11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11">
        <v>46232</v>
      </c>
      <c r="B55" t="s">
        <v>77</v>
      </c>
      <c r="C55" s="5" t="s">
        <v>177</v>
      </c>
      <c r="D55" t="s">
        <v>13</v>
      </c>
      <c r="E55" t="s">
        <v>24</v>
      </c>
      <c r="F55" t="s">
        <v>24</v>
      </c>
      <c r="G55" t="s">
        <v>91</v>
      </c>
      <c r="H55" t="s">
        <v>68</v>
      </c>
      <c r="I55" t="str">
        <f>_xlfn.XLOOKUP(Tabla1[[#This Row],[Dependencia]],Tabla2[Dependencia],Tabla2[Clasificación],"XXX",0)</f>
        <v>Gobierno del estado</v>
      </c>
      <c r="J55" t="str">
        <f>_xlfn.XLOOKUP(Tabla1[[#This Row],[Dependencia]],Tabla3[Dependencia],Tabla3[Nivel],"Otros",0)</f>
        <v>Gobernador</v>
      </c>
    </row>
    <row r="56" spans="1:10" ht="30" x14ac:dyDescent="0.25">
      <c r="A56" s="11">
        <v>46232</v>
      </c>
      <c r="B56" t="s">
        <v>77</v>
      </c>
      <c r="C56" s="5" t="s">
        <v>178</v>
      </c>
      <c r="D56" t="s">
        <v>12</v>
      </c>
      <c r="E56" t="s">
        <v>14</v>
      </c>
      <c r="F56" t="s">
        <v>14</v>
      </c>
      <c r="G56" t="s">
        <v>103</v>
      </c>
      <c r="H56" t="s">
        <v>11</v>
      </c>
      <c r="I56" t="str">
        <f>_xlfn.XLOOKUP(Tabla1[[#This Row],[Dependencia]],Tabla2[Dependencia],Tabla2[Clasificación],"XXX",0)</f>
        <v>Presidencia de la República</v>
      </c>
      <c r="J56" t="str">
        <f>_xlfn.XLOOKUP(Tabla1[[#This Row],[Dependencia]],Tabla3[Dependencia],Tabla3[Nivel],"Otros",0)</f>
        <v>Otros</v>
      </c>
    </row>
    <row r="57" spans="1:10" x14ac:dyDescent="0.25">
      <c r="A57" s="11">
        <v>46232</v>
      </c>
      <c r="B57" t="s">
        <v>77</v>
      </c>
      <c r="C57" s="5" t="s">
        <v>179</v>
      </c>
      <c r="D57" t="s">
        <v>12</v>
      </c>
      <c r="E57" t="s">
        <v>28</v>
      </c>
      <c r="F57" t="s">
        <v>28</v>
      </c>
      <c r="G57" t="s">
        <v>143</v>
      </c>
      <c r="H57" t="s">
        <v>11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Gabinete</v>
      </c>
    </row>
    <row r="58" spans="1:10" ht="30" x14ac:dyDescent="0.25">
      <c r="A58" s="11">
        <v>46232</v>
      </c>
      <c r="B58" t="s">
        <v>77</v>
      </c>
      <c r="C58" s="5" t="s">
        <v>180</v>
      </c>
      <c r="D58" t="s">
        <v>12</v>
      </c>
      <c r="E58" t="s">
        <v>16</v>
      </c>
      <c r="F58" t="s">
        <v>87</v>
      </c>
      <c r="G58" t="s">
        <v>81</v>
      </c>
      <c r="H58" t="s">
        <v>11</v>
      </c>
      <c r="I58" t="str">
        <f>_xlfn.XLOOKUP(Tabla1[[#This Row],[Dependencia]],Tabla2[Dependencia],Tabla2[Clasificación],"XXX",0)</f>
        <v>Alcaldías</v>
      </c>
      <c r="J58" t="str">
        <f>_xlfn.XLOOKUP(Tabla1[[#This Row],[Dependencia]],Tabla3[Dependencia],Tabla3[Nivel],"Otros",0)</f>
        <v>Otros</v>
      </c>
    </row>
    <row r="59" spans="1:10" x14ac:dyDescent="0.25">
      <c r="A59" s="11">
        <v>46232</v>
      </c>
      <c r="B59" t="s">
        <v>77</v>
      </c>
      <c r="C59" s="5" t="s">
        <v>181</v>
      </c>
      <c r="D59" t="s">
        <v>12</v>
      </c>
      <c r="E59" t="s">
        <v>10</v>
      </c>
      <c r="F59" t="s">
        <v>10</v>
      </c>
      <c r="G59" t="s">
        <v>79</v>
      </c>
      <c r="H59" t="s">
        <v>11</v>
      </c>
      <c r="I59" t="str">
        <f>_xlfn.XLOOKUP(Tabla1[[#This Row],[Dependencia]],Tabla2[Dependencia],Tabla2[Clasificación],"XXX",0)</f>
        <v>Otros</v>
      </c>
      <c r="J59" t="str">
        <f>_xlfn.XLOOKUP(Tabla1[[#This Row],[Dependencia]],Tabla3[Dependencia],Tabla3[Nivel],"Otros",0)</f>
        <v>Otros</v>
      </c>
    </row>
    <row r="60" spans="1:10" x14ac:dyDescent="0.25">
      <c r="A60" s="11">
        <v>46232</v>
      </c>
      <c r="B60" t="s">
        <v>77</v>
      </c>
      <c r="C60" s="5" t="s">
        <v>182</v>
      </c>
      <c r="D60" t="s">
        <v>82</v>
      </c>
      <c r="E60" t="s">
        <v>80</v>
      </c>
      <c r="F60" t="s">
        <v>183</v>
      </c>
      <c r="G60" t="s">
        <v>184</v>
      </c>
      <c r="H60" t="s">
        <v>11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25">
      <c r="A61" s="11">
        <v>46232</v>
      </c>
      <c r="B61" t="s">
        <v>77</v>
      </c>
      <c r="C61" s="5" t="s">
        <v>83</v>
      </c>
      <c r="D61" t="s">
        <v>82</v>
      </c>
      <c r="E61" t="s">
        <v>16</v>
      </c>
      <c r="F61" t="s">
        <v>16</v>
      </c>
      <c r="G61" t="s">
        <v>84</v>
      </c>
      <c r="H61" t="s">
        <v>11</v>
      </c>
      <c r="I61" t="str">
        <f>_xlfn.XLOOKUP(Tabla1[[#This Row],[Dependencia]],Tabla2[Dependencia],Tabla2[Clasificación],"XXX",0)</f>
        <v>Alcaldías</v>
      </c>
      <c r="J61" t="str">
        <f>_xlfn.XLOOKUP(Tabla1[[#This Row],[Dependencia]],Tabla3[Dependencia],Tabla3[Nivel],"Otros",0)</f>
        <v>Otros</v>
      </c>
    </row>
    <row r="62" spans="1:10" ht="30" x14ac:dyDescent="0.25">
      <c r="A62" s="11">
        <v>46232</v>
      </c>
      <c r="B62" t="s">
        <v>185</v>
      </c>
      <c r="C62" s="5" t="s">
        <v>186</v>
      </c>
      <c r="D62" t="s">
        <v>13</v>
      </c>
      <c r="E62" t="s">
        <v>24</v>
      </c>
      <c r="F62" t="s">
        <v>24</v>
      </c>
      <c r="G62" t="s">
        <v>91</v>
      </c>
      <c r="H62" t="s">
        <v>11</v>
      </c>
      <c r="I62" t="str">
        <f>_xlfn.XLOOKUP(Tabla1[[#This Row],[Dependencia]],Tabla2[Dependencia],Tabla2[Clasificación],"XXX",0)</f>
        <v>Gobierno del estado</v>
      </c>
      <c r="J62" t="str">
        <f>_xlfn.XLOOKUP(Tabla1[[#This Row],[Dependencia]],Tabla3[Dependencia],Tabla3[Nivel],"Otros",0)</f>
        <v>Gobernador</v>
      </c>
    </row>
    <row r="63" spans="1:10" ht="30" x14ac:dyDescent="0.25">
      <c r="A63" s="11">
        <v>46232</v>
      </c>
      <c r="B63" t="s">
        <v>185</v>
      </c>
      <c r="C63" s="5" t="s">
        <v>187</v>
      </c>
      <c r="D63" t="s">
        <v>12</v>
      </c>
      <c r="E63" t="s">
        <v>14</v>
      </c>
      <c r="F63" t="s">
        <v>14</v>
      </c>
      <c r="G63" t="s">
        <v>103</v>
      </c>
      <c r="H63" t="s">
        <v>11</v>
      </c>
      <c r="I63" t="str">
        <f>_xlfn.XLOOKUP(Tabla1[[#This Row],[Dependencia]],Tabla2[Dependencia],Tabla2[Clasificación],"XXX",0)</f>
        <v>Presidencia de la República</v>
      </c>
      <c r="J63" t="str">
        <f>_xlfn.XLOOKUP(Tabla1[[#This Row],[Dependencia]],Tabla3[Dependencia],Tabla3[Nivel],"Otros",0)</f>
        <v>Otros</v>
      </c>
    </row>
    <row r="64" spans="1:10" ht="90" x14ac:dyDescent="0.25">
      <c r="A64" s="11">
        <v>46232</v>
      </c>
      <c r="B64" t="s">
        <v>185</v>
      </c>
      <c r="C64" s="5" t="s">
        <v>137</v>
      </c>
      <c r="D64" t="s">
        <v>188</v>
      </c>
      <c r="E64" t="s">
        <v>27</v>
      </c>
      <c r="F64" t="s">
        <v>27</v>
      </c>
      <c r="G64" t="s">
        <v>189</v>
      </c>
      <c r="H64" t="s">
        <v>73</v>
      </c>
      <c r="I64" t="str">
        <f>_xlfn.XLOOKUP(Tabla1[[#This Row],[Dependencia]],Tabla2[Dependencia],Tabla2[Clasificación],"XXX",0)</f>
        <v>Gobierno del estado</v>
      </c>
      <c r="J64" t="str">
        <f>_xlfn.XLOOKUP(Tabla1[[#This Row],[Dependencia]],Tabla3[Dependencia],Tabla3[Nivel],"Otros",0)</f>
        <v>Gabinete</v>
      </c>
    </row>
    <row r="65" spans="1:10" x14ac:dyDescent="0.25">
      <c r="A65" s="11">
        <v>46232</v>
      </c>
      <c r="B65" t="s">
        <v>185</v>
      </c>
      <c r="C65" s="5" t="s">
        <v>190</v>
      </c>
      <c r="D65" t="s">
        <v>12</v>
      </c>
      <c r="E65" t="s">
        <v>28</v>
      </c>
      <c r="F65" t="s">
        <v>28</v>
      </c>
      <c r="G65" t="s">
        <v>143</v>
      </c>
      <c r="H65" t="s">
        <v>11</v>
      </c>
      <c r="I65" t="str">
        <f>_xlfn.XLOOKUP(Tabla1[[#This Row],[Dependencia]],Tabla2[Dependencia],Tabla2[Clasificación],"XXX",0)</f>
        <v>Gobierno del estado</v>
      </c>
      <c r="J65" t="str">
        <f>_xlfn.XLOOKUP(Tabla1[[#This Row],[Dependencia]],Tabla3[Dependencia],Tabla3[Nivel],"Otros",0)</f>
        <v>Gabinete</v>
      </c>
    </row>
    <row r="66" spans="1:10" ht="30" x14ac:dyDescent="0.25">
      <c r="A66" s="11">
        <v>46232</v>
      </c>
      <c r="B66" t="s">
        <v>185</v>
      </c>
      <c r="C66" s="5" t="s">
        <v>191</v>
      </c>
      <c r="D66" t="s">
        <v>12</v>
      </c>
      <c r="E66" t="s">
        <v>10</v>
      </c>
      <c r="F66" t="s">
        <v>10</v>
      </c>
      <c r="G66" t="s">
        <v>192</v>
      </c>
      <c r="H66" t="s">
        <v>73</v>
      </c>
      <c r="I66" t="str">
        <f>_xlfn.XLOOKUP(Tabla1[[#This Row],[Dependencia]],Tabla2[Dependencia],Tabla2[Clasificación],"XXX",0)</f>
        <v>Otros</v>
      </c>
      <c r="J66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7" t="s">
        <v>4</v>
      </c>
      <c r="E1" t="s">
        <v>65</v>
      </c>
    </row>
    <row r="2" spans="1:5" x14ac:dyDescent="0.25">
      <c r="A2" t="s">
        <v>61</v>
      </c>
      <c r="B2" t="s">
        <v>62</v>
      </c>
      <c r="D2" s="9" t="s">
        <v>19</v>
      </c>
      <c r="E2" t="s">
        <v>66</v>
      </c>
    </row>
    <row r="3" spans="1:5" x14ac:dyDescent="0.25">
      <c r="A3" t="s">
        <v>16</v>
      </c>
      <c r="B3" t="s">
        <v>31</v>
      </c>
      <c r="D3" s="8" t="s">
        <v>71</v>
      </c>
      <c r="E3" t="s">
        <v>66</v>
      </c>
    </row>
    <row r="4" spans="1:5" x14ac:dyDescent="0.25">
      <c r="A4" t="s">
        <v>19</v>
      </c>
      <c r="B4" t="s">
        <v>32</v>
      </c>
      <c r="D4" s="8" t="s">
        <v>34</v>
      </c>
      <c r="E4" t="s">
        <v>66</v>
      </c>
    </row>
    <row r="5" spans="1:5" x14ac:dyDescent="0.25">
      <c r="A5" t="s">
        <v>60</v>
      </c>
      <c r="B5" t="s">
        <v>10</v>
      </c>
      <c r="D5" s="9" t="s">
        <v>28</v>
      </c>
      <c r="E5" t="s">
        <v>66</v>
      </c>
    </row>
    <row r="6" spans="1:5" x14ac:dyDescent="0.25">
      <c r="A6" t="s">
        <v>71</v>
      </c>
      <c r="B6" t="s">
        <v>32</v>
      </c>
      <c r="D6" s="9" t="s">
        <v>35</v>
      </c>
      <c r="E6" t="s">
        <v>66</v>
      </c>
    </row>
    <row r="7" spans="1:5" x14ac:dyDescent="0.25">
      <c r="A7" t="s">
        <v>33</v>
      </c>
      <c r="B7" t="s">
        <v>10</v>
      </c>
      <c r="D7" s="8" t="s">
        <v>36</v>
      </c>
      <c r="E7" t="s">
        <v>66</v>
      </c>
    </row>
    <row r="8" spans="1:5" x14ac:dyDescent="0.25">
      <c r="A8" t="s">
        <v>34</v>
      </c>
      <c r="B8" t="s">
        <v>32</v>
      </c>
      <c r="D8" s="8" t="s">
        <v>36</v>
      </c>
      <c r="E8" t="s">
        <v>66</v>
      </c>
    </row>
    <row r="9" spans="1:5" x14ac:dyDescent="0.25">
      <c r="A9" t="s">
        <v>28</v>
      </c>
      <c r="B9" t="s">
        <v>32</v>
      </c>
      <c r="D9" s="8" t="s">
        <v>37</v>
      </c>
      <c r="E9" t="s">
        <v>66</v>
      </c>
    </row>
    <row r="10" spans="1:5" x14ac:dyDescent="0.2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2026-07-29T16:30:36Z</dcterms:modified>
</cp:coreProperties>
</file>