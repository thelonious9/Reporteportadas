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DF62D305-BABE-4A0D-964F-60FEA90173C1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I2" i="1"/>
  <c r="J2" i="1"/>
</calcChain>
</file>

<file path=xl/sharedStrings.xml><?xml version="1.0" encoding="utf-8"?>
<sst xmlns="http://schemas.openxmlformats.org/spreadsheetml/2006/main" count="657" uniqueCount="196">
  <si>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</si>
  <si>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</si>
  <si>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</si>
  <si>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</si>
  <si>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</si>
  <si>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</si>
  <si>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</si>
  <si>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</si>
  <si>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</si>
  <si>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</si>
  <si>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</si>
  <si>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</si>
  <si>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</si>
  <si>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</si>
  <si>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</si>
  <si>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</si>
  <si>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</si>
  <si>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</si>
  <si>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</si>
  <si>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</si>
  <si>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</si>
  <si>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</si>
  <si>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</si>
  <si>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</si>
  <si>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</si>
  <si>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</si>
  <si>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</si>
  <si>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</si>
  <si>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</si>
  <si>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</si>
  <si>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</si>
  <si>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</si>
  <si>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</si>
  <si>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</si>
  <si>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</si>
  <si>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</si>
  <si>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</si>
  <si>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</si>
  <si>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</si>
  <si>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</si>
  <si>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</si>
  <si>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</si>
  <si>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</si>
  <si>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</si>
  <si>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</si>
  <si>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</si>
  <si>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</si>
  <si>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</si>
  <si>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</si>
  <si>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</si>
  <si>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</si>
  <si>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</si>
  <si>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</si>
  <si>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</si>
  <si>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</si>
  <si>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</si>
  <si>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</si>
  <si>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</si>
  <si>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</si>
  <si>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</si>
  <si>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</si>
  <si>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</si>
  <si>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</si>
  <si>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</si>
  <si>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</si>
  <si>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</si>
  <si>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</si>
  <si>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</si>
  <si>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</si>
  <si>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</si>
  <si>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</si>
  <si>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</si>
  <si>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</si>
  <si>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Pachuca Brilla</t>
  </si>
  <si>
    <t>La Jornada Hidalgo</t>
  </si>
  <si>
    <t>OCSAD</t>
  </si>
  <si>
    <t>Mundial De Futbol</t>
  </si>
  <si>
    <t>El Universal Hidalgo</t>
  </si>
  <si>
    <t>Effetá</t>
  </si>
  <si>
    <t>Alcalde</t>
  </si>
  <si>
    <t>Plaza Juárez</t>
  </si>
  <si>
    <t>Sipdus</t>
  </si>
  <si>
    <t>Policía municipal</t>
  </si>
  <si>
    <t>Temas varios</t>
  </si>
  <si>
    <t>Marfeca</t>
  </si>
  <si>
    <t>Cintillo</t>
  </si>
  <si>
    <t>Publicidad</t>
  </si>
  <si>
    <t>Editorial</t>
  </si>
  <si>
    <t>Afectaciones Por Lluvias</t>
  </si>
  <si>
    <t>Fotonota</t>
  </si>
  <si>
    <t>Cambio de uso de suelo</t>
  </si>
  <si>
    <t>Publicidad gubernamental</t>
  </si>
  <si>
    <t>Ellos importan, adopta</t>
  </si>
  <si>
    <t>Atención Afectaciones Por Lluvias</t>
  </si>
  <si>
    <t>Refuerzo De Seguridad</t>
  </si>
  <si>
    <t>Menos espera más tiempo para ti</t>
  </si>
  <si>
    <t>Modernización Tuzobús</t>
  </si>
  <si>
    <t>Restablecen comunicación en 58 localidades</t>
  </si>
  <si>
    <t>Sin acuerdo con la CNTE y con el anuncio de más marchas de maestros, transportistas y buscadoras de desaparecidos, hoy inicia el Mundial de Fútbol, el mega negocio disfrazado de deporte…</t>
  </si>
  <si>
    <t>Supervisarán que negocios no incurran en transmisión ilegal</t>
  </si>
  <si>
    <t>Hoy inicia el Mundial 2026 en México</t>
  </si>
  <si>
    <t>Se dispara crecimiento industrial en el estado al arranque de 2026</t>
  </si>
  <si>
    <t>Índice De Actividad Industrial</t>
  </si>
  <si>
    <t>Mejorarán servicio Transportistas reconocen fallas y realizarán ajustes</t>
  </si>
  <si>
    <t>Aumento Tarifa De Transporte</t>
  </si>
  <si>
    <t>Caso Epazoyucan Alcalde sigue sin cumplir recomendación de CDHEH</t>
  </si>
  <si>
    <t>Recomendaciones CDHEH</t>
  </si>
  <si>
    <t>Voces a tono. Se entusiasma Belinda “por hacer historia”</t>
  </si>
  <si>
    <t>Aguirre: equipo listo “para todo”</t>
  </si>
  <si>
    <t>Conflicto. La CNTE alargó el suspenso a horas del silbatazo inaugural</t>
  </si>
  <si>
    <t>Mercado Libre: 8 mil 500 plazas con inversión de 4 mil 600 mdd</t>
  </si>
  <si>
    <t>Anuncio de inversiones</t>
  </si>
  <si>
    <t>alud. Sólo 2% de hombres en riesgo revisa su próstata</t>
  </si>
  <si>
    <t>Prevención De Enfermedades</t>
  </si>
  <si>
    <t>En Tulancingo se escuchará al universo</t>
  </si>
  <si>
    <t>Estación terrena</t>
  </si>
  <si>
    <t>Licita la Sipdus pavimentación de vialidad en la periodistas</t>
  </si>
  <si>
    <t>Licitaciones</t>
  </si>
  <si>
    <t>Cuesta 4 mdp operar centros asistenciales</t>
  </si>
  <si>
    <t>Centros asistenciales</t>
  </si>
  <si>
    <t>Sur de Pachuca, sinónimo de congestionamieto vial</t>
  </si>
  <si>
    <t>Ampliación vial</t>
  </si>
  <si>
    <t>Representarán a Hidalgo en la ONU</t>
  </si>
  <si>
    <t>Evento académico</t>
  </si>
  <si>
    <t>Busca tu suplemento La Copa Guía 2026, con todo lo que necesitas saber sobre la fiesta futbolera que empieza este día</t>
  </si>
  <si>
    <t>Registran 297 denuncias por abuso sexual en 4 meses</t>
  </si>
  <si>
    <t>Abuso Sexual</t>
  </si>
  <si>
    <t>Transforma DIF Hidalgo instalaciones de la Casa del Niño; rehabilitación avanza al 80%</t>
  </si>
  <si>
    <t>Casa del Niño</t>
  </si>
  <si>
    <t>Hidalgo mantiene vigilancia permanente por lluvias; despliega 450 máquinas: Menchaca</t>
  </si>
  <si>
    <t>Pachuca despliega operativo de seguridad en 20 barrios y colonias</t>
  </si>
  <si>
    <t>Negocios apagarán la televisión durante justa mundialista</t>
  </si>
  <si>
    <t>Clausuran obras que afectaron más de 2 mil metros cuadrados de bosque en El Chico</t>
  </si>
  <si>
    <t>Medio ambiente</t>
  </si>
  <si>
    <t>Clausura de obra</t>
  </si>
  <si>
    <t>TEEH exigió a alcaldesa a entregar documentos de sesión a regidora</t>
  </si>
  <si>
    <t>Resolución de juicio</t>
  </si>
  <si>
    <t>Logran acuerdos transportistas y representantes de gobierno</t>
  </si>
  <si>
    <t>Atención A Manifestantes</t>
  </si>
  <si>
    <t>“Hidalgo es una potencia en marcha”, afirmó el Gobernador Julio Menchaca</t>
  </si>
  <si>
    <t>Ruta de la Transformación</t>
  </si>
  <si>
    <t>Suspensión de clases por el Mundial será opcional</t>
  </si>
  <si>
    <t>Reglamentos de Huejutla supervisará comercios durante el Mundial 2026</t>
  </si>
  <si>
    <t>Julio Menchaca está muy al pendiente de los daños por lluvias</t>
  </si>
  <si>
    <t>“Estamos preparados”: Menchaca ante alerta por lluvias</t>
  </si>
  <si>
    <t>Inicia el Mundial sin solución en el conflicto con CNTE</t>
  </si>
  <si>
    <t>Manifestación CNTE</t>
  </si>
  <si>
    <t>En 74 municipios ataca el gusano barrenador</t>
  </si>
  <si>
    <t>Gusano barrenador</t>
  </si>
  <si>
    <t>Insiste CSP: el acceso al estadio está garantizado</t>
  </si>
  <si>
    <t>"Resulta curioso escuchar que el Mundial está en riesgo porque algunas vialidades de la Ciudad de México están tomadas. Como si el torneo fuera un evento exclusivo para quienes viven a unos kilómetros del Centro Histórico. México es más grande que sus conflictos y mucho más grande que su capital”.</t>
  </si>
  <si>
    <t>En Pachuca se vive la fiesta</t>
  </si>
  <si>
    <t>Acotan espacios para ver Mundial de Futbol</t>
  </si>
  <si>
    <t>En 14 municipios daños por lluvias</t>
  </si>
  <si>
    <t>Profepa clausura obra en El Chico por daños al medio ambiente</t>
  </si>
  <si>
    <t>“¡Todo se puede esperar para hoy! Es el inicio del Mundial de Futbol 2026 en México. Y por un lado los equipos de todos los países participantes...”</t>
  </si>
  <si>
    <t>México Sudáfrica hoy 1:00 pm</t>
  </si>
  <si>
    <t>Estamos comprometidos</t>
  </si>
  <si>
    <t>Persisten riesgos en traslados y caminos</t>
  </si>
  <si>
    <t>Arranca el road trip</t>
  </si>
  <si>
    <t>CNTE no llega a acuerdo con Gobierno de México</t>
  </si>
  <si>
    <t>MAnifestación CNTE</t>
  </si>
  <si>
    <t>Cierran construcciones en parque El Chico</t>
  </si>
  <si>
    <t>Reforma electoral abre nuevo frente entre Gobierno de Hidalgo y PT</t>
  </si>
  <si>
    <t>Reforma Electoral</t>
  </si>
  <si>
    <t>“Tienen un desconocimiento total”: Edda Vite descalifica reforma del Congreso de Hidalgo</t>
  </si>
  <si>
    <t>Casa de Transición</t>
  </si>
  <si>
    <t>Ayuntamientos cancelan funciones públicas del Mundial</t>
  </si>
  <si>
    <t>Toros y mundial</t>
  </si>
  <si>
    <t>Carreteras, agua y desarrollo: Hidalgo invierte 183 millones de pesos en Santiago de Anaya</t>
  </si>
  <si>
    <t>Caen empresas contaminantes</t>
  </si>
  <si>
    <t>Empresa contaminante</t>
  </si>
  <si>
    <t>Cubitos bajo amenaza</t>
  </si>
  <si>
    <t>Reabren 18 caminos y reestablecen comunicación en 58 localidades</t>
  </si>
  <si>
    <t>Rescatan a lomito que cayó al Río Tula</t>
  </si>
  <si>
    <t>Rescate Animal</t>
  </si>
  <si>
    <t>Fortalece Huasca de Ocampo la protección de la infancia con la instalación de la Procuraduría Municipal de Protección de Niñas, Niños y Adolescentes</t>
  </si>
  <si>
    <t>Procuraduría Municipal del Menor</t>
  </si>
  <si>
    <t>Con más obras y apoyos para Cardonal, “Hidalgo es una potencia en marcha”, afirma Julio Menchaca</t>
  </si>
  <si>
    <t>Gobierno de Tula impulsa obras prioritarias con una inversión superior a 2.8 mdp</t>
  </si>
  <si>
    <t>Obras De Infraestructura</t>
  </si>
  <si>
    <t>Fortalecen a las familias de Tezontepec con conferencia sobre los retos de la crianza actual</t>
  </si>
  <si>
    <t>Crianza positiva</t>
  </si>
  <si>
    <t>Claudia Sandoval recibe aval del Gobierno de Hidalgo para publicación del bando de Policía y Gobierno</t>
  </si>
  <si>
    <t>Bando de policía y gobierno</t>
  </si>
  <si>
    <t>Magisterio hidalguense avanza; entregan promociones y nuevos ingresos en la Sección 15</t>
  </si>
  <si>
    <t>Asignación de plazas</t>
  </si>
  <si>
    <t>Presenta la UTXT agenda de modernización, oficinas de atención gratuita y gran festejo para la ciudadanía en Pachuca</t>
  </si>
  <si>
    <t>Un mensaje puede esperar, la vida no</t>
  </si>
  <si>
    <t>Prevención de accidentes</t>
  </si>
  <si>
    <t>Julio Menchaca, cuarto gobernador mejor evaluado: Mitofsky</t>
  </si>
  <si>
    <t>Aprobación Gobernador</t>
  </si>
  <si>
    <t>Benjamín Mora nuevo técnico de los Tuzos</t>
  </si>
  <si>
    <t>Deportes</t>
  </si>
  <si>
    <t>¡Comienza la fiesta! En México, arranca el Mundial 2026</t>
  </si>
  <si>
    <t>Gobierno de Hidalgo destinó más de 183 mdp para obra pública en Santiago de Anaya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</si>
</sst>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4" fontId="2" fillId="0" borderId="7" xfId="0" applyNumberFormat="1" applyFont="1" applyBorder="1" applyAlignment="1">
      <alignment horizontal="right" wrapText="1"/>
    </xf>
    <xf numFmtId="0" fontId="2" fillId="0" borderId="7" xfId="0" applyFont="1" applyBorder="1" applyAlignment="1">
      <alignment wrapText="1"/>
    </xf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2" totalsRowShown="0" headerRowDxfId="3" headerRowBorderDxfId="2">
  <autoFilter ref="A1:J72" xr:uid="{5593606E-308D-4113-AE3C-6E714B763B6E}"/>
  <tableColumns count="10">
    <tableColumn id="1" xr3:uid="{9D9ACAF2-1710-400E-A0E5-0A5BB378D4A0}" name="Fecha"/>
    <tableColumn id="2" xr3:uid="{03A139BE-A997-45E6-81E6-5F7467162FC5}" name="Medio"/>
    <tableColumn id="3" xr3:uid="{4CA37DD5-010E-43EE-907D-87C1845DB2AB}" name="Titular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2"/>
  <sheetViews>
    <sheetView tabSelected="1" topLeftCell="D61" workbookViewId="0">
      <selection activeCell="J72" sqref="J72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5" t="s">
        <v>65</v>
      </c>
    </row>
    <row r="2" spans="1:10" ht="26.5" thickBot="1" x14ac:dyDescent="0.4">
      <c r="A2" s="10">
        <v>46184</v>
      </c>
      <c r="B2" s="11" t="s">
        <v>80</v>
      </c>
      <c r="C2" s="11" t="s">
        <v>97</v>
      </c>
      <c r="D2" s="11" t="s">
        <v>12</v>
      </c>
      <c r="E2" s="11" t="s">
        <v>81</v>
      </c>
      <c r="F2" s="11" t="s">
        <v>81</v>
      </c>
      <c r="G2" s="11" t="s">
        <v>93</v>
      </c>
      <c r="H2" s="11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ht="51.5" thickBot="1" x14ac:dyDescent="0.4">
      <c r="A3" s="10">
        <v>46184</v>
      </c>
      <c r="B3" s="11" t="s">
        <v>80</v>
      </c>
      <c r="C3" s="11" t="s">
        <v>98</v>
      </c>
      <c r="D3" s="11" t="s">
        <v>87</v>
      </c>
      <c r="E3" s="11" t="s">
        <v>10</v>
      </c>
      <c r="F3" s="11" t="s">
        <v>10</v>
      </c>
      <c r="G3" s="11" t="s">
        <v>76</v>
      </c>
      <c r="H3" s="11" t="s">
        <v>70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ht="15" thickBot="1" x14ac:dyDescent="0.4">
      <c r="A4" s="10">
        <v>46184</v>
      </c>
      <c r="B4" s="11" t="s">
        <v>80</v>
      </c>
      <c r="C4" s="11" t="s">
        <v>99</v>
      </c>
      <c r="D4" s="11" t="s">
        <v>12</v>
      </c>
      <c r="E4" s="11" t="s">
        <v>16</v>
      </c>
      <c r="F4" s="11" t="s">
        <v>16</v>
      </c>
      <c r="G4" s="11" t="s">
        <v>76</v>
      </c>
      <c r="H4" s="11" t="s">
        <v>11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ht="15" thickBot="1" x14ac:dyDescent="0.4">
      <c r="A5" s="10">
        <v>46184</v>
      </c>
      <c r="B5" s="11" t="s">
        <v>80</v>
      </c>
      <c r="C5" s="11" t="s">
        <v>100</v>
      </c>
      <c r="D5" s="11" t="s">
        <v>13</v>
      </c>
      <c r="E5" s="11" t="s">
        <v>10</v>
      </c>
      <c r="F5" s="11" t="s">
        <v>10</v>
      </c>
      <c r="G5" s="11" t="s">
        <v>76</v>
      </c>
      <c r="H5" s="11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ht="26.5" thickBot="1" x14ac:dyDescent="0.4">
      <c r="A6" s="10">
        <v>46184</v>
      </c>
      <c r="B6" s="11" t="s">
        <v>67</v>
      </c>
      <c r="C6" s="11" t="s">
        <v>101</v>
      </c>
      <c r="D6" s="11" t="s">
        <v>13</v>
      </c>
      <c r="E6" s="11" t="s">
        <v>54</v>
      </c>
      <c r="F6" s="11" t="s">
        <v>54</v>
      </c>
      <c r="G6" s="11" t="s">
        <v>102</v>
      </c>
      <c r="H6" s="11" t="s">
        <v>69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ht="26.5" thickBot="1" x14ac:dyDescent="0.4">
      <c r="A7" s="10">
        <v>46184</v>
      </c>
      <c r="B7" s="11" t="s">
        <v>67</v>
      </c>
      <c r="C7" s="11" t="s">
        <v>103</v>
      </c>
      <c r="D7" s="11" t="s">
        <v>12</v>
      </c>
      <c r="E7" s="11" t="s">
        <v>10</v>
      </c>
      <c r="F7" s="11" t="s">
        <v>10</v>
      </c>
      <c r="G7" s="11" t="s">
        <v>104</v>
      </c>
      <c r="H7" s="11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26.5" thickBot="1" x14ac:dyDescent="0.4">
      <c r="A8" s="10">
        <v>46184</v>
      </c>
      <c r="B8" s="11" t="s">
        <v>67</v>
      </c>
      <c r="C8" s="11" t="s">
        <v>105</v>
      </c>
      <c r="D8" s="11" t="s">
        <v>12</v>
      </c>
      <c r="E8" s="11" t="s">
        <v>16</v>
      </c>
      <c r="F8" s="11" t="s">
        <v>79</v>
      </c>
      <c r="G8" s="11" t="s">
        <v>106</v>
      </c>
      <c r="H8" s="11" t="s">
        <v>70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ht="15" thickBot="1" x14ac:dyDescent="0.4">
      <c r="A9" s="10">
        <v>46184</v>
      </c>
      <c r="B9" s="11" t="s">
        <v>67</v>
      </c>
      <c r="C9" s="11" t="s">
        <v>107</v>
      </c>
      <c r="D9" s="11" t="s">
        <v>12</v>
      </c>
      <c r="E9" s="11" t="s">
        <v>10</v>
      </c>
      <c r="F9" s="11" t="s">
        <v>10</v>
      </c>
      <c r="G9" s="11" t="s">
        <v>76</v>
      </c>
      <c r="H9" s="11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ht="15" thickBot="1" x14ac:dyDescent="0.4">
      <c r="A10" s="10">
        <v>46184</v>
      </c>
      <c r="B10" s="11" t="s">
        <v>67</v>
      </c>
      <c r="C10" s="11" t="s">
        <v>108</v>
      </c>
      <c r="D10" s="11" t="s">
        <v>12</v>
      </c>
      <c r="E10" s="11" t="s">
        <v>10</v>
      </c>
      <c r="F10" s="11" t="s">
        <v>10</v>
      </c>
      <c r="G10" s="11" t="s">
        <v>76</v>
      </c>
      <c r="H10" s="11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ht="26.5" thickBot="1" x14ac:dyDescent="0.4">
      <c r="A11" s="10">
        <v>46184</v>
      </c>
      <c r="B11" s="11" t="s">
        <v>67</v>
      </c>
      <c r="C11" s="11" t="s">
        <v>109</v>
      </c>
      <c r="D11" s="11" t="s">
        <v>9</v>
      </c>
      <c r="E11" s="11" t="s">
        <v>10</v>
      </c>
      <c r="F11" s="11" t="s">
        <v>10</v>
      </c>
      <c r="G11" s="11" t="s">
        <v>76</v>
      </c>
      <c r="H11" s="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ht="26.5" thickBot="1" x14ac:dyDescent="0.4">
      <c r="A12" s="10">
        <v>46184</v>
      </c>
      <c r="B12" s="11" t="s">
        <v>67</v>
      </c>
      <c r="C12" s="11" t="s">
        <v>110</v>
      </c>
      <c r="D12" s="11" t="s">
        <v>12</v>
      </c>
      <c r="E12" s="11" t="s">
        <v>14</v>
      </c>
      <c r="F12" s="11" t="s">
        <v>14</v>
      </c>
      <c r="G12" s="11" t="s">
        <v>111</v>
      </c>
      <c r="H12" s="11" t="s">
        <v>11</v>
      </c>
      <c r="I12" t="str">
        <f>_xlfn.XLOOKUP(Tabla1[[#This Row],[Dependencia]],Tabla2[Dependencia],Tabla2[Clasificación],"No indexado")</f>
        <v>Presidencia de la República</v>
      </c>
      <c r="J12" t="str">
        <f>_xlfn.XLOOKUP(Tabla1[[#This Row],[Dependencia]],Tabla3[Dependencia],Tabla3[Nivel],"otros",0)</f>
        <v>otros</v>
      </c>
    </row>
    <row r="13" spans="1:10" ht="15" thickBot="1" x14ac:dyDescent="0.4">
      <c r="A13" s="10">
        <v>46184</v>
      </c>
      <c r="B13" s="11" t="s">
        <v>67</v>
      </c>
      <c r="C13" s="11" t="s">
        <v>112</v>
      </c>
      <c r="D13" s="11" t="s">
        <v>12</v>
      </c>
      <c r="E13" s="11" t="s">
        <v>15</v>
      </c>
      <c r="F13" s="11" t="s">
        <v>15</v>
      </c>
      <c r="G13" s="11" t="s">
        <v>113</v>
      </c>
      <c r="H13" s="11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ht="15" thickBot="1" x14ac:dyDescent="0.4">
      <c r="A14" s="10">
        <v>46184</v>
      </c>
      <c r="B14" s="11" t="s">
        <v>67</v>
      </c>
      <c r="C14" s="11" t="s">
        <v>114</v>
      </c>
      <c r="D14" s="11" t="s">
        <v>12</v>
      </c>
      <c r="E14" s="11" t="s">
        <v>14</v>
      </c>
      <c r="F14" s="11" t="s">
        <v>14</v>
      </c>
      <c r="G14" s="11" t="s">
        <v>115</v>
      </c>
      <c r="H14" s="11" t="s">
        <v>11</v>
      </c>
      <c r="I14" t="str">
        <f>_xlfn.XLOOKUP(Tabla1[[#This Row],[Dependencia]],Tabla2[Dependencia],Tabla2[Clasificación],"No indexado")</f>
        <v>Presidencia de la República</v>
      </c>
      <c r="J14" t="str">
        <f>_xlfn.XLOOKUP(Tabla1[[#This Row],[Dependencia]],Tabla3[Dependencia],Tabla3[Nivel],"otros",0)</f>
        <v>otros</v>
      </c>
    </row>
    <row r="15" spans="1:10" ht="15" thickBot="1" x14ac:dyDescent="0.4">
      <c r="A15" s="10">
        <v>46184</v>
      </c>
      <c r="B15" s="11" t="s">
        <v>67</v>
      </c>
      <c r="C15" s="11" t="s">
        <v>116</v>
      </c>
      <c r="D15" s="11" t="s">
        <v>12</v>
      </c>
      <c r="E15" s="11" t="s">
        <v>81</v>
      </c>
      <c r="F15" s="11" t="s">
        <v>81</v>
      </c>
      <c r="G15" s="11" t="s">
        <v>117</v>
      </c>
      <c r="H15" s="11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15" thickBot="1" x14ac:dyDescent="0.4">
      <c r="A16" s="10">
        <v>46184</v>
      </c>
      <c r="B16" s="11" t="s">
        <v>67</v>
      </c>
      <c r="C16" s="11" t="s">
        <v>118</v>
      </c>
      <c r="D16" s="11" t="s">
        <v>12</v>
      </c>
      <c r="E16" s="11" t="s">
        <v>36</v>
      </c>
      <c r="F16" s="11" t="s">
        <v>2</v>
      </c>
      <c r="G16" s="11" t="s">
        <v>119</v>
      </c>
      <c r="H16" s="11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ht="15" thickBot="1" x14ac:dyDescent="0.4">
      <c r="A17" s="10">
        <v>46184</v>
      </c>
      <c r="B17" s="11" t="s">
        <v>67</v>
      </c>
      <c r="C17" s="11" t="s">
        <v>120</v>
      </c>
      <c r="D17" s="11" t="s">
        <v>13</v>
      </c>
      <c r="E17" s="11" t="s">
        <v>81</v>
      </c>
      <c r="F17" s="11" t="s">
        <v>81</v>
      </c>
      <c r="G17" s="11" t="s">
        <v>121</v>
      </c>
      <c r="H17" s="11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15" thickBot="1" x14ac:dyDescent="0.4">
      <c r="A18" s="10">
        <v>46184</v>
      </c>
      <c r="B18" s="11" t="s">
        <v>67</v>
      </c>
      <c r="C18" s="11" t="s">
        <v>122</v>
      </c>
      <c r="D18" s="11" t="s">
        <v>9</v>
      </c>
      <c r="E18" s="11" t="s">
        <v>10</v>
      </c>
      <c r="F18" s="11" t="s">
        <v>10</v>
      </c>
      <c r="G18" s="11" t="s">
        <v>123</v>
      </c>
      <c r="H18" s="11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9" thickBot="1" x14ac:dyDescent="0.4">
      <c r="A19" s="10">
        <v>46184</v>
      </c>
      <c r="B19" s="11" t="s">
        <v>67</v>
      </c>
      <c r="C19" s="11" t="s">
        <v>124</v>
      </c>
      <c r="D19" s="11" t="s">
        <v>12</v>
      </c>
      <c r="E19" s="11" t="s">
        <v>10</v>
      </c>
      <c r="F19" s="11" t="s">
        <v>10</v>
      </c>
      <c r="G19" s="11" t="s">
        <v>76</v>
      </c>
      <c r="H19" s="11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15" thickBot="1" x14ac:dyDescent="0.4">
      <c r="A20" s="10">
        <v>46184</v>
      </c>
      <c r="B20" s="11" t="s">
        <v>67</v>
      </c>
      <c r="C20" s="11" t="s">
        <v>125</v>
      </c>
      <c r="D20" s="11" t="s">
        <v>12</v>
      </c>
      <c r="E20" s="11" t="s">
        <v>17</v>
      </c>
      <c r="F20" s="11" t="s">
        <v>17</v>
      </c>
      <c r="G20" s="11" t="s">
        <v>126</v>
      </c>
      <c r="H20" s="11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ht="26.5" thickBot="1" x14ac:dyDescent="0.4">
      <c r="A21" s="10">
        <v>46184</v>
      </c>
      <c r="B21" s="11" t="s">
        <v>72</v>
      </c>
      <c r="C21" s="11" t="s">
        <v>127</v>
      </c>
      <c r="D21" s="11" t="s">
        <v>13</v>
      </c>
      <c r="E21" s="11" t="s">
        <v>36</v>
      </c>
      <c r="F21" s="11" t="s">
        <v>2</v>
      </c>
      <c r="G21" s="11" t="s">
        <v>128</v>
      </c>
      <c r="H21" s="11" t="s">
        <v>69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ht="26.5" thickBot="1" x14ac:dyDescent="0.4">
      <c r="A22" s="10">
        <v>46184</v>
      </c>
      <c r="B22" s="11" t="s">
        <v>72</v>
      </c>
      <c r="C22" s="11" t="s">
        <v>129</v>
      </c>
      <c r="D22" s="11" t="s">
        <v>9</v>
      </c>
      <c r="E22" s="11" t="s">
        <v>24</v>
      </c>
      <c r="F22" s="11" t="s">
        <v>24</v>
      </c>
      <c r="G22" s="11" t="s">
        <v>93</v>
      </c>
      <c r="H22" s="11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Gobernador</v>
      </c>
    </row>
    <row r="23" spans="1:10" ht="26.5" thickBot="1" x14ac:dyDescent="0.4">
      <c r="A23" s="10">
        <v>46184</v>
      </c>
      <c r="B23" s="11" t="s">
        <v>72</v>
      </c>
      <c r="C23" s="11" t="s">
        <v>130</v>
      </c>
      <c r="D23" s="11" t="s">
        <v>12</v>
      </c>
      <c r="E23" s="11" t="s">
        <v>16</v>
      </c>
      <c r="F23" s="11" t="s">
        <v>82</v>
      </c>
      <c r="G23" s="11" t="s">
        <v>94</v>
      </c>
      <c r="H23" s="11" t="s">
        <v>11</v>
      </c>
      <c r="I23" t="str">
        <f>_xlfn.XLOOKUP(Tabla1[[#This Row],[Dependencia]],Tabla2[Dependencia],Tabla2[Clasificación],"No indexado")</f>
        <v>Alcaldías</v>
      </c>
      <c r="J23" t="str">
        <f>_xlfn.XLOOKUP(Tabla1[[#This Row],[Dependencia]],Tabla3[Dependencia],Tabla3[Nivel],"otros",0)</f>
        <v>otros</v>
      </c>
    </row>
    <row r="24" spans="1:10" ht="15" thickBot="1" x14ac:dyDescent="0.4">
      <c r="A24" s="10">
        <v>46184</v>
      </c>
      <c r="B24" s="11" t="s">
        <v>72</v>
      </c>
      <c r="C24" s="11" t="s">
        <v>131</v>
      </c>
      <c r="D24" s="11" t="s">
        <v>12</v>
      </c>
      <c r="E24" s="11" t="s">
        <v>10</v>
      </c>
      <c r="F24" s="11" t="s">
        <v>10</v>
      </c>
      <c r="G24" s="11" t="s">
        <v>76</v>
      </c>
      <c r="H24" s="11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26.5" thickBot="1" x14ac:dyDescent="0.4">
      <c r="A25" s="10">
        <v>46184</v>
      </c>
      <c r="B25" s="11" t="s">
        <v>72</v>
      </c>
      <c r="C25" s="11" t="s">
        <v>132</v>
      </c>
      <c r="D25" s="11" t="s">
        <v>12</v>
      </c>
      <c r="E25" s="11" t="s">
        <v>14</v>
      </c>
      <c r="F25" s="11" t="s">
        <v>133</v>
      </c>
      <c r="G25" s="11" t="s">
        <v>134</v>
      </c>
      <c r="H25" s="11" t="s">
        <v>11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ht="26.5" thickBot="1" x14ac:dyDescent="0.4">
      <c r="A26" s="10">
        <v>46184</v>
      </c>
      <c r="B26" s="11" t="s">
        <v>71</v>
      </c>
      <c r="C26" s="11" t="s">
        <v>135</v>
      </c>
      <c r="D26" s="11" t="s">
        <v>13</v>
      </c>
      <c r="E26" s="11" t="s">
        <v>57</v>
      </c>
      <c r="F26" s="11" t="s">
        <v>57</v>
      </c>
      <c r="G26" s="11" t="s">
        <v>136</v>
      </c>
      <c r="H26" s="11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15" thickBot="1" x14ac:dyDescent="0.4">
      <c r="A27" s="10">
        <v>46184</v>
      </c>
      <c r="B27" s="11" t="s">
        <v>71</v>
      </c>
      <c r="C27" s="11" t="s">
        <v>137</v>
      </c>
      <c r="D27" s="11" t="s">
        <v>9</v>
      </c>
      <c r="E27" s="11" t="s">
        <v>23</v>
      </c>
      <c r="F27" s="11" t="s">
        <v>23</v>
      </c>
      <c r="G27" s="11" t="s">
        <v>138</v>
      </c>
      <c r="H27" s="11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ht="26.5" thickBot="1" x14ac:dyDescent="0.4">
      <c r="A28" s="10">
        <v>46184</v>
      </c>
      <c r="B28" s="11" t="s">
        <v>71</v>
      </c>
      <c r="C28" s="11" t="s">
        <v>139</v>
      </c>
      <c r="D28" s="11" t="s">
        <v>12</v>
      </c>
      <c r="E28" s="11" t="s">
        <v>24</v>
      </c>
      <c r="F28" s="11" t="s">
        <v>24</v>
      </c>
      <c r="G28" s="11" t="s">
        <v>140</v>
      </c>
      <c r="H28" s="11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Gobernador</v>
      </c>
    </row>
    <row r="29" spans="1:10" ht="15" thickBot="1" x14ac:dyDescent="0.4">
      <c r="A29" s="10">
        <v>46184</v>
      </c>
      <c r="B29" s="11" t="s">
        <v>71</v>
      </c>
      <c r="C29" s="11" t="s">
        <v>141</v>
      </c>
      <c r="D29" s="11" t="s">
        <v>12</v>
      </c>
      <c r="E29" s="11" t="s">
        <v>26</v>
      </c>
      <c r="F29" s="11" t="s">
        <v>26</v>
      </c>
      <c r="G29" s="11" t="s">
        <v>76</v>
      </c>
      <c r="H29" s="11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26.5" thickBot="1" x14ac:dyDescent="0.4">
      <c r="A30" s="10">
        <v>46184</v>
      </c>
      <c r="B30" s="11" t="s">
        <v>71</v>
      </c>
      <c r="C30" s="11" t="s">
        <v>142</v>
      </c>
      <c r="D30" s="11" t="s">
        <v>12</v>
      </c>
      <c r="E30" s="11" t="s">
        <v>16</v>
      </c>
      <c r="F30" s="11" t="s">
        <v>16</v>
      </c>
      <c r="G30" s="11" t="s">
        <v>76</v>
      </c>
      <c r="H30" s="11" t="s">
        <v>11</v>
      </c>
      <c r="I30" t="str">
        <f>_xlfn.XLOOKUP(Tabla1[[#This Row],[Dependencia]],Tabla2[Dependencia],Tabla2[Clasificación],"No indexado")</f>
        <v>Alcaldías</v>
      </c>
      <c r="J30" t="str">
        <f>_xlfn.XLOOKUP(Tabla1[[#This Row],[Dependencia]],Tabla3[Dependencia],Tabla3[Nivel],"otros",0)</f>
        <v>otros</v>
      </c>
    </row>
    <row r="31" spans="1:10" ht="26.5" thickBot="1" x14ac:dyDescent="0.4">
      <c r="A31" s="10">
        <v>46184</v>
      </c>
      <c r="B31" s="11" t="s">
        <v>71</v>
      </c>
      <c r="C31" s="11" t="s">
        <v>143</v>
      </c>
      <c r="D31" s="11" t="s">
        <v>12</v>
      </c>
      <c r="E31" s="11" t="s">
        <v>24</v>
      </c>
      <c r="F31" s="11" t="s">
        <v>24</v>
      </c>
      <c r="G31" s="11" t="s">
        <v>93</v>
      </c>
      <c r="H31" s="11" t="s">
        <v>69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Gobernador</v>
      </c>
    </row>
    <row r="32" spans="1:10" ht="26.5" thickBot="1" x14ac:dyDescent="0.4">
      <c r="A32" s="10">
        <v>46184</v>
      </c>
      <c r="B32" s="11" t="s">
        <v>74</v>
      </c>
      <c r="C32" s="11" t="s">
        <v>144</v>
      </c>
      <c r="D32" s="11" t="s">
        <v>9</v>
      </c>
      <c r="E32" s="11" t="s">
        <v>24</v>
      </c>
      <c r="F32" s="11" t="s">
        <v>24</v>
      </c>
      <c r="G32" s="11" t="s">
        <v>93</v>
      </c>
      <c r="H32" s="11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ht="15" thickBot="1" x14ac:dyDescent="0.4">
      <c r="A33" s="10">
        <v>46184</v>
      </c>
      <c r="B33" s="11" t="s">
        <v>74</v>
      </c>
      <c r="C33" s="11" t="s">
        <v>145</v>
      </c>
      <c r="D33" s="11" t="s">
        <v>13</v>
      </c>
      <c r="E33" s="11" t="s">
        <v>14</v>
      </c>
      <c r="F33" s="11" t="s">
        <v>14</v>
      </c>
      <c r="G33" s="11" t="s">
        <v>146</v>
      </c>
      <c r="H33" s="11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15" thickBot="1" x14ac:dyDescent="0.4">
      <c r="A34" s="10">
        <v>46184</v>
      </c>
      <c r="B34" s="11" t="s">
        <v>74</v>
      </c>
      <c r="C34" s="11" t="s">
        <v>147</v>
      </c>
      <c r="D34" s="11" t="s">
        <v>12</v>
      </c>
      <c r="E34" s="11" t="s">
        <v>53</v>
      </c>
      <c r="F34" s="11" t="s">
        <v>53</v>
      </c>
      <c r="G34" s="11" t="s">
        <v>148</v>
      </c>
      <c r="H34" s="11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15" thickBot="1" x14ac:dyDescent="0.4">
      <c r="A35" s="10">
        <v>46184</v>
      </c>
      <c r="B35" s="11" t="s">
        <v>74</v>
      </c>
      <c r="C35" s="11" t="s">
        <v>149</v>
      </c>
      <c r="D35" s="11" t="s">
        <v>12</v>
      </c>
      <c r="E35" s="11" t="s">
        <v>14</v>
      </c>
      <c r="F35" s="11" t="s">
        <v>14</v>
      </c>
      <c r="G35" s="11" t="s">
        <v>76</v>
      </c>
      <c r="H35" s="11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ht="76.5" thickBot="1" x14ac:dyDescent="0.4">
      <c r="A36" s="10">
        <v>46184</v>
      </c>
      <c r="B36" s="11" t="s">
        <v>74</v>
      </c>
      <c r="C36" s="11" t="s">
        <v>150</v>
      </c>
      <c r="D36" s="11" t="s">
        <v>12</v>
      </c>
      <c r="E36" s="11" t="s">
        <v>10</v>
      </c>
      <c r="F36" s="11" t="s">
        <v>10</v>
      </c>
      <c r="G36" s="11" t="s">
        <v>76</v>
      </c>
      <c r="H36" s="11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ht="15" thickBot="1" x14ac:dyDescent="0.4">
      <c r="A37" s="10">
        <v>46184</v>
      </c>
      <c r="B37" s="11" t="s">
        <v>77</v>
      </c>
      <c r="C37" s="11" t="s">
        <v>151</v>
      </c>
      <c r="D37" s="11" t="s">
        <v>9</v>
      </c>
      <c r="E37" s="11" t="s">
        <v>10</v>
      </c>
      <c r="F37" s="11" t="s">
        <v>10</v>
      </c>
      <c r="G37" s="11" t="s">
        <v>76</v>
      </c>
      <c r="H37" s="11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ht="15" thickBot="1" x14ac:dyDescent="0.4">
      <c r="A38" s="10">
        <v>46184</v>
      </c>
      <c r="B38" s="11" t="s">
        <v>77</v>
      </c>
      <c r="C38" s="11" t="s">
        <v>152</v>
      </c>
      <c r="D38" s="11" t="s">
        <v>13</v>
      </c>
      <c r="E38" s="11" t="s">
        <v>23</v>
      </c>
      <c r="F38" s="11" t="s">
        <v>23</v>
      </c>
      <c r="G38" s="11" t="s">
        <v>76</v>
      </c>
      <c r="H38" s="11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6.5" thickBot="1" x14ac:dyDescent="0.4">
      <c r="A39" s="10">
        <v>46184</v>
      </c>
      <c r="B39" s="11" t="s">
        <v>77</v>
      </c>
      <c r="C39" s="11" t="s">
        <v>153</v>
      </c>
      <c r="D39" s="11" t="s">
        <v>12</v>
      </c>
      <c r="E39" s="11" t="s">
        <v>24</v>
      </c>
      <c r="F39" s="11" t="s">
        <v>24</v>
      </c>
      <c r="G39" s="11" t="s">
        <v>93</v>
      </c>
      <c r="H39" s="11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Gobernador</v>
      </c>
    </row>
    <row r="40" spans="1:10" ht="26.5" thickBot="1" x14ac:dyDescent="0.4">
      <c r="A40" s="10">
        <v>46184</v>
      </c>
      <c r="B40" s="11" t="s">
        <v>77</v>
      </c>
      <c r="C40" s="11" t="s">
        <v>154</v>
      </c>
      <c r="D40" s="11" t="s">
        <v>12</v>
      </c>
      <c r="E40" s="11" t="s">
        <v>14</v>
      </c>
      <c r="F40" s="11" t="s">
        <v>133</v>
      </c>
      <c r="G40" s="11" t="s">
        <v>134</v>
      </c>
      <c r="H40" s="11" t="s">
        <v>11</v>
      </c>
      <c r="I40" t="str">
        <f>_xlfn.XLOOKUP(Tabla1[[#This Row],[Dependencia]],Tabla2[Dependencia],Tabla2[Clasificación],"No indexado")</f>
        <v>Presidencia de la República</v>
      </c>
      <c r="J40" t="str">
        <f>_xlfn.XLOOKUP(Tabla1[[#This Row],[Dependencia]],Tabla3[Dependencia],Tabla3[Nivel],"otros",0)</f>
        <v>otros</v>
      </c>
    </row>
    <row r="41" spans="1:10" ht="39" thickBot="1" x14ac:dyDescent="0.4">
      <c r="A41" s="10">
        <v>46184</v>
      </c>
      <c r="B41" s="11" t="s">
        <v>77</v>
      </c>
      <c r="C41" s="11" t="s">
        <v>155</v>
      </c>
      <c r="D41" s="11" t="s">
        <v>12</v>
      </c>
      <c r="E41" s="11" t="s">
        <v>10</v>
      </c>
      <c r="F41" s="11" t="s">
        <v>10</v>
      </c>
      <c r="G41" s="11" t="s">
        <v>76</v>
      </c>
      <c r="H41" s="1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ht="15" thickBot="1" x14ac:dyDescent="0.4">
      <c r="A42" s="10">
        <v>46184</v>
      </c>
      <c r="B42" s="11" t="s">
        <v>77</v>
      </c>
      <c r="C42" s="11" t="s">
        <v>156</v>
      </c>
      <c r="D42" s="11" t="s">
        <v>12</v>
      </c>
      <c r="E42" s="11" t="s">
        <v>10</v>
      </c>
      <c r="F42" s="11" t="s">
        <v>10</v>
      </c>
      <c r="G42" s="11" t="s">
        <v>76</v>
      </c>
      <c r="H42" s="11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ht="15" thickBot="1" x14ac:dyDescent="0.4">
      <c r="A43" s="10">
        <v>46184</v>
      </c>
      <c r="B43" s="11" t="s">
        <v>68</v>
      </c>
      <c r="C43" s="11" t="s">
        <v>157</v>
      </c>
      <c r="D43" s="11" t="s">
        <v>89</v>
      </c>
      <c r="E43" s="11" t="s">
        <v>10</v>
      </c>
      <c r="F43" s="11" t="s">
        <v>10</v>
      </c>
      <c r="G43" s="11" t="s">
        <v>76</v>
      </c>
      <c r="H43" s="11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ht="15" thickBot="1" x14ac:dyDescent="0.4">
      <c r="A44" s="10">
        <v>46184</v>
      </c>
      <c r="B44" s="11" t="s">
        <v>68</v>
      </c>
      <c r="C44" s="11" t="s">
        <v>158</v>
      </c>
      <c r="D44" s="11" t="s">
        <v>13</v>
      </c>
      <c r="E44" s="11" t="s">
        <v>10</v>
      </c>
      <c r="F44" s="11" t="s">
        <v>10</v>
      </c>
      <c r="G44" s="11" t="s">
        <v>88</v>
      </c>
      <c r="H44" s="11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15" thickBot="1" x14ac:dyDescent="0.4">
      <c r="A45" s="10">
        <v>46184</v>
      </c>
      <c r="B45" s="11" t="s">
        <v>68</v>
      </c>
      <c r="C45" s="11" t="s">
        <v>159</v>
      </c>
      <c r="D45" s="11" t="s">
        <v>12</v>
      </c>
      <c r="E45" s="11" t="s">
        <v>10</v>
      </c>
      <c r="F45" s="11" t="s">
        <v>10</v>
      </c>
      <c r="G45" s="11" t="s">
        <v>83</v>
      </c>
      <c r="H45" s="11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ht="15" thickBot="1" x14ac:dyDescent="0.4">
      <c r="A46" s="10">
        <v>46184</v>
      </c>
      <c r="B46" s="11" t="s">
        <v>68</v>
      </c>
      <c r="C46" s="11" t="s">
        <v>160</v>
      </c>
      <c r="D46" s="11" t="s">
        <v>12</v>
      </c>
      <c r="E46" s="11" t="s">
        <v>14</v>
      </c>
      <c r="F46" s="11" t="s">
        <v>14</v>
      </c>
      <c r="G46" s="11" t="s">
        <v>161</v>
      </c>
      <c r="H46" s="11" t="s">
        <v>11</v>
      </c>
      <c r="I46" t="str">
        <f>_xlfn.XLOOKUP(Tabla1[[#This Row],[Dependencia]],Tabla2[Dependencia],Tabla2[Clasificación],"No indexado")</f>
        <v>Presidencia de la República</v>
      </c>
      <c r="J46" t="str">
        <f>_xlfn.XLOOKUP(Tabla1[[#This Row],[Dependencia]],Tabla3[Dependencia],Tabla3[Nivel],"otros",0)</f>
        <v>otros</v>
      </c>
    </row>
    <row r="47" spans="1:10" ht="15" thickBot="1" x14ac:dyDescent="0.4">
      <c r="A47" s="10">
        <v>46184</v>
      </c>
      <c r="B47" s="11" t="s">
        <v>68</v>
      </c>
      <c r="C47" s="11" t="s">
        <v>162</v>
      </c>
      <c r="D47" s="11" t="s">
        <v>12</v>
      </c>
      <c r="E47" s="11" t="s">
        <v>14</v>
      </c>
      <c r="F47" s="11" t="s">
        <v>133</v>
      </c>
      <c r="G47" s="11" t="s">
        <v>134</v>
      </c>
      <c r="H47" s="11" t="s">
        <v>11</v>
      </c>
      <c r="I47" t="str">
        <f>_xlfn.XLOOKUP(Tabla1[[#This Row],[Dependencia]],Tabla2[Dependencia],Tabla2[Clasificación],"No indexado")</f>
        <v>Presidencia de la República</v>
      </c>
      <c r="J47" t="str">
        <f>_xlfn.XLOOKUP(Tabla1[[#This Row],[Dependencia]],Tabla3[Dependencia],Tabla3[Nivel],"otros",0)</f>
        <v>otros</v>
      </c>
    </row>
    <row r="48" spans="1:10" ht="26.5" thickBot="1" x14ac:dyDescent="0.4">
      <c r="A48" s="10">
        <v>46184</v>
      </c>
      <c r="B48" s="11" t="s">
        <v>78</v>
      </c>
      <c r="C48" s="11" t="s">
        <v>163</v>
      </c>
      <c r="D48" s="11" t="s">
        <v>13</v>
      </c>
      <c r="E48" s="11" t="s">
        <v>23</v>
      </c>
      <c r="F48" s="11" t="s">
        <v>2</v>
      </c>
      <c r="G48" s="11" t="s">
        <v>164</v>
      </c>
      <c r="H48" s="11" t="s">
        <v>70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6.5" thickBot="1" x14ac:dyDescent="0.4">
      <c r="A49" s="10">
        <v>46184</v>
      </c>
      <c r="B49" s="11" t="s">
        <v>78</v>
      </c>
      <c r="C49" s="11" t="s">
        <v>165</v>
      </c>
      <c r="D49" s="11" t="s">
        <v>12</v>
      </c>
      <c r="E49" s="11" t="s">
        <v>36</v>
      </c>
      <c r="F49" s="11" t="s">
        <v>2</v>
      </c>
      <c r="G49" s="11" t="s">
        <v>166</v>
      </c>
      <c r="H49" s="11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15" thickBot="1" x14ac:dyDescent="0.4">
      <c r="A50" s="10">
        <v>46184</v>
      </c>
      <c r="B50" s="11" t="s">
        <v>78</v>
      </c>
      <c r="C50" s="11" t="s">
        <v>167</v>
      </c>
      <c r="D50" s="11" t="s">
        <v>12</v>
      </c>
      <c r="E50" s="11" t="s">
        <v>23</v>
      </c>
      <c r="F50" s="11" t="s">
        <v>23</v>
      </c>
      <c r="G50" s="11" t="s">
        <v>76</v>
      </c>
      <c r="H50" s="11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15" thickBot="1" x14ac:dyDescent="0.4">
      <c r="A51" s="10">
        <v>46184</v>
      </c>
      <c r="B51" s="11" t="s">
        <v>78</v>
      </c>
      <c r="C51" s="11" t="s">
        <v>168</v>
      </c>
      <c r="D51" s="11" t="s">
        <v>12</v>
      </c>
      <c r="E51" s="11" t="s">
        <v>10</v>
      </c>
      <c r="F51" s="11" t="s">
        <v>10</v>
      </c>
      <c r="G51" s="11" t="s">
        <v>76</v>
      </c>
      <c r="H51" s="1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26.5" thickBot="1" x14ac:dyDescent="0.4">
      <c r="A52" s="10">
        <v>46184</v>
      </c>
      <c r="B52" s="11" t="s">
        <v>78</v>
      </c>
      <c r="C52" s="11" t="s">
        <v>169</v>
      </c>
      <c r="D52" s="11" t="s">
        <v>12</v>
      </c>
      <c r="E52" s="11" t="s">
        <v>24</v>
      </c>
      <c r="F52" s="11" t="s">
        <v>24</v>
      </c>
      <c r="G52" s="11" t="s">
        <v>140</v>
      </c>
      <c r="H52" s="11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Gobernador</v>
      </c>
    </row>
    <row r="53" spans="1:10" ht="15" thickBot="1" x14ac:dyDescent="0.4">
      <c r="A53" s="10">
        <v>46184</v>
      </c>
      <c r="B53" s="11" t="s">
        <v>78</v>
      </c>
      <c r="C53" s="11" t="s">
        <v>170</v>
      </c>
      <c r="D53" s="11" t="s">
        <v>12</v>
      </c>
      <c r="E53" s="11" t="s">
        <v>16</v>
      </c>
      <c r="F53" s="11" t="s">
        <v>16</v>
      </c>
      <c r="G53" s="11" t="s">
        <v>171</v>
      </c>
      <c r="H53" s="11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15" thickBot="1" x14ac:dyDescent="0.4">
      <c r="A54" s="10">
        <v>46184</v>
      </c>
      <c r="B54" s="11" t="s">
        <v>78</v>
      </c>
      <c r="C54" s="11" t="s">
        <v>172</v>
      </c>
      <c r="D54" s="11" t="s">
        <v>12</v>
      </c>
      <c r="E54" s="11" t="s">
        <v>16</v>
      </c>
      <c r="F54" s="11" t="s">
        <v>16</v>
      </c>
      <c r="G54" s="11" t="s">
        <v>90</v>
      </c>
      <c r="H54" s="11" t="s">
        <v>70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26.5" thickBot="1" x14ac:dyDescent="0.4">
      <c r="A55" s="10">
        <v>46184</v>
      </c>
      <c r="B55" s="11" t="s">
        <v>78</v>
      </c>
      <c r="C55" s="11" t="s">
        <v>173</v>
      </c>
      <c r="D55" s="11" t="s">
        <v>12</v>
      </c>
      <c r="E55" s="11" t="s">
        <v>81</v>
      </c>
      <c r="F55" s="11" t="s">
        <v>81</v>
      </c>
      <c r="G55" s="11" t="s">
        <v>93</v>
      </c>
      <c r="H55" s="11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15" thickBot="1" x14ac:dyDescent="0.4">
      <c r="A56" s="10">
        <v>46184</v>
      </c>
      <c r="B56" s="11" t="s">
        <v>84</v>
      </c>
      <c r="C56" s="11" t="s">
        <v>174</v>
      </c>
      <c r="D56" s="11" t="s">
        <v>85</v>
      </c>
      <c r="E56" s="11" t="s">
        <v>16</v>
      </c>
      <c r="F56" s="11" t="s">
        <v>82</v>
      </c>
      <c r="G56" s="11" t="s">
        <v>175</v>
      </c>
      <c r="H56" s="11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ht="39" thickBot="1" x14ac:dyDescent="0.4">
      <c r="A57" s="10">
        <v>46184</v>
      </c>
      <c r="B57" s="11" t="s">
        <v>84</v>
      </c>
      <c r="C57" s="11" t="s">
        <v>176</v>
      </c>
      <c r="D57" s="11" t="s">
        <v>12</v>
      </c>
      <c r="E57" s="11" t="s">
        <v>36</v>
      </c>
      <c r="F57" s="11" t="s">
        <v>2</v>
      </c>
      <c r="G57" s="11" t="s">
        <v>177</v>
      </c>
      <c r="H57" s="11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26.5" thickBot="1" x14ac:dyDescent="0.4">
      <c r="A58" s="10">
        <v>46184</v>
      </c>
      <c r="B58" s="11" t="s">
        <v>84</v>
      </c>
      <c r="C58" s="11" t="s">
        <v>178</v>
      </c>
      <c r="D58" s="11" t="s">
        <v>13</v>
      </c>
      <c r="E58" s="11" t="s">
        <v>24</v>
      </c>
      <c r="F58" s="11" t="s">
        <v>24</v>
      </c>
      <c r="G58" s="11" t="s">
        <v>140</v>
      </c>
      <c r="H58" s="11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Gobernador</v>
      </c>
    </row>
    <row r="59" spans="1:10" ht="26.5" thickBot="1" x14ac:dyDescent="0.4">
      <c r="A59" s="10">
        <v>46184</v>
      </c>
      <c r="B59" s="11" t="s">
        <v>84</v>
      </c>
      <c r="C59" s="11" t="s">
        <v>179</v>
      </c>
      <c r="D59" s="11" t="s">
        <v>12</v>
      </c>
      <c r="E59" s="11" t="s">
        <v>16</v>
      </c>
      <c r="F59" s="11" t="s">
        <v>79</v>
      </c>
      <c r="G59" s="11" t="s">
        <v>180</v>
      </c>
      <c r="H59" s="11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26.5" thickBot="1" x14ac:dyDescent="0.4">
      <c r="A60" s="10">
        <v>46184</v>
      </c>
      <c r="B60" s="11" t="s">
        <v>84</v>
      </c>
      <c r="C60" s="11" t="s">
        <v>181</v>
      </c>
      <c r="D60" s="11" t="s">
        <v>12</v>
      </c>
      <c r="E60" s="11" t="s">
        <v>16</v>
      </c>
      <c r="F60" s="11" t="s">
        <v>79</v>
      </c>
      <c r="G60" s="11" t="s">
        <v>182</v>
      </c>
      <c r="H60" s="11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ht="26.5" thickBot="1" x14ac:dyDescent="0.4">
      <c r="A61" s="10">
        <v>46184</v>
      </c>
      <c r="B61" s="11" t="s">
        <v>84</v>
      </c>
      <c r="C61" s="11" t="s">
        <v>183</v>
      </c>
      <c r="D61" s="11" t="s">
        <v>12</v>
      </c>
      <c r="E61" s="11" t="s">
        <v>16</v>
      </c>
      <c r="F61" s="11" t="s">
        <v>79</v>
      </c>
      <c r="G61" s="11" t="s">
        <v>184</v>
      </c>
      <c r="H61" s="1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ht="26.5" thickBot="1" x14ac:dyDescent="0.4">
      <c r="A62" s="10">
        <v>46184</v>
      </c>
      <c r="B62" s="11" t="s">
        <v>84</v>
      </c>
      <c r="C62" s="11" t="s">
        <v>185</v>
      </c>
      <c r="D62" s="11" t="s">
        <v>12</v>
      </c>
      <c r="E62" s="11" t="s">
        <v>10</v>
      </c>
      <c r="F62" s="11" t="s">
        <v>10</v>
      </c>
      <c r="G62" s="11" t="s">
        <v>186</v>
      </c>
      <c r="H62" s="11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ht="26.5" thickBot="1" x14ac:dyDescent="0.4">
      <c r="A63" s="10">
        <v>46184</v>
      </c>
      <c r="B63" s="11" t="s">
        <v>84</v>
      </c>
      <c r="C63" s="11" t="s">
        <v>130</v>
      </c>
      <c r="D63" s="11" t="s">
        <v>12</v>
      </c>
      <c r="E63" s="11" t="s">
        <v>16</v>
      </c>
      <c r="F63" s="11" t="s">
        <v>82</v>
      </c>
      <c r="G63" s="11" t="s">
        <v>94</v>
      </c>
      <c r="H63" s="11" t="s">
        <v>11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ht="39" thickBot="1" x14ac:dyDescent="0.4">
      <c r="A64" s="10">
        <v>46184</v>
      </c>
      <c r="B64" s="11" t="s">
        <v>84</v>
      </c>
      <c r="C64" s="11" t="s">
        <v>187</v>
      </c>
      <c r="D64" s="11" t="s">
        <v>12</v>
      </c>
      <c r="E64" s="11" t="s">
        <v>10</v>
      </c>
      <c r="F64" s="11" t="s">
        <v>10</v>
      </c>
      <c r="G64" s="11" t="s">
        <v>83</v>
      </c>
      <c r="H64" s="11" t="s">
        <v>11</v>
      </c>
      <c r="I64" t="str">
        <f>_xlfn.XLOOKUP(Tabla1[[#This Row],[Dependencia]],Tabla2[Dependencia],Tabla2[Clasificación],"No indexado")</f>
        <v>Otros</v>
      </c>
      <c r="J64" t="str">
        <f>_xlfn.XLOOKUP(Tabla1[[#This Row],[Dependencia]],Tabla3[Dependencia],Tabla3[Nivel],"otros",0)</f>
        <v>otros</v>
      </c>
    </row>
    <row r="65" spans="1:10" ht="15" thickBot="1" x14ac:dyDescent="0.4">
      <c r="A65" s="10">
        <v>46184</v>
      </c>
      <c r="B65" s="11" t="s">
        <v>84</v>
      </c>
      <c r="C65" s="11" t="s">
        <v>188</v>
      </c>
      <c r="D65" s="11" t="s">
        <v>86</v>
      </c>
      <c r="E65" s="11" t="s">
        <v>22</v>
      </c>
      <c r="F65" s="11" t="s">
        <v>22</v>
      </c>
      <c r="G65" s="11" t="s">
        <v>189</v>
      </c>
      <c r="H65" s="11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ht="15" thickBot="1" x14ac:dyDescent="0.4">
      <c r="A66" s="10">
        <v>46184</v>
      </c>
      <c r="B66" s="11" t="s">
        <v>73</v>
      </c>
      <c r="C66" s="11" t="s">
        <v>190</v>
      </c>
      <c r="D66" s="11" t="s">
        <v>12</v>
      </c>
      <c r="E66" s="11" t="s">
        <v>24</v>
      </c>
      <c r="F66" s="11" t="s">
        <v>24</v>
      </c>
      <c r="G66" s="11" t="s">
        <v>191</v>
      </c>
      <c r="H66" s="11" t="s">
        <v>69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Gobernador</v>
      </c>
    </row>
    <row r="67" spans="1:10" ht="15" thickBot="1" x14ac:dyDescent="0.4">
      <c r="A67" s="10">
        <v>46184</v>
      </c>
      <c r="B67" s="11" t="s">
        <v>73</v>
      </c>
      <c r="C67" s="11" t="s">
        <v>192</v>
      </c>
      <c r="D67" s="11" t="s">
        <v>12</v>
      </c>
      <c r="E67" s="11" t="s">
        <v>10</v>
      </c>
      <c r="F67" s="11" t="s">
        <v>10</v>
      </c>
      <c r="G67" s="11" t="s">
        <v>193</v>
      </c>
      <c r="H67" s="11" t="s">
        <v>11</v>
      </c>
      <c r="I67" t="str">
        <f>_xlfn.XLOOKUP(Tabla1[[#This Row],[Dependencia]],Tabla2[Dependencia],Tabla2[Clasificación],"No indexado")</f>
        <v>Otros</v>
      </c>
      <c r="J67" t="str">
        <f>_xlfn.XLOOKUP(Tabla1[[#This Row],[Dependencia]],Tabla3[Dependencia],Tabla3[Nivel],"otros",0)</f>
        <v>otros</v>
      </c>
    </row>
    <row r="68" spans="1:10" ht="15" thickBot="1" x14ac:dyDescent="0.4">
      <c r="A68" s="10">
        <v>46184</v>
      </c>
      <c r="B68" s="11" t="s">
        <v>73</v>
      </c>
      <c r="C68" s="11" t="s">
        <v>194</v>
      </c>
      <c r="D68" s="11" t="s">
        <v>13</v>
      </c>
      <c r="E68" s="11" t="s">
        <v>10</v>
      </c>
      <c r="F68" s="11" t="s">
        <v>10</v>
      </c>
      <c r="G68" s="11" t="s">
        <v>76</v>
      </c>
      <c r="H68" s="11" t="s">
        <v>11</v>
      </c>
      <c r="I68" t="str">
        <f>_xlfn.XLOOKUP(Tabla1[[#This Row],[Dependencia]],Tabla2[Dependencia],Tabla2[Clasificación],"No indexado")</f>
        <v>Otros</v>
      </c>
      <c r="J68" t="str">
        <f>_xlfn.XLOOKUP(Tabla1[[#This Row],[Dependencia]],Tabla3[Dependencia],Tabla3[Nivel],"otros",0)</f>
        <v>otros</v>
      </c>
    </row>
    <row r="69" spans="1:10" ht="26.5" thickBot="1" x14ac:dyDescent="0.4">
      <c r="A69" s="10">
        <v>46184</v>
      </c>
      <c r="B69" s="11" t="s">
        <v>73</v>
      </c>
      <c r="C69" s="11" t="s">
        <v>130</v>
      </c>
      <c r="D69" s="11" t="s">
        <v>12</v>
      </c>
      <c r="E69" s="11" t="s">
        <v>16</v>
      </c>
      <c r="F69" s="11" t="s">
        <v>82</v>
      </c>
      <c r="G69" s="11" t="s">
        <v>94</v>
      </c>
      <c r="H69" s="11" t="s">
        <v>11</v>
      </c>
      <c r="I69" t="str">
        <f>_xlfn.XLOOKUP(Tabla1[[#This Row],[Dependencia]],Tabla2[Dependencia],Tabla2[Clasificación],"No indexado")</f>
        <v>Alcaldías</v>
      </c>
      <c r="J69" t="str">
        <f>_xlfn.XLOOKUP(Tabla1[[#This Row],[Dependencia]],Tabla3[Dependencia],Tabla3[Nivel],"otros",0)</f>
        <v>otros</v>
      </c>
    </row>
    <row r="70" spans="1:10" ht="26.5" thickBot="1" x14ac:dyDescent="0.4">
      <c r="A70" s="10">
        <v>46184</v>
      </c>
      <c r="B70" s="11" t="s">
        <v>73</v>
      </c>
      <c r="C70" s="11" t="s">
        <v>195</v>
      </c>
      <c r="D70" s="11" t="s">
        <v>12</v>
      </c>
      <c r="E70" s="11" t="s">
        <v>24</v>
      </c>
      <c r="F70" s="11" t="s">
        <v>24</v>
      </c>
      <c r="G70" s="11" t="s">
        <v>140</v>
      </c>
      <c r="H70" s="11" t="s">
        <v>11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Gobernador</v>
      </c>
    </row>
    <row r="71" spans="1:10" ht="15" thickBot="1" x14ac:dyDescent="0.4">
      <c r="A71" s="10">
        <v>46184</v>
      </c>
      <c r="B71" s="11" t="s">
        <v>73</v>
      </c>
      <c r="C71" s="11" t="s">
        <v>92</v>
      </c>
      <c r="D71" s="11" t="s">
        <v>86</v>
      </c>
      <c r="E71" s="11" t="s">
        <v>16</v>
      </c>
      <c r="F71" s="11" t="s">
        <v>16</v>
      </c>
      <c r="G71" s="11" t="s">
        <v>91</v>
      </c>
      <c r="H71" s="11" t="s">
        <v>11</v>
      </c>
      <c r="I71" t="str">
        <f>_xlfn.XLOOKUP(Tabla1[[#This Row],[Dependencia]],Tabla2[Dependencia],Tabla2[Clasificación],"No indexado")</f>
        <v>Alcaldías</v>
      </c>
      <c r="J71" t="str">
        <f>_xlfn.XLOOKUP(Tabla1[[#This Row],[Dependencia]],Tabla3[Dependencia],Tabla3[Nivel],"otros",0)</f>
        <v>otros</v>
      </c>
    </row>
    <row r="72" spans="1:10" ht="15" thickBot="1" x14ac:dyDescent="0.4">
      <c r="A72" s="10">
        <v>46184</v>
      </c>
      <c r="B72" s="11" t="s">
        <v>73</v>
      </c>
      <c r="C72" s="11" t="s">
        <v>95</v>
      </c>
      <c r="D72" s="11" t="s">
        <v>86</v>
      </c>
      <c r="E72" s="11" t="s">
        <v>38</v>
      </c>
      <c r="F72" s="11" t="s">
        <v>38</v>
      </c>
      <c r="G72" s="11" t="s">
        <v>96</v>
      </c>
      <c r="H72" s="11" t="s">
        <v>11</v>
      </c>
      <c r="I72" t="str">
        <f>_xlfn.XLOOKUP(Tabla1[[#This Row],[Dependencia]],Tabla2[Dependencia],Tabla2[Clasificación],"No indexado")</f>
        <v>Gobierno del estado</v>
      </c>
      <c r="J72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6" t="s">
        <v>4</v>
      </c>
      <c r="E1" t="s">
        <v>65</v>
      </c>
    </row>
    <row r="2" spans="1:5" x14ac:dyDescent="0.35">
      <c r="A2" t="s">
        <v>61</v>
      </c>
      <c r="B2" t="s">
        <v>62</v>
      </c>
      <c r="D2" s="8" t="s">
        <v>19</v>
      </c>
      <c r="E2" t="s">
        <v>66</v>
      </c>
    </row>
    <row r="3" spans="1:5" x14ac:dyDescent="0.35">
      <c r="A3" t="s">
        <v>16</v>
      </c>
      <c r="B3" t="s">
        <v>31</v>
      </c>
      <c r="D3" s="7" t="s">
        <v>75</v>
      </c>
      <c r="E3" t="s">
        <v>66</v>
      </c>
    </row>
    <row r="4" spans="1:5" x14ac:dyDescent="0.35">
      <c r="A4" t="s">
        <v>19</v>
      </c>
      <c r="B4" t="s">
        <v>32</v>
      </c>
      <c r="D4" s="7" t="s">
        <v>34</v>
      </c>
      <c r="E4" t="s">
        <v>66</v>
      </c>
    </row>
    <row r="5" spans="1:5" x14ac:dyDescent="0.35">
      <c r="A5" t="s">
        <v>60</v>
      </c>
      <c r="B5" t="s">
        <v>10</v>
      </c>
      <c r="D5" s="8" t="s">
        <v>28</v>
      </c>
      <c r="E5" t="s">
        <v>66</v>
      </c>
    </row>
    <row r="6" spans="1:5" x14ac:dyDescent="0.35">
      <c r="A6" t="s">
        <v>75</v>
      </c>
      <c r="B6" t="s">
        <v>32</v>
      </c>
      <c r="D6" s="8" t="s">
        <v>35</v>
      </c>
      <c r="E6" t="s">
        <v>66</v>
      </c>
    </row>
    <row r="7" spans="1:5" x14ac:dyDescent="0.35">
      <c r="A7" t="s">
        <v>33</v>
      </c>
      <c r="B7" t="s">
        <v>10</v>
      </c>
      <c r="D7" s="7" t="s">
        <v>36</v>
      </c>
      <c r="E7" t="s">
        <v>66</v>
      </c>
    </row>
    <row r="8" spans="1:5" x14ac:dyDescent="0.35">
      <c r="A8" t="s">
        <v>34</v>
      </c>
      <c r="B8" t="s">
        <v>32</v>
      </c>
      <c r="D8" s="7" t="s">
        <v>36</v>
      </c>
      <c r="E8" t="s">
        <v>66</v>
      </c>
    </row>
    <row r="9" spans="1:5" x14ac:dyDescent="0.35">
      <c r="A9" t="s">
        <v>28</v>
      </c>
      <c r="B9" t="s">
        <v>32</v>
      </c>
      <c r="D9" s="7" t="s">
        <v>37</v>
      </c>
      <c r="E9" t="s">
        <v>66</v>
      </c>
    </row>
    <row r="10" spans="1:5" x14ac:dyDescent="0.35">
      <c r="A10" t="s">
        <v>25</v>
      </c>
      <c r="B10" t="s">
        <v>10</v>
      </c>
      <c r="D10" s="8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7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8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8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7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8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7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7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7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7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8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7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8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7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7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8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7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9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2026-06-12T00:24:49Z</dcterms:modified>
</cp:coreProperties>
</file>