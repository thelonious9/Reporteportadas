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CB62FED0-40E9-454A-A6F6-18281D7B56DC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</calcChain>
</file>

<file path=xl/sharedStrings.xml><?xml version="1.0" encoding="utf-8"?>
<sst xmlns="http://schemas.openxmlformats.org/spreadsheetml/2006/main" count="624" uniqueCount="206">
  <si>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</si>
  <si>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</si>
  <si>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</si>
  <si>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</si>
  <si>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</si>
  <si>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</si>
  <si>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</si>
  <si>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</si>
  <si>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</si>
  <si>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</si>
  <si>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</si>
  <si>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</si>
  <si>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</si>
  <si>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</si>
  <si>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</si>
  <si>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</si>
  <si>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</si>
  <si>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</si>
  <si>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</si>
  <si>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</si>
  <si>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</si>
  <si>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</si>
  <si>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</si>
  <si>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</si>
  <si>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</si>
  <si>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</si>
  <si>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</si>
  <si>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</si>
  <si>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</si>
  <si>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</si>
  <si>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</si>
  <si>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</si>
  <si>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</si>
  <si>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</si>
  <si>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</si>
  <si>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</si>
  <si>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</si>
  <si>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</si>
  <si>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</si>
  <si>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</si>
  <si>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</si>
  <si>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</si>
  <si>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</si>
  <si>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</si>
  <si>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</si>
  <si>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</si>
  <si>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</si>
  <si>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</si>
  <si>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</si>
  <si>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</si>
  <si>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</si>
  <si>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</si>
  <si>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</si>
  <si>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</si>
  <si>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</si>
  <si>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</si>
  <si>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</si>
  <si>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</si>
  <si>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</si>
  <si>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</si>
  <si>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</si>
  <si>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</si>
  <si>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</si>
  <si>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</si>
  <si>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</si>
  <si>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</si>
  <si>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</si>
  <si>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</si>
  <si>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</si>
  <si>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</si>
  <si>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</si>
  <si>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</si>
  <si>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</si>
  <si>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</si>
  <si>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</si>
  <si>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</si>
  <si>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</si>
  <si>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</si>
  <si>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</si>
  <si>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</si>
  <si>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</si>
  <si>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</si>
  <si>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</si>
  <si>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</si>
  <si>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</si>
  <si>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Reforma De Ley</t>
  </si>
  <si>
    <t>Pachuca Brilla</t>
  </si>
  <si>
    <t>Detención</t>
  </si>
  <si>
    <t>Feria Pachuca</t>
  </si>
  <si>
    <t>Atención Afectaciones Por Lluvias</t>
  </si>
  <si>
    <t>Huracán Priscilla</t>
  </si>
  <si>
    <t>Junta de Gobierno</t>
  </si>
  <si>
    <t>IMSS</t>
  </si>
  <si>
    <t>Alcalde</t>
  </si>
  <si>
    <t>OEEH</t>
  </si>
  <si>
    <t>Extitular</t>
  </si>
  <si>
    <t>Exposición Artística</t>
  </si>
  <si>
    <t>Sipdus</t>
  </si>
  <si>
    <t>FGR</t>
  </si>
  <si>
    <t>Combate a la delincuencia</t>
  </si>
  <si>
    <t>Plan Nacional De Vivienda</t>
  </si>
  <si>
    <t>Universidades</t>
  </si>
  <si>
    <t>Innovación tecnológica</t>
  </si>
  <si>
    <t>3,328 niñas, niños y adolescentes recibieron atención médica gratuita con Código Guinda</t>
  </si>
  <si>
    <t>Informe de actividades</t>
  </si>
  <si>
    <t>Exhorta párroco a demostrar fe con actos</t>
  </si>
  <si>
    <t>Reconocen a Hidalgo por fortalecer el arte</t>
  </si>
  <si>
    <t>Aprueban vender sus tierras para el tren</t>
  </si>
  <si>
    <t>SICT</t>
  </si>
  <si>
    <t>Tren México Querétaro</t>
  </si>
  <si>
    <t>Paste gigante deleita a miles de visitantes</t>
  </si>
  <si>
    <t>Festival Del Paste</t>
  </si>
  <si>
    <t>Exfuncionarios sin vinculación a proceso legal</t>
  </si>
  <si>
    <t>Desvío de recursos</t>
  </si>
  <si>
    <t>Reinstalan el portón de La Asuncioón tras reparaciones</t>
  </si>
  <si>
    <t>Conservación del Patrimonio Cultural</t>
  </si>
  <si>
    <t>Perfilan hasta 90 años de prisión a feminicidas</t>
  </si>
  <si>
    <t>Sentencia Feminicida</t>
  </si>
  <si>
    <t>Hornean el paste más grande del mundo</t>
  </si>
  <si>
    <t>Abasto en hospitales del IMSS está en 95%</t>
  </si>
  <si>
    <t>Abasto De Medicamentos</t>
  </si>
  <si>
    <t>Rehabilitan caminos tras precipitaciones</t>
  </si>
  <si>
    <t>Crece actividad industrial en la entidad 15.4%</t>
  </si>
  <si>
    <t>Índice De Actividad Industrial</t>
  </si>
  <si>
    <t>Inundan redes registros de morenistas para alcaldías</t>
  </si>
  <si>
    <t>Sucesión alcaldía</t>
  </si>
  <si>
    <t>El rey al rescate</t>
  </si>
  <si>
    <t>Cayó consecha en la paralimpiada</t>
  </si>
  <si>
    <t>Inhide</t>
  </si>
  <si>
    <t>Paranacionales Conade</t>
  </si>
  <si>
    <t>Bordados mantienen litigios por plagios</t>
  </si>
  <si>
    <t>Plagio de diseños indígenas</t>
  </si>
  <si>
    <t>Se requieren mil mdp para que se habilite el nuevo Hospital General</t>
  </si>
  <si>
    <t>Nuevo Hospital General</t>
  </si>
  <si>
    <t>En $6.9 millones, rehabilitación del pisal ubicado en el Ben Gurión</t>
  </si>
  <si>
    <t>Pisal Ben Gurión</t>
  </si>
  <si>
    <t>Diputada federal Mirna Rubio va por la reelección</t>
  </si>
  <si>
    <t>Reelección</t>
  </si>
  <si>
    <t>A fin de mes darán apoyos para reconstruir viviendas</t>
  </si>
  <si>
    <t>Apuesta de Salud en el estado; la prevención y más servicios</t>
  </si>
  <si>
    <t>titular</t>
  </si>
  <si>
    <t>Estrategia sanitaria</t>
  </si>
  <si>
    <t>En octubre serán entregadas las primeras Casas del Bienestar en el estado</t>
  </si>
  <si>
    <t>Infonavit</t>
  </si>
  <si>
    <t>Reconocen al programa cultural Tejido Vivo</t>
  </si>
  <si>
    <t>Formación artística</t>
  </si>
  <si>
    <t>Invertirán $7 millones en su mantenimiento</t>
  </si>
  <si>
    <t>Propone Aladro en el Vaticano acceso a justicia medioambiental</t>
  </si>
  <si>
    <t>Estrategia de cambio climático</t>
  </si>
  <si>
    <t>Festival del Paste cierra actividades en el REal</t>
  </si>
  <si>
    <t>Se agrava la violencia 103% en cárceles y en escuelas crece número de víctimas</t>
  </si>
  <si>
    <t>Ola De Violencia</t>
  </si>
  <si>
    <t>INAH: Evaluarán daños en tumbas del Panteón Inglés</t>
  </si>
  <si>
    <t>INAH</t>
  </si>
  <si>
    <t>Nissan refuerza producción en México con las Pick-ups</t>
  </si>
  <si>
    <t>Mark Zuckerberg l anza su agente de Inteligencia Artificial sin protocolos</t>
  </si>
  <si>
    <t>Hidalgo, segundo lugar nacional en expansión industrial</t>
  </si>
  <si>
    <t>Aprobación de Brugada alcanza 66.4% en CDMX</t>
  </si>
  <si>
    <t>Aprobación Gobernador</t>
  </si>
  <si>
    <t>Falta de dinero complica tener atlas de riesgo en 19 municipios</t>
  </si>
  <si>
    <t>PC</t>
  </si>
  <si>
    <t>Atlas de Riesgos</t>
  </si>
  <si>
    <t>Va por la unidad en Morena</t>
  </si>
  <si>
    <t>Cae presunto líder ligado a Los Rususosv en Acapulco</t>
  </si>
  <si>
    <t>Las universidades mexicanas tienen una oportunidad: incorporar la seguridad  integral como parte de su desarrollo educativo. Medir incidentes, identificar señales  de alerta, capacitar comunidades y evaluar lineamientos deben formar parte de sus  indicadores institucionales”.</t>
  </si>
  <si>
    <t>Celebra Real del Monte su herencia minera con Festival Internacional del Paste</t>
  </si>
  <si>
    <t>Rechazan regidores reforma que permite a alcaldes firmar contratos sin supervisión</t>
  </si>
  <si>
    <t>Regidor</t>
  </si>
  <si>
    <t>Anuncian campaña masiva de vacunación contra influenza y covid-19</t>
  </si>
  <si>
    <t>Campaña de vacunación</t>
  </si>
  <si>
    <t>Buscan que el cambio climático sea abordado por los tribunales</t>
  </si>
  <si>
    <t>Anuncian 860 mdp para reconstrucción de viviendas</t>
  </si>
  <si>
    <t>Protesta por agua contaminada deja decenas de heridos</t>
  </si>
  <si>
    <t>Represión</t>
  </si>
  <si>
    <t>E la política, como en la vida misma, hay que saber cuando el tiempo de resucitar rebasó los 3 días</t>
  </si>
  <si>
    <t>Hoy inician las comparecencias de funcionarios</t>
  </si>
  <si>
    <t>Comparecencias</t>
  </si>
  <si>
    <t>Tras feminicidio, tres fueron declarados culpables</t>
  </si>
  <si>
    <t>Sentencia multihomicida</t>
  </si>
  <si>
    <t>Túnel lleva a hallazgo de narcolaboratorio</t>
  </si>
  <si>
    <t>Narcolaboratorio</t>
  </si>
  <si>
    <t>Vanessa Escalante descarta buscar candidatura en 2027</t>
  </si>
  <si>
    <t>Gerardo Sosa reaparece, acusa persecución y apunta contra Omar Fayad</t>
  </si>
  <si>
    <t>Gerardo Sosa</t>
  </si>
  <si>
    <t>Consulta sobre corridas de toros costará 66 millones</t>
  </si>
  <si>
    <t>Tauromaquia</t>
  </si>
  <si>
    <t>David Penchyna sufre accidente en Pachuca</t>
  </si>
  <si>
    <t>PAN acusa reparto desigual</t>
  </si>
  <si>
    <t>Financiamiento a Partidos</t>
  </si>
  <si>
    <t>Cae ""El Moco""</t>
  </si>
  <si>
    <t>Sipdus continúa trabajos de rehabilitación de caminos afectados</t>
  </si>
  <si>
    <t>Desarrolla UPT sistema de bajo costo para mejorar imágenes de retina</t>
  </si>
  <si>
    <t>Sheinbaum y Menchaca transforman sistema de salud de Hidalgo</t>
  </si>
  <si>
    <t>Visita Sheinbaum</t>
  </si>
  <si>
    <t>Inaugura Cristhian Martínez nuevas canchas de tenis con inversión superior a los 3.8 mdp</t>
  </si>
  <si>
    <t>Fomento Al Deporte</t>
  </si>
  <si>
    <t>Sheinbaum entregará apoyos a damnificados el 29 de octubre</t>
  </si>
  <si>
    <t>Hidalgo obtiene reconocimiento internacional por llevar clases de arte a los 84 municipios</t>
  </si>
  <si>
    <t>Hidalgo incrementa metas de vacunación contra influenza y covid para el invierno</t>
  </si>
  <si>
    <t>318 familias con personas con discapacidad recibieron proyectos productivos</t>
  </si>
  <si>
    <t>Dejó intensa lluvia autos dañados y calles inundadas en La Reforma</t>
  </si>
  <si>
    <t>Afectaciones Por Lluvias</t>
  </si>
  <si>
    <t>Luis R. Conríquez puso bélico el Palenque 2026</t>
  </si>
  <si>
    <t>Sonoras Dinamita y Santanera hacen bailar a la feria con sus éxitos</t>
  </si>
  <si>
    <t>Salomón Ronddón rescata un punto para Tuzos</t>
  </si>
  <si>
    <t>Recuerda: la detección temprana salva vidads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</si>
</sst>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workbookViewId="0">
      <selection activeCell="A2" sqref="A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46307</v>
      </c>
      <c r="B2" t="s">
        <v>81</v>
      </c>
      <c r="C2" s="5" t="s">
        <v>105</v>
      </c>
      <c r="D2" t="s">
        <v>12</v>
      </c>
      <c r="E2" t="s">
        <v>10</v>
      </c>
      <c r="F2" t="s">
        <v>10</v>
      </c>
      <c r="G2" t="s">
        <v>78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46307</v>
      </c>
      <c r="B3" t="s">
        <v>81</v>
      </c>
      <c r="C3" s="5" t="s">
        <v>106</v>
      </c>
      <c r="D3" t="s">
        <v>12</v>
      </c>
      <c r="E3" t="s">
        <v>28</v>
      </c>
      <c r="F3" t="s">
        <v>28</v>
      </c>
      <c r="G3" t="s">
        <v>96</v>
      </c>
      <c r="H3" t="s">
        <v>72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46307</v>
      </c>
      <c r="B4" t="s">
        <v>81</v>
      </c>
      <c r="C4" s="5" t="s">
        <v>107</v>
      </c>
      <c r="D4" t="s">
        <v>13</v>
      </c>
      <c r="E4" t="s">
        <v>14</v>
      </c>
      <c r="F4" t="s">
        <v>108</v>
      </c>
      <c r="G4" t="s">
        <v>109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46307</v>
      </c>
      <c r="B5" t="s">
        <v>81</v>
      </c>
      <c r="C5" s="5" t="s">
        <v>110</v>
      </c>
      <c r="D5" t="s">
        <v>12</v>
      </c>
      <c r="E5" t="s">
        <v>16</v>
      </c>
      <c r="F5" t="s">
        <v>16</v>
      </c>
      <c r="G5" t="s">
        <v>111</v>
      </c>
      <c r="H5" t="s">
        <v>11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46307</v>
      </c>
      <c r="B6" t="s">
        <v>81</v>
      </c>
      <c r="C6" s="5" t="s">
        <v>112</v>
      </c>
      <c r="D6" t="s">
        <v>12</v>
      </c>
      <c r="E6" t="s">
        <v>59</v>
      </c>
      <c r="F6" t="s">
        <v>59</v>
      </c>
      <c r="G6" t="s">
        <v>113</v>
      </c>
      <c r="H6" t="s">
        <v>68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46307</v>
      </c>
      <c r="B7" t="s">
        <v>81</v>
      </c>
      <c r="C7" s="5" t="s">
        <v>114</v>
      </c>
      <c r="D7" t="s">
        <v>9</v>
      </c>
      <c r="E7" t="s">
        <v>10</v>
      </c>
      <c r="F7" t="s">
        <v>10</v>
      </c>
      <c r="G7" t="s">
        <v>115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46307</v>
      </c>
      <c r="B8" t="s">
        <v>69</v>
      </c>
      <c r="C8" s="5" t="s">
        <v>116</v>
      </c>
      <c r="D8" t="s">
        <v>13</v>
      </c>
      <c r="E8" t="s">
        <v>58</v>
      </c>
      <c r="F8" t="s">
        <v>58</v>
      </c>
      <c r="G8" t="s">
        <v>117</v>
      </c>
      <c r="H8" t="s">
        <v>72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46307</v>
      </c>
      <c r="B9" t="s">
        <v>69</v>
      </c>
      <c r="C9" s="5" t="s">
        <v>118</v>
      </c>
      <c r="D9" t="s">
        <v>9</v>
      </c>
      <c r="E9" t="s">
        <v>16</v>
      </c>
      <c r="F9" t="s">
        <v>16</v>
      </c>
      <c r="G9" t="s">
        <v>111</v>
      </c>
      <c r="H9" t="s">
        <v>11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46307</v>
      </c>
      <c r="B10" t="s">
        <v>69</v>
      </c>
      <c r="C10" s="5" t="s">
        <v>119</v>
      </c>
      <c r="D10" t="s">
        <v>12</v>
      </c>
      <c r="E10" t="s">
        <v>14</v>
      </c>
      <c r="F10" t="s">
        <v>92</v>
      </c>
      <c r="G10" t="s">
        <v>120</v>
      </c>
      <c r="H10" t="s">
        <v>72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46307</v>
      </c>
      <c r="B11" t="s">
        <v>69</v>
      </c>
      <c r="C11" s="5" t="s">
        <v>121</v>
      </c>
      <c r="D11" t="s">
        <v>12</v>
      </c>
      <c r="E11" t="s">
        <v>97</v>
      </c>
      <c r="F11" t="s">
        <v>97</v>
      </c>
      <c r="G11" t="s">
        <v>89</v>
      </c>
      <c r="H11" t="s">
        <v>72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46307</v>
      </c>
      <c r="B12" t="s">
        <v>69</v>
      </c>
      <c r="C12" s="5" t="s">
        <v>122</v>
      </c>
      <c r="D12" t="s">
        <v>12</v>
      </c>
      <c r="E12" t="s">
        <v>54</v>
      </c>
      <c r="F12" t="s">
        <v>54</v>
      </c>
      <c r="G12" t="s">
        <v>123</v>
      </c>
      <c r="H12" t="s">
        <v>72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46307</v>
      </c>
      <c r="B13" t="s">
        <v>69</v>
      </c>
      <c r="C13" s="5" t="s">
        <v>124</v>
      </c>
      <c r="D13" t="s">
        <v>12</v>
      </c>
      <c r="E13" t="s">
        <v>18</v>
      </c>
      <c r="F13" t="s">
        <v>18</v>
      </c>
      <c r="G13" t="s">
        <v>125</v>
      </c>
      <c r="H13" t="s">
        <v>11</v>
      </c>
      <c r="I13" t="str">
        <f>_xlfn.XLOOKUP(Tabla1[[#This Row],[Dependencia]],Tabla2[Dependencia],Tabla2[Clasificación],"XXX",0)</f>
        <v>Partidos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46307</v>
      </c>
      <c r="B14" t="s">
        <v>71</v>
      </c>
      <c r="C14" s="5" t="s">
        <v>126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46307</v>
      </c>
      <c r="B15" t="s">
        <v>71</v>
      </c>
      <c r="C15" s="5" t="s">
        <v>127</v>
      </c>
      <c r="D15" t="s">
        <v>12</v>
      </c>
      <c r="E15" t="s">
        <v>26</v>
      </c>
      <c r="F15" t="s">
        <v>128</v>
      </c>
      <c r="G15" t="s">
        <v>129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11">
        <v>46307</v>
      </c>
      <c r="B16" t="s">
        <v>71</v>
      </c>
      <c r="C16" s="5" t="s">
        <v>130</v>
      </c>
      <c r="D16" t="s">
        <v>13</v>
      </c>
      <c r="E16" t="s">
        <v>28</v>
      </c>
      <c r="F16" t="s">
        <v>28</v>
      </c>
      <c r="G16" t="s">
        <v>131</v>
      </c>
      <c r="H16" t="s">
        <v>68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46307</v>
      </c>
      <c r="B17" t="s">
        <v>71</v>
      </c>
      <c r="C17" s="5" t="s">
        <v>132</v>
      </c>
      <c r="D17" t="s">
        <v>12</v>
      </c>
      <c r="E17" t="s">
        <v>24</v>
      </c>
      <c r="F17" t="s">
        <v>24</v>
      </c>
      <c r="G17" t="s">
        <v>133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ht="30" x14ac:dyDescent="0.25">
      <c r="A18" s="11">
        <v>46307</v>
      </c>
      <c r="B18" t="s">
        <v>71</v>
      </c>
      <c r="C18" s="5" t="s">
        <v>134</v>
      </c>
      <c r="D18" t="s">
        <v>9</v>
      </c>
      <c r="E18" t="s">
        <v>97</v>
      </c>
      <c r="F18" t="s">
        <v>97</v>
      </c>
      <c r="G18" t="s">
        <v>135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46307</v>
      </c>
      <c r="B19" t="s">
        <v>71</v>
      </c>
      <c r="C19" s="5" t="s">
        <v>136</v>
      </c>
      <c r="D19" t="s">
        <v>12</v>
      </c>
      <c r="E19" t="s">
        <v>10</v>
      </c>
      <c r="F19" t="s">
        <v>10</v>
      </c>
      <c r="G19" t="s">
        <v>137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46307</v>
      </c>
      <c r="B20" t="s">
        <v>71</v>
      </c>
      <c r="C20" s="5" t="s">
        <v>138</v>
      </c>
      <c r="D20" t="s">
        <v>12</v>
      </c>
      <c r="E20" t="s">
        <v>14</v>
      </c>
      <c r="F20" t="s">
        <v>14</v>
      </c>
      <c r="G20" t="s">
        <v>90</v>
      </c>
      <c r="H20" t="s">
        <v>11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46307</v>
      </c>
      <c r="B21" t="s">
        <v>75</v>
      </c>
      <c r="C21" s="5" t="s">
        <v>139</v>
      </c>
      <c r="D21" t="s">
        <v>13</v>
      </c>
      <c r="E21" t="s">
        <v>15</v>
      </c>
      <c r="F21" t="s">
        <v>140</v>
      </c>
      <c r="G21" t="s">
        <v>141</v>
      </c>
      <c r="H21" t="s">
        <v>72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46307</v>
      </c>
      <c r="B22" t="s">
        <v>75</v>
      </c>
      <c r="C22" s="5" t="s">
        <v>142</v>
      </c>
      <c r="D22" t="s">
        <v>12</v>
      </c>
      <c r="E22" t="s">
        <v>14</v>
      </c>
      <c r="F22" t="s">
        <v>143</v>
      </c>
      <c r="G22" t="s">
        <v>100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46307</v>
      </c>
      <c r="B23" t="s">
        <v>75</v>
      </c>
      <c r="C23" s="5" t="s">
        <v>144</v>
      </c>
      <c r="D23" t="s">
        <v>12</v>
      </c>
      <c r="E23" t="s">
        <v>28</v>
      </c>
      <c r="F23" t="s">
        <v>28</v>
      </c>
      <c r="G23" t="s">
        <v>145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46307</v>
      </c>
      <c r="B24" t="s">
        <v>75</v>
      </c>
      <c r="C24" s="5" t="s">
        <v>146</v>
      </c>
      <c r="D24" t="s">
        <v>12</v>
      </c>
      <c r="E24" t="s">
        <v>97</v>
      </c>
      <c r="F24" t="s">
        <v>97</v>
      </c>
      <c r="G24" t="s">
        <v>135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46307</v>
      </c>
      <c r="B25" t="s">
        <v>75</v>
      </c>
      <c r="C25" s="5" t="s">
        <v>147</v>
      </c>
      <c r="D25" t="s">
        <v>12</v>
      </c>
      <c r="E25" t="s">
        <v>58</v>
      </c>
      <c r="F25" t="s">
        <v>2</v>
      </c>
      <c r="G25" t="s">
        <v>148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46307</v>
      </c>
      <c r="B26" t="s">
        <v>75</v>
      </c>
      <c r="C26" s="5" t="s">
        <v>149</v>
      </c>
      <c r="D26" t="s">
        <v>12</v>
      </c>
      <c r="E26" t="s">
        <v>33</v>
      </c>
      <c r="F26" t="s">
        <v>91</v>
      </c>
      <c r="G26" t="s">
        <v>111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46307</v>
      </c>
      <c r="B27" t="s">
        <v>75</v>
      </c>
      <c r="C27" s="5" t="s">
        <v>150</v>
      </c>
      <c r="D27" t="s">
        <v>12</v>
      </c>
      <c r="E27" t="s">
        <v>14</v>
      </c>
      <c r="F27" t="s">
        <v>14</v>
      </c>
      <c r="G27" t="s">
        <v>151</v>
      </c>
      <c r="H27" t="s">
        <v>68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46307</v>
      </c>
      <c r="B28" t="s">
        <v>75</v>
      </c>
      <c r="C28" s="5" t="s">
        <v>152</v>
      </c>
      <c r="D28" t="s">
        <v>12</v>
      </c>
      <c r="E28" t="s">
        <v>14</v>
      </c>
      <c r="F28" t="s">
        <v>153</v>
      </c>
      <c r="G28" t="s">
        <v>115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46307</v>
      </c>
      <c r="B29" t="s">
        <v>75</v>
      </c>
      <c r="C29" s="5" t="s">
        <v>154</v>
      </c>
      <c r="D29" t="s">
        <v>12</v>
      </c>
      <c r="E29" t="s">
        <v>10</v>
      </c>
      <c r="F29" t="s">
        <v>10</v>
      </c>
      <c r="G29" t="s">
        <v>78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46307</v>
      </c>
      <c r="B30" t="s">
        <v>75</v>
      </c>
      <c r="C30" s="5" t="s">
        <v>155</v>
      </c>
      <c r="D30" t="s">
        <v>12</v>
      </c>
      <c r="E30" t="s">
        <v>10</v>
      </c>
      <c r="F30" t="s">
        <v>10</v>
      </c>
      <c r="G30" t="s">
        <v>78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46307</v>
      </c>
      <c r="B31" t="s">
        <v>79</v>
      </c>
      <c r="C31" s="5" t="s">
        <v>156</v>
      </c>
      <c r="D31" t="s">
        <v>13</v>
      </c>
      <c r="E31" t="s">
        <v>54</v>
      </c>
      <c r="F31" t="s">
        <v>54</v>
      </c>
      <c r="G31" t="s">
        <v>123</v>
      </c>
      <c r="H31" t="s">
        <v>72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11">
        <v>46307</v>
      </c>
      <c r="B32" t="s">
        <v>79</v>
      </c>
      <c r="C32" s="5" t="s">
        <v>157</v>
      </c>
      <c r="D32" t="s">
        <v>12</v>
      </c>
      <c r="E32" t="s">
        <v>10</v>
      </c>
      <c r="F32" t="s">
        <v>10</v>
      </c>
      <c r="G32" t="s">
        <v>158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46307</v>
      </c>
      <c r="B33" t="s">
        <v>79</v>
      </c>
      <c r="C33" s="5" t="s">
        <v>159</v>
      </c>
      <c r="D33" t="s">
        <v>12</v>
      </c>
      <c r="E33" t="s">
        <v>23</v>
      </c>
      <c r="F33" t="s">
        <v>160</v>
      </c>
      <c r="G33" t="s">
        <v>161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46307</v>
      </c>
      <c r="B34" t="s">
        <v>79</v>
      </c>
      <c r="C34" s="5" t="s">
        <v>162</v>
      </c>
      <c r="D34" t="s">
        <v>9</v>
      </c>
      <c r="E34" t="s">
        <v>47</v>
      </c>
      <c r="F34" t="s">
        <v>95</v>
      </c>
      <c r="G34" t="s">
        <v>61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46307</v>
      </c>
      <c r="B35" t="s">
        <v>79</v>
      </c>
      <c r="C35" s="5" t="s">
        <v>163</v>
      </c>
      <c r="D35" t="s">
        <v>12</v>
      </c>
      <c r="E35" t="s">
        <v>14</v>
      </c>
      <c r="F35" t="s">
        <v>98</v>
      </c>
      <c r="G35" t="s">
        <v>87</v>
      </c>
      <c r="H35" t="s">
        <v>11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ht="90" x14ac:dyDescent="0.25">
      <c r="A36" s="11">
        <v>46307</v>
      </c>
      <c r="B36" t="s">
        <v>79</v>
      </c>
      <c r="C36" s="5" t="s">
        <v>164</v>
      </c>
      <c r="D36" t="s">
        <v>12</v>
      </c>
      <c r="E36" t="s">
        <v>10</v>
      </c>
      <c r="F36" t="s">
        <v>10</v>
      </c>
      <c r="G36" t="s">
        <v>78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46307</v>
      </c>
      <c r="B37" t="s">
        <v>74</v>
      </c>
      <c r="C37" s="5" t="s">
        <v>165</v>
      </c>
      <c r="D37" t="s">
        <v>13</v>
      </c>
      <c r="E37" t="s">
        <v>58</v>
      </c>
      <c r="F37" t="s">
        <v>2</v>
      </c>
      <c r="G37" t="s">
        <v>111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46307</v>
      </c>
      <c r="B38" t="s">
        <v>74</v>
      </c>
      <c r="C38" s="5" t="s">
        <v>166</v>
      </c>
      <c r="D38" t="s">
        <v>12</v>
      </c>
      <c r="E38" t="s">
        <v>16</v>
      </c>
      <c r="F38" t="s">
        <v>167</v>
      </c>
      <c r="G38" t="s">
        <v>85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46307</v>
      </c>
      <c r="B39" t="s">
        <v>74</v>
      </c>
      <c r="C39" s="5" t="s">
        <v>168</v>
      </c>
      <c r="D39" t="s">
        <v>12</v>
      </c>
      <c r="E39" t="s">
        <v>15</v>
      </c>
      <c r="F39" t="s">
        <v>15</v>
      </c>
      <c r="G39" t="s">
        <v>169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46307</v>
      </c>
      <c r="B40" t="s">
        <v>74</v>
      </c>
      <c r="C40" s="5" t="s">
        <v>170</v>
      </c>
      <c r="D40" t="s">
        <v>12</v>
      </c>
      <c r="E40" t="s">
        <v>58</v>
      </c>
      <c r="F40" t="s">
        <v>2</v>
      </c>
      <c r="G40" t="s">
        <v>148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46307</v>
      </c>
      <c r="B41" t="s">
        <v>77</v>
      </c>
      <c r="C41" s="5" t="s">
        <v>171</v>
      </c>
      <c r="D41" t="s">
        <v>13</v>
      </c>
      <c r="E41" t="s">
        <v>14</v>
      </c>
      <c r="F41" t="s">
        <v>14</v>
      </c>
      <c r="G41" t="s">
        <v>90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46307</v>
      </c>
      <c r="B42" t="s">
        <v>77</v>
      </c>
      <c r="C42" s="5" t="s">
        <v>172</v>
      </c>
      <c r="D42" t="s">
        <v>12</v>
      </c>
      <c r="E42" t="s">
        <v>10</v>
      </c>
      <c r="F42" t="s">
        <v>10</v>
      </c>
      <c r="G42" t="s">
        <v>173</v>
      </c>
      <c r="H42" t="s">
        <v>68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46307</v>
      </c>
      <c r="B43" t="s">
        <v>77</v>
      </c>
      <c r="C43" s="5" t="s">
        <v>174</v>
      </c>
      <c r="D43" t="s">
        <v>12</v>
      </c>
      <c r="E43" t="s">
        <v>10</v>
      </c>
      <c r="F43" t="s">
        <v>10</v>
      </c>
      <c r="G43" t="s">
        <v>78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11">
        <v>46307</v>
      </c>
      <c r="B44" t="s">
        <v>77</v>
      </c>
      <c r="C44" s="5" t="s">
        <v>175</v>
      </c>
      <c r="D44" t="s">
        <v>12</v>
      </c>
      <c r="E44" t="s">
        <v>33</v>
      </c>
      <c r="F44" t="s">
        <v>33</v>
      </c>
      <c r="G44" t="s">
        <v>176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46307</v>
      </c>
      <c r="B45" t="s">
        <v>77</v>
      </c>
      <c r="C45" s="5" t="s">
        <v>177</v>
      </c>
      <c r="D45" t="s">
        <v>12</v>
      </c>
      <c r="E45" t="s">
        <v>58</v>
      </c>
      <c r="F45" t="s">
        <v>58</v>
      </c>
      <c r="G45" t="s">
        <v>178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25">
      <c r="A46" s="11">
        <v>46307</v>
      </c>
      <c r="B46" t="s">
        <v>73</v>
      </c>
      <c r="C46" s="5" t="s">
        <v>179</v>
      </c>
      <c r="D46" t="s">
        <v>9</v>
      </c>
      <c r="E46" t="s">
        <v>22</v>
      </c>
      <c r="F46" t="s">
        <v>22</v>
      </c>
      <c r="G46" t="s">
        <v>180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46307</v>
      </c>
      <c r="B47" t="s">
        <v>73</v>
      </c>
      <c r="C47" s="5" t="s">
        <v>181</v>
      </c>
      <c r="D47" t="s">
        <v>12</v>
      </c>
      <c r="E47" t="s">
        <v>15</v>
      </c>
      <c r="F47" t="s">
        <v>2</v>
      </c>
      <c r="G47" t="s">
        <v>61</v>
      </c>
      <c r="H47" t="s">
        <v>72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46307</v>
      </c>
      <c r="B48" t="s">
        <v>73</v>
      </c>
      <c r="C48" s="5" t="s">
        <v>182</v>
      </c>
      <c r="D48" t="s">
        <v>13</v>
      </c>
      <c r="E48" t="s">
        <v>59</v>
      </c>
      <c r="F48" t="s">
        <v>59</v>
      </c>
      <c r="G48" t="s">
        <v>183</v>
      </c>
      <c r="H48" t="s">
        <v>68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46307</v>
      </c>
      <c r="B49" t="s">
        <v>73</v>
      </c>
      <c r="C49" s="5" t="s">
        <v>184</v>
      </c>
      <c r="D49" t="s">
        <v>12</v>
      </c>
      <c r="E49" t="s">
        <v>33</v>
      </c>
      <c r="F49" t="s">
        <v>33</v>
      </c>
      <c r="G49" t="s">
        <v>185</v>
      </c>
      <c r="H49" t="s">
        <v>68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46307</v>
      </c>
      <c r="B50" t="s">
        <v>73</v>
      </c>
      <c r="C50" s="5" t="s">
        <v>186</v>
      </c>
      <c r="D50" t="s">
        <v>12</v>
      </c>
      <c r="E50" t="s">
        <v>10</v>
      </c>
      <c r="F50" t="s">
        <v>10</v>
      </c>
      <c r="G50" t="s">
        <v>78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46307</v>
      </c>
      <c r="B51" t="s">
        <v>73</v>
      </c>
      <c r="C51" s="5" t="s">
        <v>187</v>
      </c>
      <c r="D51" t="s">
        <v>12</v>
      </c>
      <c r="E51" t="s">
        <v>45</v>
      </c>
      <c r="F51" t="s">
        <v>45</v>
      </c>
      <c r="G51" t="s">
        <v>188</v>
      </c>
      <c r="H51" t="s">
        <v>11</v>
      </c>
      <c r="I51" t="str">
        <f>_xlfn.XLOOKUP(Tabla1[[#This Row],[Dependencia]],Tabla2[Dependencia],Tabla2[Clasificación],"XXX",0)</f>
        <v>Partidos</v>
      </c>
      <c r="J51" t="str">
        <f>_xlfn.XLOOKUP(Tabla1[[#This Row],[Dependencia]],Tabla3[Dependencia],Tabla3[Nivel],"Otros",0)</f>
        <v>Otros</v>
      </c>
    </row>
    <row r="52" spans="1:10" x14ac:dyDescent="0.25">
      <c r="A52" s="11">
        <v>46307</v>
      </c>
      <c r="B52" t="s">
        <v>73</v>
      </c>
      <c r="C52" s="5" t="s">
        <v>189</v>
      </c>
      <c r="D52" t="s">
        <v>12</v>
      </c>
      <c r="E52" t="s">
        <v>14</v>
      </c>
      <c r="F52" t="s">
        <v>98</v>
      </c>
      <c r="G52" t="s">
        <v>99</v>
      </c>
      <c r="H52" t="s">
        <v>11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46307</v>
      </c>
      <c r="B53" t="s">
        <v>82</v>
      </c>
      <c r="C53" s="5" t="s">
        <v>190</v>
      </c>
      <c r="D53" t="s">
        <v>83</v>
      </c>
      <c r="E53" t="s">
        <v>97</v>
      </c>
      <c r="F53" t="s">
        <v>97</v>
      </c>
      <c r="G53" t="s">
        <v>89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46307</v>
      </c>
      <c r="B54" t="s">
        <v>82</v>
      </c>
      <c r="C54" s="5" t="s">
        <v>191</v>
      </c>
      <c r="D54" t="s">
        <v>12</v>
      </c>
      <c r="E54" t="s">
        <v>26</v>
      </c>
      <c r="F54" t="s">
        <v>101</v>
      </c>
      <c r="G54" t="s">
        <v>102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46307</v>
      </c>
      <c r="B55" t="s">
        <v>82</v>
      </c>
      <c r="C55" s="5" t="s">
        <v>192</v>
      </c>
      <c r="D55" t="s">
        <v>13</v>
      </c>
      <c r="E55" t="s">
        <v>24</v>
      </c>
      <c r="F55" t="s">
        <v>24</v>
      </c>
      <c r="G55" t="s">
        <v>193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46307</v>
      </c>
      <c r="B56" t="s">
        <v>82</v>
      </c>
      <c r="C56" s="5" t="s">
        <v>194</v>
      </c>
      <c r="D56" t="s">
        <v>12</v>
      </c>
      <c r="E56" t="s">
        <v>16</v>
      </c>
      <c r="F56" t="s">
        <v>93</v>
      </c>
      <c r="G56" t="s">
        <v>195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46307</v>
      </c>
      <c r="B57" t="s">
        <v>82</v>
      </c>
      <c r="C57" s="5" t="s">
        <v>196</v>
      </c>
      <c r="D57" t="s">
        <v>12</v>
      </c>
      <c r="E57" t="s">
        <v>14</v>
      </c>
      <c r="F57" t="s">
        <v>14</v>
      </c>
      <c r="G57" t="s">
        <v>90</v>
      </c>
      <c r="H57" t="s">
        <v>11</v>
      </c>
      <c r="I57" t="str">
        <f>_xlfn.XLOOKUP(Tabla1[[#This Row],[Dependencia]],Tabla2[Dependencia],Tabla2[Clasificación],"XXX",0)</f>
        <v>Presidencia de la República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46307</v>
      </c>
      <c r="B58" t="s">
        <v>82</v>
      </c>
      <c r="C58" s="5" t="s">
        <v>197</v>
      </c>
      <c r="D58" t="s">
        <v>12</v>
      </c>
      <c r="E58" t="s">
        <v>28</v>
      </c>
      <c r="F58" t="s">
        <v>28</v>
      </c>
      <c r="G58" t="s">
        <v>145</v>
      </c>
      <c r="H58" t="s">
        <v>72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46307</v>
      </c>
      <c r="B59" t="s">
        <v>82</v>
      </c>
      <c r="C59" s="5" t="s">
        <v>198</v>
      </c>
      <c r="D59" t="s">
        <v>12</v>
      </c>
      <c r="E59" t="s">
        <v>15</v>
      </c>
      <c r="F59" t="s">
        <v>15</v>
      </c>
      <c r="G59" t="s">
        <v>169</v>
      </c>
      <c r="H59" t="s">
        <v>72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11">
        <v>46307</v>
      </c>
      <c r="B60" t="s">
        <v>82</v>
      </c>
      <c r="C60" s="5" t="s">
        <v>199</v>
      </c>
      <c r="D60" t="s">
        <v>80</v>
      </c>
      <c r="E60" t="s">
        <v>36</v>
      </c>
      <c r="F60" t="s">
        <v>2</v>
      </c>
      <c r="G60" t="s">
        <v>104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46307</v>
      </c>
      <c r="B61" t="s">
        <v>86</v>
      </c>
      <c r="C61" s="5" t="s">
        <v>200</v>
      </c>
      <c r="D61" t="s">
        <v>13</v>
      </c>
      <c r="E61" t="s">
        <v>10</v>
      </c>
      <c r="F61" t="s">
        <v>10</v>
      </c>
      <c r="G61" t="s">
        <v>201</v>
      </c>
      <c r="H61" t="s">
        <v>68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11">
        <v>46307</v>
      </c>
      <c r="B62" t="s">
        <v>86</v>
      </c>
      <c r="C62" s="5" t="s">
        <v>202</v>
      </c>
      <c r="D62" t="s">
        <v>12</v>
      </c>
      <c r="E62" t="s">
        <v>29</v>
      </c>
      <c r="F62" t="s">
        <v>94</v>
      </c>
      <c r="G62" t="s">
        <v>88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46307</v>
      </c>
      <c r="B63" t="s">
        <v>86</v>
      </c>
      <c r="C63" s="5" t="s">
        <v>203</v>
      </c>
      <c r="D63" t="s">
        <v>12</v>
      </c>
      <c r="E63" t="s">
        <v>29</v>
      </c>
      <c r="F63" t="s">
        <v>94</v>
      </c>
      <c r="G63" t="s">
        <v>88</v>
      </c>
      <c r="H63" t="s">
        <v>72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46307</v>
      </c>
      <c r="B64" t="s">
        <v>86</v>
      </c>
      <c r="C64" s="5" t="s">
        <v>198</v>
      </c>
      <c r="D64" t="s">
        <v>12</v>
      </c>
      <c r="E64" t="s">
        <v>15</v>
      </c>
      <c r="F64" t="s">
        <v>15</v>
      </c>
      <c r="G64" t="s">
        <v>169</v>
      </c>
      <c r="H64" t="s">
        <v>72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46307</v>
      </c>
      <c r="B65" t="s">
        <v>86</v>
      </c>
      <c r="C65" s="5" t="s">
        <v>204</v>
      </c>
      <c r="D65" t="s">
        <v>12</v>
      </c>
      <c r="E65" t="s">
        <v>10</v>
      </c>
      <c r="F65" t="s">
        <v>10</v>
      </c>
      <c r="G65" t="s">
        <v>70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46307</v>
      </c>
      <c r="B66" t="s">
        <v>86</v>
      </c>
      <c r="C66" s="5" t="s">
        <v>103</v>
      </c>
      <c r="D66" t="s">
        <v>80</v>
      </c>
      <c r="E66" t="s">
        <v>36</v>
      </c>
      <c r="F66" t="s">
        <v>36</v>
      </c>
      <c r="G66" t="s">
        <v>104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11">
        <v>46307</v>
      </c>
      <c r="B67" t="s">
        <v>86</v>
      </c>
      <c r="C67" s="5" t="s">
        <v>205</v>
      </c>
      <c r="D67" t="s">
        <v>80</v>
      </c>
      <c r="E67" t="s">
        <v>16</v>
      </c>
      <c r="F67" t="s">
        <v>16</v>
      </c>
      <c r="G67" t="s">
        <v>84</v>
      </c>
      <c r="H67" t="s">
        <v>11</v>
      </c>
      <c r="I67" t="str">
        <f>_xlfn.XLOOKUP(Tabla1[[#This Row],[Dependencia]],Tabla2[Dependencia],Tabla2[Clasificación],"XXX",0)</f>
        <v>Alcaldías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76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2026-10-12T14:52:34Z</dcterms:modified>
</cp:coreProperties>
</file>