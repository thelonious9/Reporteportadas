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208D29E3-E64D-4EF2-9FBE-72A33287BA8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</calcChain>
</file>

<file path=xl/sharedStrings.xml><?xml version="1.0" encoding="utf-8"?>
<sst xmlns="http://schemas.openxmlformats.org/spreadsheetml/2006/main" count="596" uniqueCount="191">
  <si>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</si>
  <si>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</si>
  <si>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</si>
  <si>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</si>
  <si>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</si>
  <si>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</si>
  <si>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</si>
  <si>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</si>
  <si>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</si>
  <si>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</si>
  <si>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</si>
  <si>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</si>
  <si>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</si>
  <si>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</si>
  <si>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</si>
  <si>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</si>
  <si>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</si>
  <si>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</si>
  <si>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</si>
  <si>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</si>
  <si>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</si>
  <si>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</si>
  <si>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</si>
  <si>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</si>
  <si>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</si>
  <si>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</si>
  <si>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</si>
  <si>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</si>
  <si>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</si>
  <si>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</si>
  <si>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</si>
  <si>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</si>
  <si>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</si>
  <si>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</si>
  <si>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</si>
  <si>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</si>
  <si>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</si>
  <si>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</si>
  <si>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</si>
  <si>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</si>
  <si>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</si>
  <si>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</si>
  <si>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</si>
  <si>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</si>
  <si>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</si>
  <si>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</si>
  <si>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</si>
  <si>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</si>
  <si>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</si>
  <si>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</si>
  <si>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</si>
  <si>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</si>
  <si>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</si>
  <si>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</si>
  <si>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</si>
  <si>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</si>
  <si>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</si>
  <si>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</si>
  <si>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</si>
  <si>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</si>
  <si>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</si>
  <si>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</si>
  <si>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</si>
  <si>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</si>
  <si>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</si>
  <si>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</si>
  <si>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</si>
  <si>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</si>
  <si>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</si>
  <si>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</si>
  <si>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</si>
  <si>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</si>
  <si>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</si>
  <si>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</si>
  <si>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</si>
  <si>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</si>
  <si>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Pachuca Brilla</t>
  </si>
  <si>
    <t>Plaza Juárez</t>
  </si>
  <si>
    <t>Síntesis</t>
  </si>
  <si>
    <t>Marfeca</t>
  </si>
  <si>
    <t>Milenio Hidalgo</t>
  </si>
  <si>
    <t>Alcalde</t>
  </si>
  <si>
    <t>Informe De Gobierno</t>
  </si>
  <si>
    <t>Publicidad</t>
  </si>
  <si>
    <t>Informe Alcalde</t>
  </si>
  <si>
    <t>Temas varios</t>
  </si>
  <si>
    <t>Incidencia Delictiva</t>
  </si>
  <si>
    <t>SICT</t>
  </si>
  <si>
    <t>Afectaciones Por Lluvias</t>
  </si>
  <si>
    <t>Fotonota</t>
  </si>
  <si>
    <t>Migración</t>
  </si>
  <si>
    <t>PAZ</t>
  </si>
  <si>
    <t>Conmemoración Aniversario</t>
  </si>
  <si>
    <t>Cintillo</t>
  </si>
  <si>
    <t>Huracán Priscilla</t>
  </si>
  <si>
    <t>Inseguridad</t>
  </si>
  <si>
    <t>Publicidad gubernamental</t>
  </si>
  <si>
    <t>Editorial</t>
  </si>
  <si>
    <t>Plantean obras millonarias para reconstrucción, tren, hospitales...</t>
  </si>
  <si>
    <t>Presupuesto De Egresos</t>
  </si>
  <si>
    <t>Improvisan puente en Tianguistengo</t>
  </si>
  <si>
    <t>Va renovación a Museo del Ferrocarril</t>
  </si>
  <si>
    <t>Rehabilitación de museo</t>
  </si>
  <si>
    <t>Logra adopción luego de 3 años de lucha</t>
  </si>
  <si>
    <t>Adopción De Menores</t>
  </si>
  <si>
    <t>Se abre socavón en el bulevar Colosio</t>
  </si>
  <si>
    <t>Sipdus</t>
  </si>
  <si>
    <t>Socavón</t>
  </si>
  <si>
    <t>Tira TEPJF demanda contra contralor de Tribunal estatal</t>
  </si>
  <si>
    <t>Órgano Interno de Control</t>
  </si>
  <si>
    <t>Exhortan a fijar y verificar tarifa de taxis</t>
  </si>
  <si>
    <t>GLPVEM</t>
  </si>
  <si>
    <t>Tarifario de taxis</t>
  </si>
  <si>
    <t>Desecha TEPJF demanda del magistrado Leodegario Hernández</t>
  </si>
  <si>
    <t>Simplemente no corresponde lo que cobran los taxistas en Pachuca con lo poco que se gana… y encima preparan incrementar el banderazo a 55 pesos, ahí sí no…</t>
  </si>
  <si>
    <t>Presentan competencias y exhibiciones deportivas</t>
  </si>
  <si>
    <t>OEEH</t>
  </si>
  <si>
    <t>Feria Pachuca</t>
  </si>
  <si>
    <t>Familias reciben con brazos abiertos a siete bebés mediante “Adopción un Puente de Amor”</t>
  </si>
  <si>
    <t>Realizarán estudio técnico para acabar con congestionamientos viales en Pachuca</t>
  </si>
  <si>
    <t>GLPAN</t>
  </si>
  <si>
    <t>Carril confinado</t>
  </si>
  <si>
    <t>Avanzan investigaciones contra exalcalde Sergio Baños “Aquí no se protege a nadie”: PGJEH</t>
  </si>
  <si>
    <t>Denuncia Exalcalde</t>
  </si>
  <si>
    <t>Cierran juicio relacionado con contralor interno y presidencia del Tribunal Estatal Electoral</t>
  </si>
  <si>
    <t>Propone PEF bolsa de $3.7 mil millones para proyectos locales</t>
  </si>
  <si>
    <t>Feria San Francisco Pachuca tendrá amplia cartelera deportiva</t>
  </si>
  <si>
    <t>TEEH, sin facultad para designar a contralor interno</t>
  </si>
  <si>
    <t>Señala presidenta conducta “extraña” de Pedro Haces</t>
  </si>
  <si>
    <t>Cuarta Transformación</t>
  </si>
  <si>
    <t>"A una parte de esta generación de morenistas todavía les escurre el pasado priista: creen que la política social es repartir migajas frente a cámara (…) La izquierda que transforma no es la que da limosna y la exhibe, es la que hace innecesaria la limosna”.</t>
  </si>
  <si>
    <t>Disminuyen delitos que afectan a empresarios</t>
  </si>
  <si>
    <t>Caso Mirna N no ha prescrito, afirma PGJEH</t>
  </si>
  <si>
    <t>Carpeta De Investigación</t>
  </si>
  <si>
    <t>Panteones podrían ser patrimonio cultural</t>
  </si>
  <si>
    <t>INAH</t>
  </si>
  <si>
    <t>Patrimonio cultural</t>
  </si>
  <si>
    <t>Piden revisar legislación en área familiar y penal</t>
  </si>
  <si>
    <t>Exigen legislación</t>
  </si>
  <si>
    <t>Reduce el número de migrantes en Atitalaquia</t>
  </si>
  <si>
    <t>Recortan gasto para combatir Ia corrupción</t>
  </si>
  <si>
    <t>Hidalgo dejará el rezago... "hoy es un estado protagonista": JMS</t>
  </si>
  <si>
    <t>Resuelven problema matemático</t>
  </si>
  <si>
    <t>NFL. Comienza temporada a ritmo de grunge</t>
  </si>
  <si>
    <t>Crimen y austeridad son los retos clave del proceso electoral que está en curso</t>
  </si>
  <si>
    <t>Criterio humano. Piden Femsa y Bimbo privilegiarlo frente a la IA</t>
  </si>
  <si>
    <t>Inteligencia Artificial</t>
  </si>
  <si>
    <t>Desecha TEPJF impugnación de Leodegario por nombramiento</t>
  </si>
  <si>
    <t>Actividad industrial. En mayo, según el Inegi, creció 19.3%</t>
  </si>
  <si>
    <t>Índice De Actividad Industrial</t>
  </si>
  <si>
    <t>Expansión de negocios. Casi 7 de cada 10 empresas están interesadas en crecer.</t>
  </si>
  <si>
    <t>Crecimiento Económico</t>
  </si>
  <si>
    <t>Inspección laboral. Chiapas adopta modelo desarrollado en el estado.</t>
  </si>
  <si>
    <t>Inspección laboral</t>
  </si>
  <si>
    <t>Golean en su debut en la Champions</t>
  </si>
  <si>
    <t>Cambia de piel</t>
  </si>
  <si>
    <t>Avanza un 75% la transición de la Procu a Fiscalía: Hasbun</t>
  </si>
  <si>
    <t>Transición a Fiscalía</t>
  </si>
  <si>
    <t>Tras obras, fue reabierta para la circulación Avenida Madero</t>
  </si>
  <si>
    <t>Rehabilitación Vial</t>
  </si>
  <si>
    <t>Inicia Congreso sesiones con un par de protestas</t>
  </si>
  <si>
    <t>Siete niñas y niños con nueva familia</t>
  </si>
  <si>
    <t>La Semot ha iniciado 67 procedimientos contra el transporte público</t>
  </si>
  <si>
    <t>STCH</t>
  </si>
  <si>
    <t>Supervisión de Transporte</t>
  </si>
  <si>
    <t>Cierran temporalmente carretera Real del Monte-Huasca por daños</t>
  </si>
  <si>
    <t>Con inversión de 37 MDP, Yocelyn Tovar arranca rehabilitación del Libramiento previo a su 2º informe de gobierno</t>
  </si>
  <si>
    <t>El día que la espera terminó: seis niñas y niños comienzan una nueva historia junto a sus familias</t>
  </si>
  <si>
    <t>Con cámaras y drones, policías de Pachuca detienen a presunto integrante de banda dedicada al robo de vehículos</t>
  </si>
  <si>
    <t>Policía municipal</t>
  </si>
  <si>
    <t>Combate a la delincuencia</t>
  </si>
  <si>
    <t>A dos años de gobierno de Jorge Reyes, Pachuca fortalece el control y la transparencia en sus pagos</t>
  </si>
  <si>
    <t>Tlahuelilpan conoce resultados de la administración de Lety Reyes en su 2° informe</t>
  </si>
  <si>
    <t>Socavón en bulevar Colosio provoca cierre parcial y caos vial</t>
  </si>
  <si>
    <t>Said Vargas se reunió con integrantes del CT 48 de Atotonilco el Grande</t>
  </si>
  <si>
    <t>Aún puedes ser un ganador $500 mil. Sorteo San Judas</t>
  </si>
  <si>
    <t>Presentan las actividades deportivas que tendrá la Feria Pachuca 2026</t>
  </si>
  <si>
    <t>Natividad Castrejón encabeza jornada educativa en Ixmiquilpan</t>
  </si>
  <si>
    <t>Semot da seguimiento a acciones para fortalecer la movilidad metropolitana</t>
  </si>
  <si>
    <t>Adopción, un Puente de Amor lleva a seis niños a sus familias</t>
  </si>
  <si>
    <t>34,279 luminarias modernizadas</t>
  </si>
  <si>
    <t>Hidalgo es potencia en marcha. El Polo de Desarrollo Económico Reserva Zapotlán.</t>
  </si>
  <si>
    <t>Jorge Reyes. Dos años al frente de Pachuca</t>
  </si>
  <si>
    <t>¿Adiós al carril confinado? Congreso pide revisar esquema del Tuzobús en Pachuca</t>
  </si>
  <si>
    <t>“En Hidalgo no se protege a nadie”</t>
  </si>
  <si>
    <t>Sabemos que no le harán nada, pero queda exhibido de pies a cabeza: ¡corrupto!</t>
  </si>
  <si>
    <t>Exalcalde</t>
  </si>
  <si>
    <t>Irregularidades exalcalde</t>
  </si>
  <si>
    <t>Empresarios blancos del delito</t>
  </si>
  <si>
    <t>La pesada herencia de muchos alcaldes</t>
  </si>
  <si>
    <t>Mal desempeño de alcaldes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</si>
</sst>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F17" sqref="F1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t="30" x14ac:dyDescent="0.25">
      <c r="A2" s="11">
        <v>46275</v>
      </c>
      <c r="B2" t="s">
        <v>71</v>
      </c>
      <c r="C2" s="5" t="s">
        <v>98</v>
      </c>
      <c r="D2" t="s">
        <v>13</v>
      </c>
      <c r="E2" t="s">
        <v>14</v>
      </c>
      <c r="F2" t="s">
        <v>14</v>
      </c>
      <c r="G2" t="s">
        <v>99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2">
        <v>46275</v>
      </c>
      <c r="B3" t="s">
        <v>71</v>
      </c>
      <c r="C3" t="s">
        <v>100</v>
      </c>
      <c r="D3" t="s">
        <v>12</v>
      </c>
      <c r="E3" t="s">
        <v>16</v>
      </c>
      <c r="F3" t="s">
        <v>16</v>
      </c>
      <c r="G3" t="s">
        <v>94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2">
        <v>46275</v>
      </c>
      <c r="B4" t="s">
        <v>71</v>
      </c>
      <c r="C4" t="s">
        <v>101</v>
      </c>
      <c r="D4" t="s">
        <v>12</v>
      </c>
      <c r="E4" t="s">
        <v>16</v>
      </c>
      <c r="F4" t="s">
        <v>16</v>
      </c>
      <c r="G4" t="s">
        <v>102</v>
      </c>
      <c r="H4" t="s">
        <v>11</v>
      </c>
      <c r="I4" t="str">
        <f>_xlfn.XLOOKUP(Tabla1[[#This Row],[Dependencia]],Tabla2[Dependencia],Tabla2[Clasificación],"XXX",0)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12">
        <v>46275</v>
      </c>
      <c r="B5" t="s">
        <v>71</v>
      </c>
      <c r="C5" t="s">
        <v>103</v>
      </c>
      <c r="D5" t="s">
        <v>12</v>
      </c>
      <c r="E5" t="s">
        <v>36</v>
      </c>
      <c r="F5" t="s">
        <v>36</v>
      </c>
      <c r="G5" t="s">
        <v>104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2">
        <v>46275</v>
      </c>
      <c r="B6" t="s">
        <v>71</v>
      </c>
      <c r="C6" t="s">
        <v>105</v>
      </c>
      <c r="D6" t="s">
        <v>89</v>
      </c>
      <c r="E6" t="s">
        <v>106</v>
      </c>
      <c r="F6" t="s">
        <v>106</v>
      </c>
      <c r="G6" t="s">
        <v>107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2">
        <v>46275</v>
      </c>
      <c r="B7" t="s">
        <v>71</v>
      </c>
      <c r="C7" t="s">
        <v>108</v>
      </c>
      <c r="D7" t="s">
        <v>12</v>
      </c>
      <c r="E7" t="s">
        <v>57</v>
      </c>
      <c r="F7" t="s">
        <v>57</v>
      </c>
      <c r="G7" t="s">
        <v>109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2">
        <v>46275</v>
      </c>
      <c r="B8" t="s">
        <v>77</v>
      </c>
      <c r="C8" t="s">
        <v>110</v>
      </c>
      <c r="D8" t="s">
        <v>13</v>
      </c>
      <c r="E8" t="s">
        <v>33</v>
      </c>
      <c r="F8" t="s">
        <v>111</v>
      </c>
      <c r="G8" t="s">
        <v>112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2">
        <v>46275</v>
      </c>
      <c r="B9" t="s">
        <v>77</v>
      </c>
      <c r="C9" t="s">
        <v>113</v>
      </c>
      <c r="D9" t="s">
        <v>12</v>
      </c>
      <c r="E9" t="s">
        <v>57</v>
      </c>
      <c r="F9" t="s">
        <v>57</v>
      </c>
      <c r="G9" t="s">
        <v>109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2">
        <v>46275</v>
      </c>
      <c r="B10" t="s">
        <v>77</v>
      </c>
      <c r="C10" t="s">
        <v>114</v>
      </c>
      <c r="D10" t="s">
        <v>97</v>
      </c>
      <c r="E10" t="s">
        <v>27</v>
      </c>
      <c r="F10" t="s">
        <v>27</v>
      </c>
      <c r="G10" t="s">
        <v>112</v>
      </c>
      <c r="H10" t="s">
        <v>70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2">
        <v>46275</v>
      </c>
      <c r="B11" t="s">
        <v>77</v>
      </c>
      <c r="C11" t="s">
        <v>115</v>
      </c>
      <c r="D11" t="s">
        <v>9</v>
      </c>
      <c r="E11" t="s">
        <v>29</v>
      </c>
      <c r="F11" t="s">
        <v>116</v>
      </c>
      <c r="G11" t="s">
        <v>117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2">
        <v>46275</v>
      </c>
      <c r="B12" t="s">
        <v>78</v>
      </c>
      <c r="C12" t="s">
        <v>118</v>
      </c>
      <c r="D12" t="s">
        <v>13</v>
      </c>
      <c r="E12" t="s">
        <v>36</v>
      </c>
      <c r="F12" t="s">
        <v>2</v>
      </c>
      <c r="G12" t="s">
        <v>104</v>
      </c>
      <c r="H12" t="s">
        <v>74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2">
        <v>46275</v>
      </c>
      <c r="B13" t="s">
        <v>78</v>
      </c>
      <c r="C13" t="s">
        <v>119</v>
      </c>
      <c r="D13" t="s">
        <v>12</v>
      </c>
      <c r="E13" t="s">
        <v>33</v>
      </c>
      <c r="F13" t="s">
        <v>120</v>
      </c>
      <c r="G13" t="s">
        <v>121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2">
        <v>46275</v>
      </c>
      <c r="B14" t="s">
        <v>78</v>
      </c>
      <c r="C14" t="s">
        <v>122</v>
      </c>
      <c r="D14" t="s">
        <v>12</v>
      </c>
      <c r="E14" t="s">
        <v>17</v>
      </c>
      <c r="F14" t="s">
        <v>2</v>
      </c>
      <c r="G14" t="s">
        <v>123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2">
        <v>46275</v>
      </c>
      <c r="B15" t="s">
        <v>78</v>
      </c>
      <c r="C15" t="s">
        <v>124</v>
      </c>
      <c r="D15" t="s">
        <v>12</v>
      </c>
      <c r="E15" t="s">
        <v>57</v>
      </c>
      <c r="F15" t="s">
        <v>57</v>
      </c>
      <c r="G15" t="s">
        <v>109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2">
        <v>46275</v>
      </c>
      <c r="B16" t="s">
        <v>68</v>
      </c>
      <c r="C16" t="s">
        <v>125</v>
      </c>
      <c r="D16" t="s">
        <v>13</v>
      </c>
      <c r="E16" t="s">
        <v>14</v>
      </c>
      <c r="F16" t="s">
        <v>14</v>
      </c>
      <c r="G16" t="s">
        <v>99</v>
      </c>
      <c r="H16" t="s">
        <v>11</v>
      </c>
      <c r="I16" t="str">
        <f>_xlfn.XLOOKUP(Tabla1[[#This Row],[Dependencia]],Tabla2[Dependencia],Tabla2[Clasificación],"XXX",0)</f>
        <v>Presidencia de la República</v>
      </c>
      <c r="J16" t="str">
        <f>_xlfn.XLOOKUP(Tabla1[[#This Row],[Dependencia]],Tabla3[Dependencia],Tabla3[Nivel],"Otros",0)</f>
        <v>Otros</v>
      </c>
    </row>
    <row r="17" spans="1:10" x14ac:dyDescent="0.25">
      <c r="A17" s="12">
        <v>46275</v>
      </c>
      <c r="B17" t="s">
        <v>68</v>
      </c>
      <c r="C17" t="s">
        <v>126</v>
      </c>
      <c r="D17" t="s">
        <v>89</v>
      </c>
      <c r="E17" t="s">
        <v>29</v>
      </c>
      <c r="F17" t="s">
        <v>116</v>
      </c>
      <c r="G17" t="s">
        <v>117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2">
        <v>46275</v>
      </c>
      <c r="B18" t="s">
        <v>68</v>
      </c>
      <c r="C18" t="s">
        <v>127</v>
      </c>
      <c r="D18" t="s">
        <v>12</v>
      </c>
      <c r="E18" t="s">
        <v>57</v>
      </c>
      <c r="F18" t="s">
        <v>57</v>
      </c>
      <c r="G18" t="s">
        <v>109</v>
      </c>
      <c r="H18" t="s">
        <v>70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2">
        <v>46275</v>
      </c>
      <c r="B19" t="s">
        <v>68</v>
      </c>
      <c r="C19" t="s">
        <v>128</v>
      </c>
      <c r="D19" t="s">
        <v>12</v>
      </c>
      <c r="E19" t="s">
        <v>14</v>
      </c>
      <c r="F19" t="s">
        <v>14</v>
      </c>
      <c r="G19" t="s">
        <v>129</v>
      </c>
      <c r="H19" t="s">
        <v>11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x14ac:dyDescent="0.25">
      <c r="A20" s="12">
        <v>46275</v>
      </c>
      <c r="B20" t="s">
        <v>68</v>
      </c>
      <c r="C20" t="s">
        <v>130</v>
      </c>
      <c r="D20" t="s">
        <v>12</v>
      </c>
      <c r="E20" t="s">
        <v>18</v>
      </c>
      <c r="F20" t="s">
        <v>18</v>
      </c>
      <c r="G20" t="s">
        <v>61</v>
      </c>
      <c r="H20" t="s">
        <v>70</v>
      </c>
      <c r="I20" t="str">
        <f>_xlfn.XLOOKUP(Tabla1[[#This Row],[Dependencia]],Tabla2[Dependencia],Tabla2[Clasificación],"XXX",0)</f>
        <v>Partidos</v>
      </c>
      <c r="J20" t="str">
        <f>_xlfn.XLOOKUP(Tabla1[[#This Row],[Dependencia]],Tabla3[Dependencia],Tabla3[Nivel],"Otros",0)</f>
        <v>Otros</v>
      </c>
    </row>
    <row r="21" spans="1:10" x14ac:dyDescent="0.25">
      <c r="A21" s="12">
        <v>46275</v>
      </c>
      <c r="B21" t="s">
        <v>67</v>
      </c>
      <c r="C21" t="s">
        <v>131</v>
      </c>
      <c r="D21" t="s">
        <v>13</v>
      </c>
      <c r="E21" t="s">
        <v>22</v>
      </c>
      <c r="F21" t="s">
        <v>22</v>
      </c>
      <c r="G21" t="s">
        <v>86</v>
      </c>
      <c r="H21" t="s">
        <v>74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2">
        <v>46275</v>
      </c>
      <c r="B22" t="s">
        <v>67</v>
      </c>
      <c r="C22" t="s">
        <v>132</v>
      </c>
      <c r="D22" t="s">
        <v>12</v>
      </c>
      <c r="E22" t="s">
        <v>17</v>
      </c>
      <c r="F22" t="s">
        <v>2</v>
      </c>
      <c r="G22" t="s">
        <v>133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2">
        <v>46275</v>
      </c>
      <c r="B23" t="s">
        <v>67</v>
      </c>
      <c r="C23" t="s">
        <v>134</v>
      </c>
      <c r="D23" t="s">
        <v>9</v>
      </c>
      <c r="E23" t="s">
        <v>14</v>
      </c>
      <c r="F23" t="s">
        <v>135</v>
      </c>
      <c r="G23" t="s">
        <v>136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12">
        <v>46275</v>
      </c>
      <c r="B24" t="s">
        <v>67</v>
      </c>
      <c r="C24" t="s">
        <v>137</v>
      </c>
      <c r="D24" t="s">
        <v>12</v>
      </c>
      <c r="E24" t="s">
        <v>33</v>
      </c>
      <c r="F24" t="s">
        <v>33</v>
      </c>
      <c r="G24" t="s">
        <v>138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12">
        <v>46275</v>
      </c>
      <c r="B25" t="s">
        <v>67</v>
      </c>
      <c r="C25" t="s">
        <v>139</v>
      </c>
      <c r="D25" t="s">
        <v>12</v>
      </c>
      <c r="E25" t="s">
        <v>10</v>
      </c>
      <c r="F25" t="s">
        <v>10</v>
      </c>
      <c r="G25" t="s">
        <v>90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2">
        <v>46275</v>
      </c>
      <c r="B26" t="s">
        <v>67</v>
      </c>
      <c r="C26" t="s">
        <v>140</v>
      </c>
      <c r="D26" t="s">
        <v>12</v>
      </c>
      <c r="E26" t="s">
        <v>14</v>
      </c>
      <c r="F26" t="s">
        <v>14</v>
      </c>
      <c r="G26" t="s">
        <v>99</v>
      </c>
      <c r="H26" t="s">
        <v>70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12">
        <v>46275</v>
      </c>
      <c r="B27" t="s">
        <v>80</v>
      </c>
      <c r="C27" t="s">
        <v>141</v>
      </c>
      <c r="D27" t="s">
        <v>13</v>
      </c>
      <c r="E27" t="s">
        <v>24</v>
      </c>
      <c r="F27" t="s">
        <v>24</v>
      </c>
      <c r="G27" t="s">
        <v>82</v>
      </c>
      <c r="H27" t="s">
        <v>74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Gobernador</v>
      </c>
    </row>
    <row r="28" spans="1:10" x14ac:dyDescent="0.25">
      <c r="A28" s="12">
        <v>46275</v>
      </c>
      <c r="B28" t="s">
        <v>80</v>
      </c>
      <c r="C28" t="s">
        <v>142</v>
      </c>
      <c r="D28" t="s">
        <v>12</v>
      </c>
      <c r="E28" t="s">
        <v>10</v>
      </c>
      <c r="F28" t="s">
        <v>10</v>
      </c>
      <c r="G28" t="s">
        <v>85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2">
        <v>46275</v>
      </c>
      <c r="B29" t="s">
        <v>80</v>
      </c>
      <c r="C29" t="s">
        <v>143</v>
      </c>
      <c r="D29" t="s">
        <v>9</v>
      </c>
      <c r="E29" t="s">
        <v>10</v>
      </c>
      <c r="F29" t="s">
        <v>10</v>
      </c>
      <c r="G29" t="s">
        <v>72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2">
        <v>46275</v>
      </c>
      <c r="B30" t="s">
        <v>80</v>
      </c>
      <c r="C30" t="s">
        <v>144</v>
      </c>
      <c r="D30" t="s">
        <v>12</v>
      </c>
      <c r="E30" t="s">
        <v>10</v>
      </c>
      <c r="F30" t="s">
        <v>10</v>
      </c>
      <c r="G30" t="s">
        <v>42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2">
        <v>46275</v>
      </c>
      <c r="B31" t="s">
        <v>80</v>
      </c>
      <c r="C31" t="s">
        <v>145</v>
      </c>
      <c r="D31" t="s">
        <v>12</v>
      </c>
      <c r="E31" t="s">
        <v>10</v>
      </c>
      <c r="F31" t="s">
        <v>10</v>
      </c>
      <c r="G31" t="s">
        <v>146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x14ac:dyDescent="0.25">
      <c r="A32" s="12">
        <v>46275</v>
      </c>
      <c r="B32" t="s">
        <v>80</v>
      </c>
      <c r="C32" t="s">
        <v>147</v>
      </c>
      <c r="D32" t="s">
        <v>12</v>
      </c>
      <c r="E32" t="s">
        <v>57</v>
      </c>
      <c r="F32" t="s">
        <v>57</v>
      </c>
      <c r="G32" t="s">
        <v>109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2">
        <v>46275</v>
      </c>
      <c r="B33" t="s">
        <v>80</v>
      </c>
      <c r="C33" t="s">
        <v>148</v>
      </c>
      <c r="D33" t="s">
        <v>12</v>
      </c>
      <c r="E33" t="s">
        <v>54</v>
      </c>
      <c r="F33" t="s">
        <v>54</v>
      </c>
      <c r="G33" t="s">
        <v>149</v>
      </c>
      <c r="H33" t="s">
        <v>74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2">
        <v>46275</v>
      </c>
      <c r="B34" t="s">
        <v>80</v>
      </c>
      <c r="C34" t="s">
        <v>150</v>
      </c>
      <c r="D34" t="s">
        <v>12</v>
      </c>
      <c r="E34" t="s">
        <v>54</v>
      </c>
      <c r="F34" t="s">
        <v>54</v>
      </c>
      <c r="G34" t="s">
        <v>151</v>
      </c>
      <c r="H34" t="s">
        <v>74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2">
        <v>46275</v>
      </c>
      <c r="B35" t="s">
        <v>80</v>
      </c>
      <c r="C35" t="s">
        <v>152</v>
      </c>
      <c r="D35" t="s">
        <v>12</v>
      </c>
      <c r="E35" t="s">
        <v>56</v>
      </c>
      <c r="F35" t="s">
        <v>2</v>
      </c>
      <c r="G35" t="s">
        <v>153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25">
      <c r="A36" s="12">
        <v>46275</v>
      </c>
      <c r="B36" t="s">
        <v>73</v>
      </c>
      <c r="C36" t="s">
        <v>154</v>
      </c>
      <c r="D36" t="s">
        <v>12</v>
      </c>
      <c r="E36" t="s">
        <v>10</v>
      </c>
      <c r="F36" t="s">
        <v>10</v>
      </c>
      <c r="G36" t="s">
        <v>72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12">
        <v>46275</v>
      </c>
      <c r="B37" t="s">
        <v>73</v>
      </c>
      <c r="C37" t="s">
        <v>155</v>
      </c>
      <c r="D37" t="s">
        <v>12</v>
      </c>
      <c r="E37" t="s">
        <v>10</v>
      </c>
      <c r="F37" t="s">
        <v>10</v>
      </c>
      <c r="G37" t="s">
        <v>72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x14ac:dyDescent="0.25">
      <c r="A38" s="12">
        <v>46275</v>
      </c>
      <c r="B38" t="s">
        <v>73</v>
      </c>
      <c r="C38" t="s">
        <v>156</v>
      </c>
      <c r="D38" t="s">
        <v>12</v>
      </c>
      <c r="E38" t="s">
        <v>17</v>
      </c>
      <c r="F38" t="s">
        <v>2</v>
      </c>
      <c r="G38" t="s">
        <v>157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12">
        <v>46275</v>
      </c>
      <c r="B39" t="s">
        <v>73</v>
      </c>
      <c r="C39" t="s">
        <v>158</v>
      </c>
      <c r="D39" t="s">
        <v>12</v>
      </c>
      <c r="E39" t="s">
        <v>106</v>
      </c>
      <c r="F39" t="s">
        <v>106</v>
      </c>
      <c r="G39" t="s">
        <v>159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2">
        <v>46275</v>
      </c>
      <c r="B40" t="s">
        <v>73</v>
      </c>
      <c r="C40" t="s">
        <v>160</v>
      </c>
      <c r="D40" t="s">
        <v>12</v>
      </c>
      <c r="E40" t="s">
        <v>33</v>
      </c>
      <c r="F40" t="s">
        <v>33</v>
      </c>
      <c r="G40" t="s">
        <v>138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12">
        <v>46275</v>
      </c>
      <c r="B41" t="s">
        <v>73</v>
      </c>
      <c r="C41" t="s">
        <v>161</v>
      </c>
      <c r="D41" t="s">
        <v>9</v>
      </c>
      <c r="E41" t="s">
        <v>36</v>
      </c>
      <c r="F41" t="s">
        <v>2</v>
      </c>
      <c r="G41" t="s">
        <v>104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2">
        <v>46275</v>
      </c>
      <c r="B42" t="s">
        <v>73</v>
      </c>
      <c r="C42" t="s">
        <v>162</v>
      </c>
      <c r="D42" t="s">
        <v>13</v>
      </c>
      <c r="E42" t="s">
        <v>27</v>
      </c>
      <c r="F42" t="s">
        <v>163</v>
      </c>
      <c r="G42" t="s">
        <v>164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12">
        <v>46275</v>
      </c>
      <c r="B43" t="s">
        <v>79</v>
      </c>
      <c r="C43" t="s">
        <v>165</v>
      </c>
      <c r="D43" t="s">
        <v>12</v>
      </c>
      <c r="E43" t="s">
        <v>14</v>
      </c>
      <c r="F43" t="s">
        <v>87</v>
      </c>
      <c r="G43" t="s">
        <v>88</v>
      </c>
      <c r="H43" t="s">
        <v>11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x14ac:dyDescent="0.25">
      <c r="A44" s="12">
        <v>46275</v>
      </c>
      <c r="B44" t="s">
        <v>79</v>
      </c>
      <c r="C44" t="s">
        <v>166</v>
      </c>
      <c r="D44" t="s">
        <v>12</v>
      </c>
      <c r="E44" t="s">
        <v>16</v>
      </c>
      <c r="F44" t="s">
        <v>81</v>
      </c>
      <c r="G44" t="s">
        <v>159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12">
        <v>46275</v>
      </c>
      <c r="B45" t="s">
        <v>79</v>
      </c>
      <c r="C45" t="s">
        <v>167</v>
      </c>
      <c r="D45" t="s">
        <v>12</v>
      </c>
      <c r="E45" t="s">
        <v>36</v>
      </c>
      <c r="F45" t="s">
        <v>2</v>
      </c>
      <c r="G45" t="s">
        <v>104</v>
      </c>
      <c r="H45" t="s">
        <v>74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2">
        <v>46275</v>
      </c>
      <c r="B46" t="s">
        <v>79</v>
      </c>
      <c r="C46" t="s">
        <v>168</v>
      </c>
      <c r="D46" t="s">
        <v>12</v>
      </c>
      <c r="E46" t="s">
        <v>16</v>
      </c>
      <c r="F46" t="s">
        <v>169</v>
      </c>
      <c r="G46" t="s">
        <v>170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x14ac:dyDescent="0.25">
      <c r="A47" s="12">
        <v>46275</v>
      </c>
      <c r="B47" t="s">
        <v>79</v>
      </c>
      <c r="C47" t="s">
        <v>171</v>
      </c>
      <c r="D47" t="s">
        <v>12</v>
      </c>
      <c r="E47" t="s">
        <v>16</v>
      </c>
      <c r="F47" t="s">
        <v>81</v>
      </c>
      <c r="G47" t="s">
        <v>84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x14ac:dyDescent="0.25">
      <c r="A48" s="12">
        <v>46275</v>
      </c>
      <c r="B48" t="s">
        <v>79</v>
      </c>
      <c r="C48" t="s">
        <v>172</v>
      </c>
      <c r="D48" t="s">
        <v>13</v>
      </c>
      <c r="E48" t="s">
        <v>16</v>
      </c>
      <c r="F48" t="s">
        <v>81</v>
      </c>
      <c r="G48" t="s">
        <v>84</v>
      </c>
      <c r="H48" t="s">
        <v>74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12">
        <v>46275</v>
      </c>
      <c r="B49" t="s">
        <v>79</v>
      </c>
      <c r="C49" t="s">
        <v>173</v>
      </c>
      <c r="D49" t="s">
        <v>93</v>
      </c>
      <c r="E49" t="s">
        <v>106</v>
      </c>
      <c r="F49" t="s">
        <v>106</v>
      </c>
      <c r="G49" t="s">
        <v>107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12">
        <v>46275</v>
      </c>
      <c r="B50" t="s">
        <v>79</v>
      </c>
      <c r="C50" t="s">
        <v>174</v>
      </c>
      <c r="D50" t="s">
        <v>12</v>
      </c>
      <c r="E50" t="s">
        <v>10</v>
      </c>
      <c r="F50" t="s">
        <v>10</v>
      </c>
      <c r="G50" t="s">
        <v>85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x14ac:dyDescent="0.25">
      <c r="A51" s="12">
        <v>46275</v>
      </c>
      <c r="B51" t="s">
        <v>79</v>
      </c>
      <c r="C51" t="s">
        <v>175</v>
      </c>
      <c r="D51" t="s">
        <v>83</v>
      </c>
      <c r="E51" t="s">
        <v>10</v>
      </c>
      <c r="F51" t="s">
        <v>10</v>
      </c>
      <c r="G51" t="s">
        <v>85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x14ac:dyDescent="0.25">
      <c r="A52" s="12">
        <v>46275</v>
      </c>
      <c r="B52" t="s">
        <v>76</v>
      </c>
      <c r="C52" t="s">
        <v>176</v>
      </c>
      <c r="D52" t="s">
        <v>13</v>
      </c>
      <c r="E52" t="s">
        <v>29</v>
      </c>
      <c r="F52" t="s">
        <v>116</v>
      </c>
      <c r="G52" t="s">
        <v>117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25">
      <c r="A53" s="12">
        <v>46275</v>
      </c>
      <c r="B53" t="s">
        <v>76</v>
      </c>
      <c r="C53" t="s">
        <v>177</v>
      </c>
      <c r="D53" t="s">
        <v>12</v>
      </c>
      <c r="E53" t="s">
        <v>26</v>
      </c>
      <c r="F53" t="s">
        <v>2</v>
      </c>
      <c r="G53" t="s">
        <v>92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12">
        <v>46275</v>
      </c>
      <c r="B54" t="s">
        <v>76</v>
      </c>
      <c r="C54" t="s">
        <v>178</v>
      </c>
      <c r="D54" t="s">
        <v>12</v>
      </c>
      <c r="E54" t="s">
        <v>27</v>
      </c>
      <c r="F54" t="s">
        <v>27</v>
      </c>
      <c r="G54" t="s">
        <v>121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12">
        <v>46275</v>
      </c>
      <c r="B55" t="s">
        <v>76</v>
      </c>
      <c r="C55" t="s">
        <v>179</v>
      </c>
      <c r="D55" t="s">
        <v>12</v>
      </c>
      <c r="E55" t="s">
        <v>36</v>
      </c>
      <c r="F55" t="s">
        <v>2</v>
      </c>
      <c r="G55" t="s">
        <v>104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2">
        <v>46275</v>
      </c>
      <c r="B56" t="s">
        <v>76</v>
      </c>
      <c r="C56" t="s">
        <v>180</v>
      </c>
      <c r="D56" t="s">
        <v>83</v>
      </c>
      <c r="E56" t="s">
        <v>16</v>
      </c>
      <c r="F56" t="s">
        <v>16</v>
      </c>
      <c r="G56" t="s">
        <v>96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12">
        <v>46275</v>
      </c>
      <c r="B57" t="s">
        <v>76</v>
      </c>
      <c r="C57" t="s">
        <v>181</v>
      </c>
      <c r="D57" t="s">
        <v>83</v>
      </c>
      <c r="E57" t="s">
        <v>38</v>
      </c>
      <c r="F57" t="s">
        <v>38</v>
      </c>
      <c r="G57" t="s">
        <v>82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12">
        <v>46275</v>
      </c>
      <c r="B58" t="s">
        <v>75</v>
      </c>
      <c r="C58" t="s">
        <v>182</v>
      </c>
      <c r="D58" t="s">
        <v>9</v>
      </c>
      <c r="E58" t="s">
        <v>16</v>
      </c>
      <c r="F58" t="s">
        <v>81</v>
      </c>
      <c r="G58" t="s">
        <v>84</v>
      </c>
      <c r="H58" t="s">
        <v>74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2">
        <v>46275</v>
      </c>
      <c r="B59" t="s">
        <v>75</v>
      </c>
      <c r="C59" t="s">
        <v>183</v>
      </c>
      <c r="D59" t="s">
        <v>13</v>
      </c>
      <c r="E59" t="s">
        <v>33</v>
      </c>
      <c r="F59" t="s">
        <v>120</v>
      </c>
      <c r="G59" t="s">
        <v>121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12">
        <v>46275</v>
      </c>
      <c r="B60" t="s">
        <v>75</v>
      </c>
      <c r="C60" t="s">
        <v>184</v>
      </c>
      <c r="D60" t="s">
        <v>12</v>
      </c>
      <c r="E60" t="s">
        <v>17</v>
      </c>
      <c r="F60" t="s">
        <v>2</v>
      </c>
      <c r="G60" t="s">
        <v>123</v>
      </c>
      <c r="H60" t="s">
        <v>74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2">
        <v>46275</v>
      </c>
      <c r="B61" t="s">
        <v>75</v>
      </c>
      <c r="C61" t="s">
        <v>185</v>
      </c>
      <c r="D61" t="s">
        <v>97</v>
      </c>
      <c r="E61" t="s">
        <v>16</v>
      </c>
      <c r="F61" t="s">
        <v>186</v>
      </c>
      <c r="G61" t="s">
        <v>187</v>
      </c>
      <c r="H61" t="s">
        <v>70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x14ac:dyDescent="0.25">
      <c r="A62" s="12">
        <v>46275</v>
      </c>
      <c r="B62" t="s">
        <v>75</v>
      </c>
      <c r="C62" t="s">
        <v>188</v>
      </c>
      <c r="D62" t="s">
        <v>12</v>
      </c>
      <c r="E62" t="s">
        <v>22</v>
      </c>
      <c r="F62" t="s">
        <v>22</v>
      </c>
      <c r="G62" t="s">
        <v>95</v>
      </c>
      <c r="H62" t="s">
        <v>70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2">
        <v>46275</v>
      </c>
      <c r="B63" t="s">
        <v>75</v>
      </c>
      <c r="C63" t="s">
        <v>189</v>
      </c>
      <c r="D63" t="s">
        <v>12</v>
      </c>
      <c r="E63" t="s">
        <v>18</v>
      </c>
      <c r="F63" t="s">
        <v>18</v>
      </c>
      <c r="G63" t="s">
        <v>190</v>
      </c>
      <c r="H63" t="s">
        <v>70</v>
      </c>
      <c r="I63" t="str">
        <f>_xlfn.XLOOKUP(Tabla1[[#This Row],[Dependencia]],Tabla2[Dependencia],Tabla2[Clasificación],"XXX",0)</f>
        <v>Partidos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91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2026-09-10T22:42:32Z</dcterms:modified>
</cp:coreProperties>
</file>