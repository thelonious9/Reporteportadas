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BF16740D-60A4-4625-90B4-982E96EDAB47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</calcChain>
</file>

<file path=xl/sharedStrings.xml><?xml version="1.0" encoding="utf-8"?>
<sst xmlns="http://schemas.openxmlformats.org/spreadsheetml/2006/main" count="589" uniqueCount="186">
  <si>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</si>
  <si>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</si>
  <si>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</si>
  <si>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</si>
  <si>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</si>
  <si>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</si>
  <si>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</si>
  <si>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</si>
  <si>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</si>
  <si>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</si>
  <si>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</si>
  <si>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</si>
  <si>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</si>
  <si>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</si>
  <si>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</si>
  <si>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</si>
  <si>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</si>
  <si>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</si>
  <si>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</si>
  <si>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</si>
  <si>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</si>
  <si>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</si>
  <si>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</si>
  <si>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</si>
  <si>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</si>
  <si>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</si>
  <si>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</si>
  <si>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</si>
  <si>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</si>
  <si>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</si>
  <si>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</si>
  <si>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</si>
  <si>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</si>
  <si>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</si>
  <si>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</si>
  <si>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</si>
  <si>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</si>
  <si>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</si>
  <si>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</si>
  <si>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</si>
  <si>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</si>
  <si>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</si>
  <si>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</si>
  <si>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</si>
  <si>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</si>
  <si>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</si>
  <si>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</si>
  <si>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</si>
  <si>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</si>
  <si>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</si>
  <si>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</si>
  <si>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</si>
  <si>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</si>
  <si>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</si>
  <si>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</si>
  <si>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</si>
  <si>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</si>
  <si>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</si>
  <si>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</si>
  <si>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</si>
  <si>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</si>
  <si>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</si>
  <si>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</si>
  <si>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</si>
  <si>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</si>
  <si>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</si>
  <si>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</si>
  <si>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</si>
  <si>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</si>
  <si>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</si>
  <si>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</si>
  <si>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</si>
  <si>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</si>
  <si>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</si>
  <si>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</si>
  <si>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Milenio Hidalgo</t>
  </si>
  <si>
    <t>Alcalde</t>
  </si>
  <si>
    <t>PAZ</t>
  </si>
  <si>
    <t>Feria Pachuca</t>
  </si>
  <si>
    <t>Plaza Juárez</t>
  </si>
  <si>
    <t>Temas varios</t>
  </si>
  <si>
    <t>La Jornada Hidalgo</t>
  </si>
  <si>
    <t>Publicidad</t>
  </si>
  <si>
    <t>El Sol de Hidalgo</t>
  </si>
  <si>
    <t>Órgano Interno de Control</t>
  </si>
  <si>
    <t>IMSS</t>
  </si>
  <si>
    <t>Cruz Azul</t>
  </si>
  <si>
    <t>Medio ambiente</t>
  </si>
  <si>
    <t>Presa Endhó</t>
  </si>
  <si>
    <t>Sedena</t>
  </si>
  <si>
    <t>Marfeca</t>
  </si>
  <si>
    <t>Cintillo</t>
  </si>
  <si>
    <t>OEEH</t>
  </si>
  <si>
    <t>Haz una parada diferente</t>
  </si>
  <si>
    <t>Recuerda: la detección temprana salva vidas</t>
  </si>
  <si>
    <t>Prevención cáncer de mama</t>
  </si>
  <si>
    <t>Reconocen a 18 jóvnes del estado</t>
  </si>
  <si>
    <t>Premio Estatal De La Juventud</t>
  </si>
  <si>
    <t>José Alfredo Jiménez, su legado perdura en Hidalgo</t>
  </si>
  <si>
    <t>Arranca la fiesta en honor a San Francisco</t>
  </si>
  <si>
    <t>Feria tradicional</t>
  </si>
  <si>
    <t>Gusano barrenador afecta a 26 personas</t>
  </si>
  <si>
    <t>Gusano barrenador</t>
  </si>
  <si>
    <t>Buscan PES y PAZ alianza en la entidad</t>
  </si>
  <si>
    <t>Alianzas Electorales</t>
  </si>
  <si>
    <t>Incautan arma en secundaria</t>
  </si>
  <si>
    <t>Básica</t>
  </si>
  <si>
    <t>Alumno Armado</t>
  </si>
  <si>
    <t>Reconoce gobernador a jóvenes</t>
  </si>
  <si>
    <t>Ordena Suprema Corte restituir 647 mdp a la Cruz Azul</t>
  </si>
  <si>
    <t>Arranca la Feria tradicional de San Francisco en el centro de Pachuca</t>
  </si>
  <si>
    <t>Ensayo olímpico en la Bella Airosa</t>
  </si>
  <si>
    <t>Del Reloj al Big Ben</t>
  </si>
  <si>
    <t>En una semana, dos presuntos ingresos de armas a escuelas</t>
  </si>
  <si>
    <t>Pide Morena Hidalgo renuncias a aspirantes a cargos de elección</t>
  </si>
  <si>
    <t>Difh entrega tres niños a sus nuevas familias</t>
  </si>
  <si>
    <t>Adopción De Menores</t>
  </si>
  <si>
    <t>Morena deja la puerta abierta a Israel Félix y Shadia Martínez</t>
  </si>
  <si>
    <t>Afiliación Partidista</t>
  </si>
  <si>
    <t>Un secretario estatal podría ir por candidatura para 2027: JMS</t>
  </si>
  <si>
    <t>Candidaturas</t>
  </si>
  <si>
    <t>Vuelve la feria de los pachuqueños</t>
  </si>
  <si>
    <t>Piden partidos respeto al voto, seguridad y austeridad en TEEH</t>
  </si>
  <si>
    <t>Reunión con partidos</t>
  </si>
  <si>
    <t>Entregan el Premio Estatal de la Juventud 2026</t>
  </si>
  <si>
    <t>Joven dona órganos y salva a tres pacientes</t>
  </si>
  <si>
    <t>Donación De Órganos</t>
  </si>
  <si>
    <t>Apuestan por la mediación para la solución de conflictos</t>
  </si>
  <si>
    <t>Mediación</t>
  </si>
  <si>
    <t>Cementos Cruz Azul:  SCJN blinda patrimonio e impide pago de 1,600 mdp</t>
  </si>
  <si>
    <t>EL pacto sobre autorregulación de la IA, a debate</t>
  </si>
  <si>
    <t>Inteligencia Artificial</t>
  </si>
  <si>
    <t>"Todo está armado", yo solo soy accionista de la empresa: Ernesto Ruffo</t>
  </si>
  <si>
    <t>Combate Al Huachicol</t>
  </si>
  <si>
    <t>Contabilizan 5 millones de ciberataques sobre la Corte</t>
  </si>
  <si>
    <t>Hackeo</t>
  </si>
  <si>
    <t>Llaman a valorar el legado de las fuerzas armadas</t>
  </si>
  <si>
    <t>Conmemoración Aniversario</t>
  </si>
  <si>
    <t>Aprobación presidenta Claudia Sheinbaum</t>
  </si>
  <si>
    <t>Aprobación Sheinbaum</t>
  </si>
  <si>
    <t>Cierra Sheinbaum su segundo año con aprobación de 70.3%</t>
  </si>
  <si>
    <t>Hoy Morena enfrenta retos internos, como el de ordenar sus estructuras, contener  fricciones entre corrientes y con los partidos aliados, además de sacudirse los  señalamientos de la oposición”.</t>
  </si>
  <si>
    <t>Trabajo partidista</t>
  </si>
  <si>
    <t>Invierten 6.2 mdp en programas para jóvenes</t>
  </si>
  <si>
    <t>Violencia sacude secundarias; muere subdirectora en Torreón</t>
  </si>
  <si>
    <t>DIFH concreta 61 adopciones en cuatro años; 16 adolescentes en espera</t>
  </si>
  <si>
    <t>Menchaca confirma que un integrante de su gabinete analiza contender en las elecciones 2027</t>
  </si>
  <si>
    <t>Arranca en pachuca la tradicional Feria de San Francisco</t>
  </si>
  <si>
    <t>Reconocen a 18 jóvenes con el Premio Estatal de la Juventud</t>
  </si>
  <si>
    <t>Morena exige a Viggiano aclarar venta de terreno por 17.9 millones</t>
  </si>
  <si>
    <t>Viggiano</t>
  </si>
  <si>
    <t>Enriquecimiento ilícito</t>
  </si>
  <si>
    <t>Hidalgo refuerza vigilancia por enfermedades respiratorias</t>
  </si>
  <si>
    <t>titular</t>
  </si>
  <si>
    <t>Vigilancia Epidemiológica</t>
  </si>
  <si>
    <t>Genio en el Conalep</t>
  </si>
  <si>
    <t>Media superior</t>
  </si>
  <si>
    <t>Innovación tecnológica</t>
  </si>
  <si>
    <t>Tula estrena C2 con inteligencia artificial</t>
  </si>
  <si>
    <t>Videovigilancia</t>
  </si>
  <si>
    <t>Congreso analiza nueva ruta para contralor del TEEH</t>
  </si>
  <si>
    <t>Alcaldesa de Tepetitlán acusa falta de avances en Endhó</t>
  </si>
  <si>
    <t>Preparan agua y transporte para viviendas del Bienestar en Hidalgo</t>
  </si>
  <si>
    <t>Plan Nacional De Vivienda</t>
  </si>
  <si>
    <t>Menchaca Salazar respalda transformación de juventud hidalguense</t>
  </si>
  <si>
    <t>Tula da un paso histórico en seguridad con la puesta en operación de su Centro de Control y Comando</t>
  </si>
  <si>
    <t>Con inversión superior a 3 mdp, Atotonilco fortalece infraestructura de la Unidad Médica Integra</t>
  </si>
  <si>
    <t>Refuerzan seguridad para la Feria San Francisco Tlahuelilpan 2026 con coordinación entre Estado y Municipio</t>
  </si>
  <si>
    <t>Policía municipal</t>
  </si>
  <si>
    <t>61 familias hidalguenses cruzaron el Puente de Amor para brindar un hogar a niñas, niños y adolescentes en Hidalgo</t>
  </si>
  <si>
    <t>Zitlaly Zúñiga impulsa nuevos espacios para el bienestar de los adultos mayores de Ajacuba</t>
  </si>
  <si>
    <t>Atención a adultos mayores</t>
  </si>
  <si>
    <t>¿Tu negocio crece, pero tu contabilidad no te sigue el ritmo?</t>
  </si>
  <si>
    <t>otor</t>
  </si>
  <si>
    <t>Publicidad comercial</t>
  </si>
  <si>
    <t>Jorge Reyes inaugura la feria tradicional de San Francisco</t>
  </si>
  <si>
    <t>Alex Lora y El Tri rockean a lo grande en teatro del Pueblo</t>
  </si>
  <si>
    <t>DIF Pachuca abre registro para jornada de mastografías gratuitas</t>
  </si>
  <si>
    <t>Julio Menchaca respalda transformación de juventud hidalguense</t>
  </si>
  <si>
    <t>María José arrasa en el Palenque 2026</t>
  </si>
  <si>
    <t>Funcionarios estatales ""analizan"" participar en las elecciones de 2027</t>
  </si>
  <si>
    <t>Huracán Rachel gana fuerza y alcanza categoría 3</t>
  </si>
  <si>
    <t>Alerta Meteorológica</t>
  </si>
  <si>
    <t>Cuatro Tuzas al Tri Femenil</t>
  </si>
  <si>
    <t>Entregan Premio Estatal de la Juventud 2026</t>
  </si>
  <si>
    <t>Ejidatarios exigen participación en Festival de Flores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</si>
</sst>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2" totalsRowShown="0" headerRowDxfId="5" headerRowBorderDxfId="4">
  <autoFilter ref="A1:J62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2"/>
  <sheetViews>
    <sheetView tabSelected="1" workbookViewId="0">
      <selection activeCell="A2" sqref="A2:H6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46297</v>
      </c>
      <c r="B2" t="s">
        <v>83</v>
      </c>
      <c r="C2" s="5" t="s">
        <v>96</v>
      </c>
      <c r="D2" t="s">
        <v>12</v>
      </c>
      <c r="E2" t="s">
        <v>24</v>
      </c>
      <c r="F2" t="s">
        <v>24</v>
      </c>
      <c r="G2" t="s">
        <v>97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25">
      <c r="A3" s="11">
        <v>46297</v>
      </c>
      <c r="B3" t="s">
        <v>83</v>
      </c>
      <c r="C3" s="5" t="s">
        <v>98</v>
      </c>
      <c r="D3" t="s">
        <v>9</v>
      </c>
      <c r="E3" t="s">
        <v>10</v>
      </c>
      <c r="F3" t="s">
        <v>10</v>
      </c>
      <c r="G3" t="s">
        <v>80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46297</v>
      </c>
      <c r="B4" t="s">
        <v>83</v>
      </c>
      <c r="C4" s="5" t="s">
        <v>99</v>
      </c>
      <c r="D4" t="s">
        <v>12</v>
      </c>
      <c r="E4" t="s">
        <v>16</v>
      </c>
      <c r="F4" t="s">
        <v>76</v>
      </c>
      <c r="G4" t="s">
        <v>100</v>
      </c>
      <c r="H4" t="s">
        <v>11</v>
      </c>
      <c r="I4" t="str">
        <f>_xlfn.XLOOKUP(Tabla1[[#This Row],[Dependencia]],Tabla2[Dependencia],Tabla2[Clasificación],"XXX",0)</f>
        <v>Alcaldías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46297</v>
      </c>
      <c r="B5" t="s">
        <v>83</v>
      </c>
      <c r="C5" s="5" t="s">
        <v>101</v>
      </c>
      <c r="D5" t="s">
        <v>12</v>
      </c>
      <c r="E5" t="s">
        <v>15</v>
      </c>
      <c r="F5" t="s">
        <v>2</v>
      </c>
      <c r="G5" t="s">
        <v>102</v>
      </c>
      <c r="H5" t="s">
        <v>11</v>
      </c>
      <c r="I5" t="str">
        <f>_xlfn.XLOOKUP(Tabla1[[#This Row],[Dependencia]],Tabla2[Dependencia],Tabla2[Clasificación],"XXX",0)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11">
        <v>46297</v>
      </c>
      <c r="B6" t="s">
        <v>69</v>
      </c>
      <c r="C6" s="5" t="s">
        <v>103</v>
      </c>
      <c r="D6" t="s">
        <v>12</v>
      </c>
      <c r="E6" t="s">
        <v>64</v>
      </c>
      <c r="F6" t="s">
        <v>64</v>
      </c>
      <c r="G6" t="s">
        <v>104</v>
      </c>
      <c r="H6" t="s">
        <v>11</v>
      </c>
      <c r="I6" t="str">
        <f>_xlfn.XLOOKUP(Tabla1[[#This Row],[Dependencia]],Tabla2[Dependencia],Tabla2[Clasificación],"XXX",0)</f>
        <v>Partidos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46297</v>
      </c>
      <c r="B7" t="s">
        <v>69</v>
      </c>
      <c r="C7" s="5" t="s">
        <v>105</v>
      </c>
      <c r="D7" t="s">
        <v>12</v>
      </c>
      <c r="E7" t="s">
        <v>26</v>
      </c>
      <c r="F7" t="s">
        <v>106</v>
      </c>
      <c r="G7" t="s">
        <v>107</v>
      </c>
      <c r="H7" t="s">
        <v>68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11">
        <v>46297</v>
      </c>
      <c r="B8" t="s">
        <v>69</v>
      </c>
      <c r="C8" s="5" t="s">
        <v>108</v>
      </c>
      <c r="D8" t="s">
        <v>12</v>
      </c>
      <c r="E8" t="s">
        <v>24</v>
      </c>
      <c r="F8" t="s">
        <v>24</v>
      </c>
      <c r="G8" t="s">
        <v>97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46297</v>
      </c>
      <c r="B9" t="s">
        <v>69</v>
      </c>
      <c r="C9" s="5" t="s">
        <v>109</v>
      </c>
      <c r="D9" t="s">
        <v>12</v>
      </c>
      <c r="E9" t="s">
        <v>10</v>
      </c>
      <c r="F9" t="s">
        <v>10</v>
      </c>
      <c r="G9" t="s">
        <v>86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ht="30" x14ac:dyDescent="0.25">
      <c r="A10" s="11">
        <v>46297</v>
      </c>
      <c r="B10" t="s">
        <v>69</v>
      </c>
      <c r="C10" s="5" t="s">
        <v>110</v>
      </c>
      <c r="D10" t="s">
        <v>12</v>
      </c>
      <c r="E10" t="s">
        <v>10</v>
      </c>
      <c r="F10" t="s">
        <v>10</v>
      </c>
      <c r="G10" t="s">
        <v>100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46297</v>
      </c>
      <c r="B11" t="s">
        <v>71</v>
      </c>
      <c r="C11" s="5" t="s">
        <v>111</v>
      </c>
      <c r="D11" t="s">
        <v>12</v>
      </c>
      <c r="E11" t="s">
        <v>10</v>
      </c>
      <c r="F11" t="s">
        <v>10</v>
      </c>
      <c r="G11" t="s">
        <v>70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46297</v>
      </c>
      <c r="B12" t="s">
        <v>71</v>
      </c>
      <c r="C12" s="5" t="s">
        <v>112</v>
      </c>
      <c r="D12" t="s">
        <v>12</v>
      </c>
      <c r="E12" t="s">
        <v>10</v>
      </c>
      <c r="F12" t="s">
        <v>10</v>
      </c>
      <c r="G12" t="s">
        <v>70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ht="30" x14ac:dyDescent="0.25">
      <c r="A13" s="11">
        <v>46297</v>
      </c>
      <c r="B13" t="s">
        <v>71</v>
      </c>
      <c r="C13" s="5" t="s">
        <v>113</v>
      </c>
      <c r="D13" t="s">
        <v>13</v>
      </c>
      <c r="E13" t="s">
        <v>26</v>
      </c>
      <c r="F13" t="s">
        <v>106</v>
      </c>
      <c r="G13" t="s">
        <v>107</v>
      </c>
      <c r="H13" t="s">
        <v>68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ht="30" x14ac:dyDescent="0.25">
      <c r="A14" s="11">
        <v>46297</v>
      </c>
      <c r="B14" t="s">
        <v>69</v>
      </c>
      <c r="C14" s="5" t="s">
        <v>114</v>
      </c>
      <c r="D14" t="s">
        <v>13</v>
      </c>
      <c r="E14" t="s">
        <v>18</v>
      </c>
      <c r="F14" t="s">
        <v>18</v>
      </c>
      <c r="G14" t="s">
        <v>42</v>
      </c>
      <c r="H14" t="s">
        <v>11</v>
      </c>
      <c r="I14" t="str">
        <f>_xlfn.XLOOKUP(Tabla1[[#This Row],[Dependencia]],Tabla2[Dependencia],Tabla2[Clasificación],"XXX",0)</f>
        <v>Partidos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46297</v>
      </c>
      <c r="B15" t="s">
        <v>71</v>
      </c>
      <c r="C15" s="5" t="s">
        <v>115</v>
      </c>
      <c r="D15" t="s">
        <v>9</v>
      </c>
      <c r="E15" t="s">
        <v>36</v>
      </c>
      <c r="F15" t="s">
        <v>2</v>
      </c>
      <c r="G15" t="s">
        <v>116</v>
      </c>
      <c r="H15" t="s">
        <v>72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46297</v>
      </c>
      <c r="B16" t="s">
        <v>71</v>
      </c>
      <c r="C16" s="5" t="s">
        <v>117</v>
      </c>
      <c r="D16" t="s">
        <v>12</v>
      </c>
      <c r="E16" t="s">
        <v>18</v>
      </c>
      <c r="F16" t="s">
        <v>2</v>
      </c>
      <c r="G16" t="s">
        <v>118</v>
      </c>
      <c r="H16" t="s">
        <v>11</v>
      </c>
      <c r="I16" t="str">
        <f>_xlfn.XLOOKUP(Tabla1[[#This Row],[Dependencia]],Tabla2[Dependencia],Tabla2[Clasificación],"XXX",0)</f>
        <v>Partidos</v>
      </c>
      <c r="J16" t="str">
        <f>_xlfn.XLOOKUP(Tabla1[[#This Row],[Dependencia]],Tabla3[Dependencia],Tabla3[Nivel],"Otros",0)</f>
        <v>Otros</v>
      </c>
    </row>
    <row r="17" spans="1:10" ht="30" x14ac:dyDescent="0.25">
      <c r="A17" s="11">
        <v>46297</v>
      </c>
      <c r="B17" t="s">
        <v>71</v>
      </c>
      <c r="C17" s="5" t="s">
        <v>119</v>
      </c>
      <c r="D17" t="s">
        <v>12</v>
      </c>
      <c r="E17" t="s">
        <v>24</v>
      </c>
      <c r="F17" t="s">
        <v>24</v>
      </c>
      <c r="G17" t="s">
        <v>120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Gobernador</v>
      </c>
    </row>
    <row r="18" spans="1:10" x14ac:dyDescent="0.25">
      <c r="A18" s="11">
        <v>46297</v>
      </c>
      <c r="B18" t="s">
        <v>71</v>
      </c>
      <c r="C18" s="5" t="s">
        <v>121</v>
      </c>
      <c r="D18" t="s">
        <v>9</v>
      </c>
      <c r="E18" t="s">
        <v>16</v>
      </c>
      <c r="F18" t="s">
        <v>76</v>
      </c>
      <c r="G18" t="s">
        <v>100</v>
      </c>
      <c r="H18" t="s">
        <v>11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46297</v>
      </c>
      <c r="B19" t="s">
        <v>75</v>
      </c>
      <c r="C19" s="5" t="s">
        <v>122</v>
      </c>
      <c r="D19" t="s">
        <v>13</v>
      </c>
      <c r="E19" t="s">
        <v>23</v>
      </c>
      <c r="F19" t="s">
        <v>23</v>
      </c>
      <c r="G19" t="s">
        <v>123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11">
        <v>46297</v>
      </c>
      <c r="B20" t="s">
        <v>75</v>
      </c>
      <c r="C20" s="5" t="s">
        <v>124</v>
      </c>
      <c r="D20" t="s">
        <v>9</v>
      </c>
      <c r="E20" t="s">
        <v>24</v>
      </c>
      <c r="F20" t="s">
        <v>24</v>
      </c>
      <c r="G20" t="s">
        <v>97</v>
      </c>
      <c r="H20" t="s">
        <v>72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25">
      <c r="A21" s="11">
        <v>46297</v>
      </c>
      <c r="B21" t="s">
        <v>75</v>
      </c>
      <c r="C21" s="5" t="s">
        <v>125</v>
      </c>
      <c r="D21" t="s">
        <v>12</v>
      </c>
      <c r="E21" t="s">
        <v>14</v>
      </c>
      <c r="F21" t="s">
        <v>85</v>
      </c>
      <c r="G21" t="s">
        <v>126</v>
      </c>
      <c r="H21" t="s">
        <v>72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46297</v>
      </c>
      <c r="B22" t="s">
        <v>75</v>
      </c>
      <c r="C22" s="5" t="s">
        <v>127</v>
      </c>
      <c r="D22" t="s">
        <v>12</v>
      </c>
      <c r="E22" t="s">
        <v>58</v>
      </c>
      <c r="F22" t="s">
        <v>58</v>
      </c>
      <c r="G22" t="s">
        <v>128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11">
        <v>46297</v>
      </c>
      <c r="B23" t="s">
        <v>75</v>
      </c>
      <c r="C23" s="5" t="s">
        <v>129</v>
      </c>
      <c r="D23" t="s">
        <v>12</v>
      </c>
      <c r="E23" t="s">
        <v>10</v>
      </c>
      <c r="F23" t="s">
        <v>10</v>
      </c>
      <c r="G23" t="s">
        <v>86</v>
      </c>
      <c r="H23" t="s">
        <v>72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46297</v>
      </c>
      <c r="B24" t="s">
        <v>75</v>
      </c>
      <c r="C24" s="5" t="s">
        <v>130</v>
      </c>
      <c r="D24" t="s">
        <v>12</v>
      </c>
      <c r="E24" t="s">
        <v>10</v>
      </c>
      <c r="F24" t="s">
        <v>10</v>
      </c>
      <c r="G24" t="s">
        <v>131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ht="30" x14ac:dyDescent="0.25">
      <c r="A25" s="11">
        <v>46297</v>
      </c>
      <c r="B25" t="s">
        <v>75</v>
      </c>
      <c r="C25" s="5" t="s">
        <v>132</v>
      </c>
      <c r="D25" t="s">
        <v>12</v>
      </c>
      <c r="E25" t="s">
        <v>10</v>
      </c>
      <c r="F25" t="s">
        <v>10</v>
      </c>
      <c r="G25" t="s">
        <v>133</v>
      </c>
      <c r="H25" t="s">
        <v>11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46297</v>
      </c>
      <c r="B26" t="s">
        <v>75</v>
      </c>
      <c r="C26" s="5" t="s">
        <v>134</v>
      </c>
      <c r="D26" t="s">
        <v>12</v>
      </c>
      <c r="E26" t="s">
        <v>10</v>
      </c>
      <c r="F26" t="s">
        <v>10</v>
      </c>
      <c r="G26" t="s">
        <v>135</v>
      </c>
      <c r="H26" t="s">
        <v>68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46297</v>
      </c>
      <c r="B27" t="s">
        <v>75</v>
      </c>
      <c r="C27" s="5" t="s">
        <v>136</v>
      </c>
      <c r="D27" t="s">
        <v>12</v>
      </c>
      <c r="E27" t="s">
        <v>14</v>
      </c>
      <c r="F27" t="s">
        <v>89</v>
      </c>
      <c r="G27" t="s">
        <v>137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46297</v>
      </c>
      <c r="B28" t="s">
        <v>81</v>
      </c>
      <c r="C28" s="5" t="s">
        <v>138</v>
      </c>
      <c r="D28" t="s">
        <v>9</v>
      </c>
      <c r="E28" t="s">
        <v>14</v>
      </c>
      <c r="F28" t="s">
        <v>14</v>
      </c>
      <c r="G28" t="s">
        <v>139</v>
      </c>
      <c r="H28" t="s">
        <v>72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46297</v>
      </c>
      <c r="B29" t="s">
        <v>81</v>
      </c>
      <c r="C29" s="5" t="s">
        <v>140</v>
      </c>
      <c r="D29" t="s">
        <v>13</v>
      </c>
      <c r="E29" t="s">
        <v>14</v>
      </c>
      <c r="F29" t="s">
        <v>14</v>
      </c>
      <c r="G29" t="s">
        <v>139</v>
      </c>
      <c r="H29" t="s">
        <v>72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ht="60" x14ac:dyDescent="0.25">
      <c r="A30" s="11">
        <v>46297</v>
      </c>
      <c r="B30" t="s">
        <v>81</v>
      </c>
      <c r="C30" s="5" t="s">
        <v>141</v>
      </c>
      <c r="D30" t="s">
        <v>12</v>
      </c>
      <c r="E30" t="s">
        <v>18</v>
      </c>
      <c r="F30" t="s">
        <v>18</v>
      </c>
      <c r="G30" t="s">
        <v>142</v>
      </c>
      <c r="H30" t="s">
        <v>11</v>
      </c>
      <c r="I30" t="str">
        <f>_xlfn.XLOOKUP(Tabla1[[#This Row],[Dependencia]],Tabla2[Dependencia],Tabla2[Clasificación],"XXX",0)</f>
        <v>Partidos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46297</v>
      </c>
      <c r="B31" t="s">
        <v>81</v>
      </c>
      <c r="C31" s="5" t="s">
        <v>143</v>
      </c>
      <c r="D31" t="s">
        <v>12</v>
      </c>
      <c r="E31" t="s">
        <v>24</v>
      </c>
      <c r="F31" t="s">
        <v>24</v>
      </c>
      <c r="G31" t="s">
        <v>97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Gobernador</v>
      </c>
    </row>
    <row r="32" spans="1:10" ht="30" x14ac:dyDescent="0.25">
      <c r="A32" s="11">
        <v>46297</v>
      </c>
      <c r="B32" t="s">
        <v>81</v>
      </c>
      <c r="C32" s="5" t="s">
        <v>144</v>
      </c>
      <c r="D32" t="s">
        <v>12</v>
      </c>
      <c r="E32" t="s">
        <v>14</v>
      </c>
      <c r="F32" t="s">
        <v>14</v>
      </c>
      <c r="G32" t="s">
        <v>107</v>
      </c>
      <c r="H32" t="s">
        <v>68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46297</v>
      </c>
      <c r="B33" t="s">
        <v>74</v>
      </c>
      <c r="C33" s="5" t="s">
        <v>145</v>
      </c>
      <c r="D33" t="s">
        <v>13</v>
      </c>
      <c r="E33" t="s">
        <v>36</v>
      </c>
      <c r="F33" t="s">
        <v>2</v>
      </c>
      <c r="G33" t="s">
        <v>116</v>
      </c>
      <c r="H33" t="s">
        <v>72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11">
        <v>46297</v>
      </c>
      <c r="B34" t="s">
        <v>74</v>
      </c>
      <c r="C34" s="5" t="s">
        <v>146</v>
      </c>
      <c r="D34" t="s">
        <v>12</v>
      </c>
      <c r="E34" t="s">
        <v>24</v>
      </c>
      <c r="F34" t="s">
        <v>24</v>
      </c>
      <c r="G34" t="s">
        <v>61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ht="30" x14ac:dyDescent="0.25">
      <c r="A35" s="11">
        <v>46297</v>
      </c>
      <c r="B35" t="s">
        <v>74</v>
      </c>
      <c r="C35" s="5" t="s">
        <v>147</v>
      </c>
      <c r="D35" t="s">
        <v>12</v>
      </c>
      <c r="E35" t="s">
        <v>16</v>
      </c>
      <c r="F35" t="s">
        <v>16</v>
      </c>
      <c r="G35" t="s">
        <v>100</v>
      </c>
      <c r="H35" t="s">
        <v>11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46297</v>
      </c>
      <c r="B36" t="s">
        <v>74</v>
      </c>
      <c r="C36" s="5" t="s">
        <v>148</v>
      </c>
      <c r="D36" t="s">
        <v>12</v>
      </c>
      <c r="E36" t="s">
        <v>24</v>
      </c>
      <c r="F36" t="s">
        <v>24</v>
      </c>
      <c r="G36" t="s">
        <v>97</v>
      </c>
      <c r="H36" t="s">
        <v>11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Gobernador</v>
      </c>
    </row>
    <row r="37" spans="1:10" ht="30" x14ac:dyDescent="0.25">
      <c r="A37" s="11">
        <v>46297</v>
      </c>
      <c r="B37" t="s">
        <v>73</v>
      </c>
      <c r="C37" s="5" t="s">
        <v>149</v>
      </c>
      <c r="D37" t="s">
        <v>13</v>
      </c>
      <c r="E37" t="s">
        <v>61</v>
      </c>
      <c r="F37" t="s">
        <v>150</v>
      </c>
      <c r="G37" t="s">
        <v>151</v>
      </c>
      <c r="H37" t="s">
        <v>68</v>
      </c>
      <c r="I37" t="str">
        <f>_xlfn.XLOOKUP(Tabla1[[#This Row],[Dependencia]],Tabla2[Dependencia],Tabla2[Clasificación],"XXX",0)</f>
        <v>Sucesión gubernamental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46297</v>
      </c>
      <c r="B38" t="s">
        <v>73</v>
      </c>
      <c r="C38" s="5" t="s">
        <v>152</v>
      </c>
      <c r="D38" t="s">
        <v>12</v>
      </c>
      <c r="E38" t="s">
        <v>15</v>
      </c>
      <c r="F38" t="s">
        <v>153</v>
      </c>
      <c r="G38" t="s">
        <v>154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11">
        <v>46297</v>
      </c>
      <c r="B39" t="s">
        <v>73</v>
      </c>
      <c r="C39" s="5" t="s">
        <v>155</v>
      </c>
      <c r="D39" t="s">
        <v>9</v>
      </c>
      <c r="E39" t="s">
        <v>26</v>
      </c>
      <c r="F39" t="s">
        <v>156</v>
      </c>
      <c r="G39" t="s">
        <v>157</v>
      </c>
      <c r="H39" t="s">
        <v>72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1">
        <v>46297</v>
      </c>
      <c r="B40" t="s">
        <v>73</v>
      </c>
      <c r="C40" s="5" t="s">
        <v>158</v>
      </c>
      <c r="D40" t="s">
        <v>12</v>
      </c>
      <c r="E40" t="s">
        <v>16</v>
      </c>
      <c r="F40" t="s">
        <v>16</v>
      </c>
      <c r="G40" t="s">
        <v>159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46297</v>
      </c>
      <c r="B41" t="s">
        <v>73</v>
      </c>
      <c r="C41" s="5" t="s">
        <v>160</v>
      </c>
      <c r="D41" t="s">
        <v>12</v>
      </c>
      <c r="E41" t="s">
        <v>33</v>
      </c>
      <c r="F41" t="s">
        <v>33</v>
      </c>
      <c r="G41" t="s">
        <v>84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46297</v>
      </c>
      <c r="B42" t="s">
        <v>73</v>
      </c>
      <c r="C42" s="5" t="s">
        <v>161</v>
      </c>
      <c r="D42" t="s">
        <v>12</v>
      </c>
      <c r="E42" t="s">
        <v>14</v>
      </c>
      <c r="F42" t="s">
        <v>87</v>
      </c>
      <c r="G42" t="s">
        <v>88</v>
      </c>
      <c r="H42" t="s">
        <v>68</v>
      </c>
      <c r="I42" t="str">
        <f>_xlfn.XLOOKUP(Tabla1[[#This Row],[Dependencia]],Tabla2[Dependencia],Tabla2[Clasificación],"XXX",0)</f>
        <v>Presidencia de la República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46297</v>
      </c>
      <c r="B43" t="s">
        <v>90</v>
      </c>
      <c r="C43" s="5" t="s">
        <v>162</v>
      </c>
      <c r="D43" t="s">
        <v>91</v>
      </c>
      <c r="E43" t="s">
        <v>14</v>
      </c>
      <c r="F43" t="s">
        <v>14</v>
      </c>
      <c r="G43" t="s">
        <v>163</v>
      </c>
      <c r="H43" t="s">
        <v>11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46297</v>
      </c>
      <c r="B44" t="s">
        <v>90</v>
      </c>
      <c r="C44" s="5" t="s">
        <v>164</v>
      </c>
      <c r="D44" t="s">
        <v>12</v>
      </c>
      <c r="E44" t="s">
        <v>24</v>
      </c>
      <c r="F44" t="s">
        <v>24</v>
      </c>
      <c r="G44" t="s">
        <v>97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11">
        <v>46297</v>
      </c>
      <c r="B45" t="s">
        <v>90</v>
      </c>
      <c r="C45" s="5" t="s">
        <v>165</v>
      </c>
      <c r="D45" t="s">
        <v>13</v>
      </c>
      <c r="E45" t="s">
        <v>16</v>
      </c>
      <c r="F45" t="s">
        <v>16</v>
      </c>
      <c r="G45" t="s">
        <v>159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46297</v>
      </c>
      <c r="B46" t="s">
        <v>90</v>
      </c>
      <c r="C46" s="5" t="s">
        <v>166</v>
      </c>
      <c r="D46" t="s">
        <v>12</v>
      </c>
      <c r="E46" t="s">
        <v>16</v>
      </c>
      <c r="F46" t="s">
        <v>16</v>
      </c>
      <c r="G46" t="s">
        <v>80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45" x14ac:dyDescent="0.25">
      <c r="A47" s="11">
        <v>46297</v>
      </c>
      <c r="B47" t="s">
        <v>90</v>
      </c>
      <c r="C47" s="5" t="s">
        <v>167</v>
      </c>
      <c r="D47" t="s">
        <v>12</v>
      </c>
      <c r="E47" t="s">
        <v>16</v>
      </c>
      <c r="F47" t="s">
        <v>168</v>
      </c>
      <c r="G47" t="s">
        <v>100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45" x14ac:dyDescent="0.25">
      <c r="A48" s="11">
        <v>46297</v>
      </c>
      <c r="B48" t="s">
        <v>90</v>
      </c>
      <c r="C48" s="5" t="s">
        <v>169</v>
      </c>
      <c r="D48" t="s">
        <v>12</v>
      </c>
      <c r="E48" t="s">
        <v>36</v>
      </c>
      <c r="F48" t="s">
        <v>2</v>
      </c>
      <c r="G48" t="s">
        <v>116</v>
      </c>
      <c r="H48" t="s">
        <v>72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11">
        <v>46297</v>
      </c>
      <c r="B49" t="s">
        <v>90</v>
      </c>
      <c r="C49" s="5" t="s">
        <v>170</v>
      </c>
      <c r="D49" t="s">
        <v>12</v>
      </c>
      <c r="E49" t="s">
        <v>16</v>
      </c>
      <c r="F49" t="s">
        <v>76</v>
      </c>
      <c r="G49" t="s">
        <v>171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46297</v>
      </c>
      <c r="B50" t="s">
        <v>90</v>
      </c>
      <c r="C50" s="5" t="s">
        <v>172</v>
      </c>
      <c r="D50" t="s">
        <v>82</v>
      </c>
      <c r="E50" t="s">
        <v>10</v>
      </c>
      <c r="F50" t="s">
        <v>173</v>
      </c>
      <c r="G50" t="s">
        <v>174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46297</v>
      </c>
      <c r="B51" t="s">
        <v>90</v>
      </c>
      <c r="C51" s="5" t="s">
        <v>175</v>
      </c>
      <c r="D51" t="s">
        <v>13</v>
      </c>
      <c r="E51" t="s">
        <v>16</v>
      </c>
      <c r="F51" t="s">
        <v>76</v>
      </c>
      <c r="G51" t="s">
        <v>100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46297</v>
      </c>
      <c r="B52" t="s">
        <v>90</v>
      </c>
      <c r="C52" s="5" t="s">
        <v>176</v>
      </c>
      <c r="D52" t="s">
        <v>12</v>
      </c>
      <c r="E52" t="s">
        <v>29</v>
      </c>
      <c r="F52" t="s">
        <v>92</v>
      </c>
      <c r="G52" t="s">
        <v>78</v>
      </c>
      <c r="H52" t="s">
        <v>72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46297</v>
      </c>
      <c r="B53" t="s">
        <v>90</v>
      </c>
      <c r="C53" s="5" t="s">
        <v>177</v>
      </c>
      <c r="D53" t="s">
        <v>12</v>
      </c>
      <c r="E53" t="s">
        <v>16</v>
      </c>
      <c r="F53" t="s">
        <v>16</v>
      </c>
      <c r="G53" t="s">
        <v>95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46297</v>
      </c>
      <c r="B54" t="s">
        <v>90</v>
      </c>
      <c r="C54" s="5" t="s">
        <v>178</v>
      </c>
      <c r="D54" t="s">
        <v>12</v>
      </c>
      <c r="E54" t="s">
        <v>24</v>
      </c>
      <c r="F54" t="s">
        <v>24</v>
      </c>
      <c r="G54" t="s">
        <v>97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x14ac:dyDescent="0.25">
      <c r="A55" s="11">
        <v>46297</v>
      </c>
      <c r="B55" t="s">
        <v>90</v>
      </c>
      <c r="C55" s="5" t="s">
        <v>179</v>
      </c>
      <c r="D55" t="s">
        <v>12</v>
      </c>
      <c r="E55" t="s">
        <v>29</v>
      </c>
      <c r="F55" t="s">
        <v>92</v>
      </c>
      <c r="G55" t="s">
        <v>78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11">
        <v>46297</v>
      </c>
      <c r="B56" t="s">
        <v>90</v>
      </c>
      <c r="C56" s="5" t="s">
        <v>93</v>
      </c>
      <c r="D56" t="s">
        <v>82</v>
      </c>
      <c r="E56" t="s">
        <v>19</v>
      </c>
      <c r="F56" t="s">
        <v>19</v>
      </c>
      <c r="G56" t="s">
        <v>78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25">
      <c r="A57" s="11">
        <v>46297</v>
      </c>
      <c r="B57" t="s">
        <v>90</v>
      </c>
      <c r="C57" s="5" t="s">
        <v>94</v>
      </c>
      <c r="D57" t="s">
        <v>82</v>
      </c>
      <c r="E57" t="s">
        <v>16</v>
      </c>
      <c r="F57" t="s">
        <v>16</v>
      </c>
      <c r="G57" t="s">
        <v>95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46297</v>
      </c>
      <c r="B58" t="s">
        <v>79</v>
      </c>
      <c r="C58" s="5" t="s">
        <v>180</v>
      </c>
      <c r="D58" t="s">
        <v>13</v>
      </c>
      <c r="E58" t="s">
        <v>24</v>
      </c>
      <c r="F58" t="s">
        <v>24</v>
      </c>
      <c r="G58" t="s">
        <v>61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Gobernador</v>
      </c>
    </row>
    <row r="59" spans="1:10" x14ac:dyDescent="0.25">
      <c r="A59" s="11">
        <v>46297</v>
      </c>
      <c r="B59" t="s">
        <v>79</v>
      </c>
      <c r="C59" s="5" t="s">
        <v>181</v>
      </c>
      <c r="D59" t="s">
        <v>12</v>
      </c>
      <c r="E59" t="s">
        <v>14</v>
      </c>
      <c r="F59" t="s">
        <v>14</v>
      </c>
      <c r="G59" t="s">
        <v>182</v>
      </c>
      <c r="H59" t="s">
        <v>11</v>
      </c>
      <c r="I59" t="str">
        <f>_xlfn.XLOOKUP(Tabla1[[#This Row],[Dependencia]],Tabla2[Dependencia],Tabla2[Clasificación],"XXX",0)</f>
        <v>Presidencia de la República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46297</v>
      </c>
      <c r="B60" t="s">
        <v>79</v>
      </c>
      <c r="C60" s="5" t="s">
        <v>183</v>
      </c>
      <c r="D60" t="s">
        <v>12</v>
      </c>
      <c r="E60" t="s">
        <v>10</v>
      </c>
      <c r="F60" t="s">
        <v>10</v>
      </c>
      <c r="G60" t="s">
        <v>70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x14ac:dyDescent="0.25">
      <c r="A61" s="11">
        <v>46297</v>
      </c>
      <c r="B61" t="s">
        <v>79</v>
      </c>
      <c r="C61" s="5" t="s">
        <v>184</v>
      </c>
      <c r="D61" t="s">
        <v>12</v>
      </c>
      <c r="E61" t="s">
        <v>24</v>
      </c>
      <c r="F61" t="s">
        <v>24</v>
      </c>
      <c r="G61" t="s">
        <v>97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Gobernador</v>
      </c>
    </row>
    <row r="62" spans="1:10" x14ac:dyDescent="0.25">
      <c r="A62" s="11">
        <v>46297</v>
      </c>
      <c r="B62" t="s">
        <v>79</v>
      </c>
      <c r="C62" s="5" t="s">
        <v>185</v>
      </c>
      <c r="D62" t="s">
        <v>12</v>
      </c>
      <c r="E62" t="s">
        <v>10</v>
      </c>
      <c r="F62" t="s">
        <v>10</v>
      </c>
      <c r="G62" t="s">
        <v>80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77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2026-10-02T14:42:45Z</dcterms:modified>
</cp:coreProperties>
</file>