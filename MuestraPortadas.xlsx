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B2C3D48A-4BB3-4FA6-B3D3-96427DA14E42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</calcChain>
</file>

<file path=xl/sharedStrings.xml><?xml version="1.0" encoding="utf-8"?>
<sst xmlns="http://schemas.openxmlformats.org/spreadsheetml/2006/main" count="647" uniqueCount="191">
  <si>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</si>
  <si>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</si>
  <si>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</si>
  <si>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</si>
  <si>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</si>
  <si>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</si>
  <si>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</si>
  <si>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</si>
  <si>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</si>
  <si>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</si>
  <si>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</si>
  <si>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</si>
  <si>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</si>
  <si>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</si>
  <si>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</si>
  <si>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</si>
  <si>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</si>
  <si>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</si>
  <si>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</si>
  <si>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</si>
  <si>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</si>
  <si>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</si>
  <si>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</si>
  <si>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</si>
  <si>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</si>
  <si>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</si>
  <si>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</si>
  <si>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</si>
  <si>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</si>
  <si>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</si>
  <si>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</si>
  <si>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</si>
  <si>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</si>
  <si>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</si>
  <si>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</si>
  <si>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</si>
  <si>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</si>
  <si>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</si>
  <si>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</si>
  <si>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</si>
  <si>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</si>
  <si>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</si>
  <si>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</si>
  <si>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</si>
  <si>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</si>
  <si>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</si>
  <si>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</si>
  <si>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</si>
  <si>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</si>
  <si>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</si>
  <si>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</si>
  <si>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</si>
  <si>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</si>
  <si>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</si>
  <si>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</si>
  <si>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</si>
  <si>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</si>
  <si>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</si>
  <si>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</si>
  <si>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</si>
  <si>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</si>
  <si>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</si>
  <si>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</si>
  <si>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</si>
  <si>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</si>
  <si>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</si>
  <si>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</si>
  <si>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</si>
  <si>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</si>
  <si>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</si>
  <si>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</si>
  <si>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</si>
  <si>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</si>
  <si>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</si>
  <si>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</si>
  <si>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</si>
  <si>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</si>
  <si>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</si>
  <si>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</si>
  <si>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</si>
  <si>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</si>
  <si>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</si>
  <si>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</si>
  <si>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</si>
  <si>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Feria Pachuca</t>
  </si>
  <si>
    <t>IMSS</t>
  </si>
  <si>
    <t>Alcalde</t>
  </si>
  <si>
    <t>OEEH</t>
  </si>
  <si>
    <t>Sipdus</t>
  </si>
  <si>
    <t>Plan Nacional De Vivienda</t>
  </si>
  <si>
    <t>Informe de actividades</t>
  </si>
  <si>
    <t>Comparecencias</t>
  </si>
  <si>
    <t>Temas internacionales</t>
  </si>
  <si>
    <t>Editorial</t>
  </si>
  <si>
    <t>Atención médica</t>
  </si>
  <si>
    <t>Reunión con sindicato</t>
  </si>
  <si>
    <t>61 niñas, niños y adolescentes encontraron un hogar a través de la adopción</t>
  </si>
  <si>
    <t>Acumula Hidalgo 160 homicidios dolosos</t>
  </si>
  <si>
    <t>Incidencia Delictiva</t>
  </si>
  <si>
    <t>Estiman entrega de viviendas en diciembre</t>
  </si>
  <si>
    <t>Infonavit</t>
  </si>
  <si>
    <t>Se manifiestan en contra de ajuste salarial</t>
  </si>
  <si>
    <t>Protesta sindical</t>
  </si>
  <si>
    <t>Aumenta 96% ingreso propio</t>
  </si>
  <si>
    <t>Por viaje en tren, no pagarían más de $100</t>
  </si>
  <si>
    <t>SICT</t>
  </si>
  <si>
    <t>Tren AIFA</t>
  </si>
  <si>
    <t>Delincuencia da nuevo uso al aceite comestible</t>
  </si>
  <si>
    <t>Destacan estudiantes en Olimpiada de Informática</t>
  </si>
  <si>
    <t>Olimpiada de informática</t>
  </si>
  <si>
    <t>Crecen 96% recursos propios en la entidad</t>
  </si>
  <si>
    <t>Homicidios dolosos bajan 52% en 2 años: Sheinbaum</t>
  </si>
  <si>
    <t>Estiman ahorro de 238 mdp</t>
  </si>
  <si>
    <t>Reforma a contrataciones municipales</t>
  </si>
  <si>
    <t>Reprueban en turismo a Real del Monte</t>
  </si>
  <si>
    <t>Van 50 municipios en bloque vs reforma a cabildos</t>
  </si>
  <si>
    <t>Regidor</t>
  </si>
  <si>
    <t>Desploman la esperanza</t>
  </si>
  <si>
    <t>Los grandes marcan el paso en la Champions</t>
  </si>
  <si>
    <t>Casas del Bienestar: Hidalgo donará a la Federación predios</t>
  </si>
  <si>
    <t>Alma Carolina Viggiano acusa estrategia para desprestigiarla</t>
  </si>
  <si>
    <t>Viggiano</t>
  </si>
  <si>
    <t>Enriquecimiento ilícito</t>
  </si>
  <si>
    <t>Siguen pendientes recursos para los afectados por la vaguada de 2025</t>
  </si>
  <si>
    <t>Movilización del IMSS reúne a más de 1,500 trabajadores</t>
  </si>
  <si>
    <t>Julio Soto levanta la mano: Buscará el ayuntamiento de Tulancingo en 2027</t>
  </si>
  <si>
    <t>Despresurizan al Poder Judicial con 40% de asuntos a mediación</t>
  </si>
  <si>
    <t>Procuración de Justicia</t>
  </si>
  <si>
    <t>Stephen King cierra ciclo con Carrie en serie</t>
  </si>
  <si>
    <t>Goza Hidalgo de estabilidad y finanzas sanas</t>
  </si>
  <si>
    <t>Río de las Avenidas: Prevén que la ampliación costará $500 millones</t>
  </si>
  <si>
    <t>Rehabilitación Vial</t>
  </si>
  <si>
    <t>Instalan 556 nuevas cámaras para vigilar la ciudad</t>
  </si>
  <si>
    <t>Videovigilancia</t>
  </si>
  <si>
    <t>La FGR dobla recompensas por capos y proyectan seis nuevos penales en el país</t>
  </si>
  <si>
    <t>FGR</t>
  </si>
  <si>
    <t>Combate a la delincuencia</t>
  </si>
  <si>
    <t>Infraestructura y vivienda: Espera Claudia inversión por 8.4 biilones de pesos</t>
  </si>
  <si>
    <t>Proyectos Federales</t>
  </si>
  <si>
    <t>Agrupaciones variopintas se unen a trabajadores del IMSS</t>
  </si>
  <si>
    <t>Fideicomiso del Polo de desarrollo de Zapotlán para el mes de octubre</t>
  </si>
  <si>
    <t>Polos del Bienestar</t>
  </si>
  <si>
    <t>Asignan 800 mdp para obras que atiendan daños por la vaguada</t>
  </si>
  <si>
    <t>Puntual, comparecencia de García Harfuch: Ochoa</t>
  </si>
  <si>
    <t>Ochoa</t>
  </si>
  <si>
    <t>NINDE MOLRE: La protesta  nunca debe ser leída de  forma aislada, todas sus  manifestaciones tienen un origen anterior,  en el que la mayoría de las veces las  autoridades han sido omisas o deficientes  frente a esa problemática mayor que nos  impacta a todas las personas”.</t>
  </si>
  <si>
    <t>Omisión</t>
  </si>
  <si>
    <t>Harfuch captura a más de 70 mil</t>
  </si>
  <si>
    <t>Seguridad Ciudadana</t>
  </si>
  <si>
    <t>Personal del IMSS sale a las calles por cuarta ocasión</t>
  </si>
  <si>
    <t>Marchan en Pachuca más de mil trabajadores del IMSS contra aumento salarial de 2.9%</t>
  </si>
  <si>
    <t>A un año de la vaguada, Hidalgo ejecuta el 82% de recursos estatales para reconstrucción</t>
  </si>
  <si>
    <t>Hidalgo registra reducción del 30.1% en homicidios dolosos</t>
  </si>
  <si>
    <t>Jorge Reyes supervisa funcionamiento de cámaras de videovigilancia en La Loma</t>
  </si>
  <si>
    <t>Ingresos propios de Hidalgo crecieron 96 por ciento: Secretaría de Hacienda</t>
  </si>
  <si>
    <t>En dos años, los homicidios dolosos en México disminuyeron un 52%</t>
  </si>
  <si>
    <t>Es doloroso y vergonzoso  que los médicos tengan  que salir a las calles a pedir  medicamentos y  equipamiento y  peor que no sean  escuchados por la  federación…</t>
  </si>
  <si>
    <t>Trabajadores del IMSS exigen mejores condiciones laborales</t>
  </si>
  <si>
    <t>Primera condena por violencia vicaria en Hidalgo</t>
  </si>
  <si>
    <t>Violencia Vicaria</t>
  </si>
  <si>
    <t>Hidalgo, entre los 5 estados con mejor manejo de deuda pública</t>
  </si>
  <si>
    <t>IMSS protagoniza tercera protesta en Pachuca</t>
  </si>
  <si>
    <t>Andrés Velázquez reconoce interés electoral entre diputados</t>
  </si>
  <si>
    <t>Junta de Gobierno</t>
  </si>
  <si>
    <t>Real del Monte, el pueblo mágico peor calificado de Hidalgo</t>
  </si>
  <si>
    <t>Instalan nuevas cámaras de vigilancia en La Loma</t>
  </si>
  <si>
    <t>Hidalgo reduce 30.1% los homicidios dolosos</t>
  </si>
  <si>
    <t>2 lesionados tras accidentar 4 vehículos en la Jorobas-Tula</t>
  </si>
  <si>
    <t>Accidente Carretero</t>
  </si>
  <si>
    <t>Hidalgo vive un momento histórico: finanzas sólidas e inversión récord</t>
  </si>
  <si>
    <t>El Vaticano confirma que el Papa León XIV padece cáncer de pulmón</t>
  </si>
  <si>
    <t>Diálogo abierto y atención directa con la ciudadanía en la Mesa de Seguridad de Tenango de Doria</t>
  </si>
  <si>
    <t>Mesas de acercamiento</t>
  </si>
  <si>
    <t>Nuevas cámaras de videovigilancia en La Loma, Pachuca; Jorge Reyes supervisa su funcionamiento</t>
  </si>
  <si>
    <t>Hidalgo fortalece la atención a la infancia desde sus primeros años de vida</t>
  </si>
  <si>
    <t>titul</t>
  </si>
  <si>
    <t>Desde Molango continúa la nueva historia del magisterio con encuentro de jubilados del SNTE</t>
  </si>
  <si>
    <t>Marchan nuevamente trabajadores del IMSS en Pachuca; exigen destitución de líder sindical</t>
  </si>
  <si>
    <t>25 años Pueblos Mágicos</t>
  </si>
  <si>
    <t>Pueblos Mágicos</t>
  </si>
  <si>
    <t>Todo listo para Pachuca Rock Fest en su nueva sede</t>
  </si>
  <si>
    <t>Cartelera De Eventos</t>
  </si>
  <si>
    <t>Talento hidalguense destaca en las Olimpiadas Mexicanas de Informática 2026</t>
  </si>
  <si>
    <t>Hidlago vive un momento histórico con finanzas sólidas e inversión récord: Hacienda</t>
  </si>
  <si>
    <t>ariana Seoane y La Casetera hicieron bailar a la feria</t>
  </si>
  <si>
    <t>Recuerda: La detección temprana salva vidas</t>
  </si>
  <si>
    <t>Cuenta de Recurso editorial</t>
  </si>
  <si>
    <t>Etiquetas de fila</t>
  </si>
  <si>
    <t>Total general</t>
  </si>
  <si>
    <t>Effetá</t>
  </si>
  <si>
    <t>Pachuca Brilla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</si>
</sst>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7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4546875003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8">
        <s v="El Sol de Hidalgo"/>
        <s v="El Universal Hidalgo"/>
        <s v="Criterio"/>
        <s v="Milenio Hidalgo"/>
        <s v="La Jornada Hidalgo"/>
        <s v="Síntesis"/>
        <s v="Plaza Juárez"/>
        <s v="Marfec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6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6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6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6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6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6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7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7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7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7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7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7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7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7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7"/>
    <s v="25 años Pueblos Mágicos"/>
    <x v="5"/>
    <s v="Turismo"/>
    <s v="Turismo"/>
    <s v="Pueblos Mágicos"/>
    <s v="Informativa"/>
    <s v="Gobierno del estado"/>
    <s v="Gabinete"/>
  </r>
  <r>
    <d v="2026-10-14T00:00:00"/>
    <x v="6"/>
    <s v="Nuevas cámaras de vide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6"/>
    <s v="Todo listo para Pachuca Rock Fest en su nueva sede"/>
    <x v="0"/>
    <s v="Otros"/>
    <s v="Otros"/>
    <s v="Cartelera De Eventos"/>
    <s v="Informativa"/>
    <s v="Otros"/>
    <s v="Otros"/>
  </r>
  <r>
    <d v="2026-10-14T00:00:00"/>
    <x v="6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6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6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6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6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39" firstHeaderRow="1" firstDataRow="1" firstDataCol="1"/>
  <pivotFields count="10">
    <pivotField numFmtId="164" showAll="0"/>
    <pivotField axis="axisRow" showAll="0">
      <items count="9">
        <item x="2"/>
        <item x="0"/>
        <item x="1"/>
        <item x="4"/>
        <item x="7"/>
        <item x="3"/>
        <item x="6"/>
        <item x="5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35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2"/>
    </i>
    <i r="1">
      <x v="3"/>
    </i>
    <i r="1">
      <x v="4"/>
    </i>
    <i r="1">
      <x v="5"/>
    </i>
    <i>
      <x v="7"/>
    </i>
    <i r="1">
      <x v="3"/>
    </i>
    <i r="1">
      <x v="4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6" headerRowBorderDxfId="5">
  <autoFilter ref="A1:J65" xr:uid="{5593606E-308D-4113-AE3C-6E714B763B6E}">
    <filterColumn colId="1">
      <filters>
        <filter val="Plaza Juárez"/>
      </filters>
    </filterColumn>
  </autoFilter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4"/>
    <tableColumn id="2" xr3:uid="{03A139BE-A997-45E6-81E6-5F7467162FC5}" name="Medio"/>
    <tableColumn id="3" xr3:uid="{4CA37DD5-010E-43EE-907D-87C1845DB2AB}" name="Titular" dataDxfId="3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2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1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39"/>
  <sheetViews>
    <sheetView topLeftCell="A16" workbookViewId="0">
      <selection activeCell="B33" sqref="B33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187</v>
      </c>
      <c r="B4" t="s">
        <v>186</v>
      </c>
    </row>
    <row r="5" spans="1:2" x14ac:dyDescent="0.25">
      <c r="A5" s="14" t="s">
        <v>71</v>
      </c>
      <c r="B5" s="13">
        <v>7</v>
      </c>
    </row>
    <row r="6" spans="1:2" x14ac:dyDescent="0.25">
      <c r="A6" s="15" t="s">
        <v>9</v>
      </c>
      <c r="B6" s="13">
        <v>1</v>
      </c>
    </row>
    <row r="7" spans="1:2" x14ac:dyDescent="0.25">
      <c r="A7" s="15" t="s">
        <v>12</v>
      </c>
      <c r="B7" s="13">
        <v>5</v>
      </c>
    </row>
    <row r="8" spans="1:2" x14ac:dyDescent="0.25">
      <c r="A8" s="15" t="s">
        <v>13</v>
      </c>
      <c r="B8" s="13">
        <v>1</v>
      </c>
    </row>
    <row r="9" spans="1:2" x14ac:dyDescent="0.25">
      <c r="A9" s="14" t="s">
        <v>80</v>
      </c>
      <c r="B9" s="13">
        <v>6</v>
      </c>
    </row>
    <row r="10" spans="1:2" x14ac:dyDescent="0.25">
      <c r="A10" s="15" t="s">
        <v>9</v>
      </c>
      <c r="B10" s="13">
        <v>1</v>
      </c>
    </row>
    <row r="11" spans="1:2" x14ac:dyDescent="0.25">
      <c r="A11" s="15" t="s">
        <v>12</v>
      </c>
      <c r="B11" s="13">
        <v>4</v>
      </c>
    </row>
    <row r="12" spans="1:2" x14ac:dyDescent="0.25">
      <c r="A12" s="15" t="s">
        <v>13</v>
      </c>
      <c r="B12" s="13">
        <v>1</v>
      </c>
    </row>
    <row r="13" spans="1:2" x14ac:dyDescent="0.25">
      <c r="A13" s="14" t="s">
        <v>69</v>
      </c>
      <c r="B13" s="13">
        <v>6</v>
      </c>
    </row>
    <row r="14" spans="1:2" x14ac:dyDescent="0.25">
      <c r="A14" s="15" t="s">
        <v>9</v>
      </c>
      <c r="B14" s="13">
        <v>1</v>
      </c>
    </row>
    <row r="15" spans="1:2" x14ac:dyDescent="0.25">
      <c r="A15" s="15" t="s">
        <v>12</v>
      </c>
      <c r="B15" s="13">
        <v>4</v>
      </c>
    </row>
    <row r="16" spans="1:2" x14ac:dyDescent="0.25">
      <c r="A16" s="15" t="s">
        <v>13</v>
      </c>
      <c r="B16" s="13">
        <v>1</v>
      </c>
    </row>
    <row r="17" spans="1:2" x14ac:dyDescent="0.25">
      <c r="A17" s="14" t="s">
        <v>78</v>
      </c>
      <c r="B17" s="13">
        <v>5</v>
      </c>
    </row>
    <row r="18" spans="1:2" x14ac:dyDescent="0.25">
      <c r="A18" s="15" t="s">
        <v>9</v>
      </c>
      <c r="B18" s="13">
        <v>1</v>
      </c>
    </row>
    <row r="19" spans="1:2" x14ac:dyDescent="0.25">
      <c r="A19" s="15" t="s">
        <v>12</v>
      </c>
      <c r="B19" s="13">
        <v>3</v>
      </c>
    </row>
    <row r="20" spans="1:2" x14ac:dyDescent="0.25">
      <c r="A20" s="15" t="s">
        <v>13</v>
      </c>
      <c r="B20" s="13">
        <v>1</v>
      </c>
    </row>
    <row r="21" spans="1:2" x14ac:dyDescent="0.25">
      <c r="A21" s="14" t="s">
        <v>81</v>
      </c>
      <c r="B21" s="13">
        <v>9</v>
      </c>
    </row>
    <row r="22" spans="1:2" x14ac:dyDescent="0.25">
      <c r="A22" s="15" t="s">
        <v>82</v>
      </c>
      <c r="B22" s="13">
        <v>1</v>
      </c>
    </row>
    <row r="23" spans="1:2" x14ac:dyDescent="0.25">
      <c r="A23" s="15" t="s">
        <v>12</v>
      </c>
      <c r="B23" s="13">
        <v>6</v>
      </c>
    </row>
    <row r="24" spans="1:2" x14ac:dyDescent="0.25">
      <c r="A24" s="15" t="s">
        <v>13</v>
      </c>
      <c r="B24" s="13">
        <v>1</v>
      </c>
    </row>
    <row r="25" spans="1:2" x14ac:dyDescent="0.25">
      <c r="A25" s="15" t="s">
        <v>79</v>
      </c>
      <c r="B25" s="13">
        <v>1</v>
      </c>
    </row>
    <row r="26" spans="1:2" x14ac:dyDescent="0.25">
      <c r="A26" s="14" t="s">
        <v>74</v>
      </c>
      <c r="B26" s="13">
        <v>9</v>
      </c>
    </row>
    <row r="27" spans="1:2" x14ac:dyDescent="0.25">
      <c r="A27" s="15" t="s">
        <v>9</v>
      </c>
      <c r="B27" s="13">
        <v>1</v>
      </c>
    </row>
    <row r="28" spans="1:2" x14ac:dyDescent="0.25">
      <c r="A28" s="15" t="s">
        <v>12</v>
      </c>
      <c r="B28" s="13">
        <v>7</v>
      </c>
    </row>
    <row r="29" spans="1:2" x14ac:dyDescent="0.25">
      <c r="A29" s="15" t="s">
        <v>13</v>
      </c>
      <c r="B29" s="13">
        <v>1</v>
      </c>
    </row>
    <row r="30" spans="1:2" x14ac:dyDescent="0.25">
      <c r="A30" s="14" t="s">
        <v>76</v>
      </c>
      <c r="B30" s="13">
        <v>18</v>
      </c>
    </row>
    <row r="31" spans="1:2" x14ac:dyDescent="0.25">
      <c r="A31" s="15" t="s">
        <v>93</v>
      </c>
      <c r="B31" s="13">
        <v>1</v>
      </c>
    </row>
    <row r="32" spans="1:2" x14ac:dyDescent="0.25">
      <c r="A32" s="15" t="s">
        <v>9</v>
      </c>
      <c r="B32" s="13">
        <v>1</v>
      </c>
    </row>
    <row r="33" spans="1:2" x14ac:dyDescent="0.25">
      <c r="A33" s="15" t="s">
        <v>12</v>
      </c>
      <c r="B33" s="13">
        <v>12</v>
      </c>
    </row>
    <row r="34" spans="1:2" x14ac:dyDescent="0.25">
      <c r="A34" s="15" t="s">
        <v>13</v>
      </c>
      <c r="B34" s="13">
        <v>3</v>
      </c>
    </row>
    <row r="35" spans="1:2" x14ac:dyDescent="0.25">
      <c r="A35" s="15" t="s">
        <v>79</v>
      </c>
      <c r="B35" s="13">
        <v>1</v>
      </c>
    </row>
    <row r="36" spans="1:2" x14ac:dyDescent="0.25">
      <c r="A36" s="14" t="s">
        <v>73</v>
      </c>
      <c r="B36" s="13">
        <v>4</v>
      </c>
    </row>
    <row r="37" spans="1:2" x14ac:dyDescent="0.25">
      <c r="A37" s="15" t="s">
        <v>12</v>
      </c>
      <c r="B37" s="13">
        <v>3</v>
      </c>
    </row>
    <row r="38" spans="1:2" x14ac:dyDescent="0.25">
      <c r="A38" s="15" t="s">
        <v>13</v>
      </c>
      <c r="B38" s="13">
        <v>1</v>
      </c>
    </row>
    <row r="39" spans="1:2" x14ac:dyDescent="0.25">
      <c r="A39" s="14" t="s">
        <v>188</v>
      </c>
      <c r="B39" s="13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workbookViewId="0">
      <selection activeCell="B44" sqref="B44:B4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idden="1" x14ac:dyDescent="0.25">
      <c r="A2" s="11">
        <v>46309</v>
      </c>
      <c r="B2" t="s">
        <v>80</v>
      </c>
      <c r="C2" s="5" t="s">
        <v>97</v>
      </c>
      <c r="D2" t="s">
        <v>12</v>
      </c>
      <c r="E2" t="s">
        <v>14</v>
      </c>
      <c r="F2" t="s">
        <v>14</v>
      </c>
      <c r="G2" t="s">
        <v>98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hidden="1" x14ac:dyDescent="0.25">
      <c r="A3" s="11">
        <v>46309</v>
      </c>
      <c r="B3" t="s">
        <v>80</v>
      </c>
      <c r="C3" s="5" t="s">
        <v>99</v>
      </c>
      <c r="D3" t="s">
        <v>12</v>
      </c>
      <c r="E3" t="s">
        <v>14</v>
      </c>
      <c r="F3" t="s">
        <v>100</v>
      </c>
      <c r="G3" t="s">
        <v>89</v>
      </c>
      <c r="H3" t="s">
        <v>11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hidden="1" x14ac:dyDescent="0.25">
      <c r="A4" s="11">
        <v>46309</v>
      </c>
      <c r="B4" t="s">
        <v>80</v>
      </c>
      <c r="C4" s="5" t="s">
        <v>101</v>
      </c>
      <c r="D4" t="s">
        <v>9</v>
      </c>
      <c r="E4" t="s">
        <v>14</v>
      </c>
      <c r="F4" t="s">
        <v>85</v>
      </c>
      <c r="G4" t="s">
        <v>102</v>
      </c>
      <c r="H4" t="s">
        <v>68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hidden="1" x14ac:dyDescent="0.25">
      <c r="A5" s="11">
        <v>46309</v>
      </c>
      <c r="B5" t="s">
        <v>80</v>
      </c>
      <c r="C5" s="5" t="s">
        <v>103</v>
      </c>
      <c r="D5" t="s">
        <v>12</v>
      </c>
      <c r="E5" t="s">
        <v>39</v>
      </c>
      <c r="F5" t="s">
        <v>2</v>
      </c>
      <c r="G5" t="s">
        <v>91</v>
      </c>
      <c r="H5" t="s">
        <v>72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hidden="1" x14ac:dyDescent="0.25">
      <c r="A6" s="11">
        <v>46309</v>
      </c>
      <c r="B6" t="s">
        <v>80</v>
      </c>
      <c r="C6" s="5" t="s">
        <v>104</v>
      </c>
      <c r="D6" t="s">
        <v>13</v>
      </c>
      <c r="E6" t="s">
        <v>14</v>
      </c>
      <c r="F6" t="s">
        <v>105</v>
      </c>
      <c r="G6" t="s">
        <v>106</v>
      </c>
      <c r="H6" t="s">
        <v>72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hidden="1" x14ac:dyDescent="0.25">
      <c r="A7" s="11">
        <v>46309</v>
      </c>
      <c r="B7" t="s">
        <v>80</v>
      </c>
      <c r="C7" s="5" t="s">
        <v>107</v>
      </c>
      <c r="D7" t="s">
        <v>12</v>
      </c>
      <c r="E7" t="s">
        <v>10</v>
      </c>
      <c r="F7" t="s">
        <v>10</v>
      </c>
      <c r="G7" t="s">
        <v>77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idden="1" x14ac:dyDescent="0.25">
      <c r="A8" s="11">
        <v>46309</v>
      </c>
      <c r="B8" t="s">
        <v>69</v>
      </c>
      <c r="C8" s="5" t="s">
        <v>108</v>
      </c>
      <c r="D8" t="s">
        <v>9</v>
      </c>
      <c r="E8" t="s">
        <v>26</v>
      </c>
      <c r="F8" t="s">
        <v>26</v>
      </c>
      <c r="G8" t="s">
        <v>109</v>
      </c>
      <c r="H8" t="s">
        <v>72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hidden="1" x14ac:dyDescent="0.25">
      <c r="A9" s="11">
        <v>46309</v>
      </c>
      <c r="B9" t="s">
        <v>69</v>
      </c>
      <c r="C9" s="5" t="s">
        <v>110</v>
      </c>
      <c r="D9" t="s">
        <v>13</v>
      </c>
      <c r="E9" t="s">
        <v>39</v>
      </c>
      <c r="F9" t="s">
        <v>2</v>
      </c>
      <c r="G9" t="s">
        <v>91</v>
      </c>
      <c r="H9" t="s">
        <v>72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hidden="1" x14ac:dyDescent="0.25">
      <c r="A10" s="11">
        <v>46309</v>
      </c>
      <c r="B10" t="s">
        <v>69</v>
      </c>
      <c r="C10" s="5" t="s">
        <v>111</v>
      </c>
      <c r="D10" t="s">
        <v>12</v>
      </c>
      <c r="E10" t="s">
        <v>14</v>
      </c>
      <c r="F10" t="s">
        <v>14</v>
      </c>
      <c r="G10" t="s">
        <v>98</v>
      </c>
      <c r="H10" t="s">
        <v>72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hidden="1" x14ac:dyDescent="0.25">
      <c r="A11" s="11">
        <v>46309</v>
      </c>
      <c r="B11" t="s">
        <v>69</v>
      </c>
      <c r="C11" s="5" t="s">
        <v>112</v>
      </c>
      <c r="D11" t="s">
        <v>12</v>
      </c>
      <c r="E11" t="s">
        <v>16</v>
      </c>
      <c r="F11" t="s">
        <v>16</v>
      </c>
      <c r="G11" t="s">
        <v>113</v>
      </c>
      <c r="H11" t="s">
        <v>11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hidden="1" x14ac:dyDescent="0.25">
      <c r="A12" s="11">
        <v>46309</v>
      </c>
      <c r="B12" t="s">
        <v>69</v>
      </c>
      <c r="C12" s="5" t="s">
        <v>114</v>
      </c>
      <c r="D12" t="s">
        <v>12</v>
      </c>
      <c r="E12" t="s">
        <v>29</v>
      </c>
      <c r="F12" t="s">
        <v>2</v>
      </c>
      <c r="G12" t="s">
        <v>91</v>
      </c>
      <c r="H12" t="s">
        <v>68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hidden="1" x14ac:dyDescent="0.25">
      <c r="A13" s="11">
        <v>46309</v>
      </c>
      <c r="B13" t="s">
        <v>69</v>
      </c>
      <c r="C13" s="5" t="s">
        <v>115</v>
      </c>
      <c r="D13" t="s">
        <v>12</v>
      </c>
      <c r="E13" t="s">
        <v>16</v>
      </c>
      <c r="F13" t="s">
        <v>116</v>
      </c>
      <c r="G13" t="s">
        <v>113</v>
      </c>
      <c r="H13" t="s">
        <v>11</v>
      </c>
      <c r="I13" t="str">
        <f>_xlfn.XLOOKUP(Tabla1[[#This Row],[Dependencia]],Tabla2[Dependencia],Tabla2[Clasificación],"XXX",0)</f>
        <v>Alcaldías</v>
      </c>
      <c r="J13" t="str">
        <f>_xlfn.XLOOKUP(Tabla1[[#This Row],[Dependencia]],Tabla3[Dependencia],Tabla3[Nivel],"Otros",0)</f>
        <v>Otros</v>
      </c>
    </row>
    <row r="14" spans="1:10" hidden="1" x14ac:dyDescent="0.25">
      <c r="A14" s="11">
        <v>46309</v>
      </c>
      <c r="B14" t="s">
        <v>71</v>
      </c>
      <c r="C14" s="5" t="s">
        <v>117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idden="1" x14ac:dyDescent="0.25">
      <c r="A15" s="11">
        <v>46309</v>
      </c>
      <c r="B15" t="s">
        <v>71</v>
      </c>
      <c r="C15" s="5" t="s">
        <v>118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hidden="1" x14ac:dyDescent="0.25">
      <c r="A16" s="11">
        <v>46309</v>
      </c>
      <c r="B16" t="s">
        <v>71</v>
      </c>
      <c r="C16" s="5" t="s">
        <v>119</v>
      </c>
      <c r="D16" t="s">
        <v>13</v>
      </c>
      <c r="E16" t="s">
        <v>14</v>
      </c>
      <c r="F16" t="s">
        <v>14</v>
      </c>
      <c r="G16" t="s">
        <v>89</v>
      </c>
      <c r="H16" t="s">
        <v>11</v>
      </c>
      <c r="I16" t="str">
        <f>_xlfn.XLOOKUP(Tabla1[[#This Row],[Dependencia]],Tabla2[Dependencia],Tabla2[Clasificación],"XXX",0)</f>
        <v>Presidencia de la República</v>
      </c>
      <c r="J16" t="str">
        <f>_xlfn.XLOOKUP(Tabla1[[#This Row],[Dependencia]],Tabla3[Dependencia],Tabla3[Nivel],"Otros",0)</f>
        <v>Otros</v>
      </c>
    </row>
    <row r="17" spans="1:10" ht="30" hidden="1" x14ac:dyDescent="0.25">
      <c r="A17" s="11">
        <v>46309</v>
      </c>
      <c r="B17" t="s">
        <v>71</v>
      </c>
      <c r="C17" s="5" t="s">
        <v>120</v>
      </c>
      <c r="D17" t="s">
        <v>12</v>
      </c>
      <c r="E17" t="s">
        <v>61</v>
      </c>
      <c r="F17" t="s">
        <v>121</v>
      </c>
      <c r="G17" t="s">
        <v>122</v>
      </c>
      <c r="H17" t="s">
        <v>11</v>
      </c>
      <c r="I17" t="str">
        <f>_xlfn.XLOOKUP(Tabla1[[#This Row],[Dependencia]],Tabla2[Dependencia],Tabla2[Clasificación],"XXX",0)</f>
        <v>Sucesión gubernamental</v>
      </c>
      <c r="J17" t="str">
        <f>_xlfn.XLOOKUP(Tabla1[[#This Row],[Dependencia]],Tabla3[Dependencia],Tabla3[Nivel],"Otros",0)</f>
        <v>Otros</v>
      </c>
    </row>
    <row r="18" spans="1:10" ht="30" hidden="1" x14ac:dyDescent="0.25">
      <c r="A18" s="11">
        <v>46309</v>
      </c>
      <c r="B18" t="s">
        <v>71</v>
      </c>
      <c r="C18" s="5" t="s">
        <v>123</v>
      </c>
      <c r="D18" t="s">
        <v>12</v>
      </c>
      <c r="E18" t="s">
        <v>39</v>
      </c>
      <c r="F18" t="s">
        <v>2</v>
      </c>
      <c r="G18" t="s">
        <v>91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hidden="1" x14ac:dyDescent="0.25">
      <c r="A19" s="11">
        <v>46309</v>
      </c>
      <c r="B19" t="s">
        <v>71</v>
      </c>
      <c r="C19" s="5" t="s">
        <v>124</v>
      </c>
      <c r="D19" t="s">
        <v>9</v>
      </c>
      <c r="E19" t="s">
        <v>14</v>
      </c>
      <c r="F19" t="s">
        <v>85</v>
      </c>
      <c r="G19" t="s">
        <v>102</v>
      </c>
      <c r="H19" t="s">
        <v>68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ht="30" hidden="1" x14ac:dyDescent="0.25">
      <c r="A20" s="11">
        <v>46309</v>
      </c>
      <c r="B20" t="s">
        <v>71</v>
      </c>
      <c r="C20" s="5" t="s">
        <v>125</v>
      </c>
      <c r="D20" t="s">
        <v>12</v>
      </c>
      <c r="E20" t="s">
        <v>10</v>
      </c>
      <c r="F20" t="s">
        <v>10</v>
      </c>
      <c r="G20" t="s">
        <v>61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hidden="1" x14ac:dyDescent="0.25">
      <c r="A21" s="11">
        <v>46309</v>
      </c>
      <c r="B21" t="s">
        <v>74</v>
      </c>
      <c r="C21" s="5" t="s">
        <v>126</v>
      </c>
      <c r="D21" t="s">
        <v>13</v>
      </c>
      <c r="E21" t="s">
        <v>58</v>
      </c>
      <c r="F21" t="s">
        <v>2</v>
      </c>
      <c r="G21" t="s">
        <v>127</v>
      </c>
      <c r="H21" t="s">
        <v>72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hidden="1" x14ac:dyDescent="0.25">
      <c r="A22" s="11">
        <v>46309</v>
      </c>
      <c r="B22" t="s">
        <v>74</v>
      </c>
      <c r="C22" s="5" t="s">
        <v>128</v>
      </c>
      <c r="D22" t="s">
        <v>12</v>
      </c>
      <c r="E22" t="s">
        <v>10</v>
      </c>
      <c r="F22" t="s">
        <v>10</v>
      </c>
      <c r="G22" t="s">
        <v>77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idden="1" x14ac:dyDescent="0.25">
      <c r="A23" s="11">
        <v>46309</v>
      </c>
      <c r="B23" t="s">
        <v>74</v>
      </c>
      <c r="C23" s="5" t="s">
        <v>129</v>
      </c>
      <c r="D23" t="s">
        <v>9</v>
      </c>
      <c r="E23" t="s">
        <v>39</v>
      </c>
      <c r="F23" t="s">
        <v>2</v>
      </c>
      <c r="G23" t="s">
        <v>91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ht="30" hidden="1" x14ac:dyDescent="0.25">
      <c r="A24" s="11">
        <v>46309</v>
      </c>
      <c r="B24" t="s">
        <v>74</v>
      </c>
      <c r="C24" s="5" t="s">
        <v>130</v>
      </c>
      <c r="D24" t="s">
        <v>12</v>
      </c>
      <c r="E24" t="s">
        <v>88</v>
      </c>
      <c r="F24" t="s">
        <v>88</v>
      </c>
      <c r="G24" t="s">
        <v>131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idden="1" x14ac:dyDescent="0.25">
      <c r="A25" s="11">
        <v>46309</v>
      </c>
      <c r="B25" t="s">
        <v>74</v>
      </c>
      <c r="C25" s="5" t="s">
        <v>132</v>
      </c>
      <c r="D25" t="s">
        <v>12</v>
      </c>
      <c r="E25" t="s">
        <v>16</v>
      </c>
      <c r="F25" t="s">
        <v>86</v>
      </c>
      <c r="G25" t="s">
        <v>133</v>
      </c>
      <c r="H25" t="s">
        <v>11</v>
      </c>
      <c r="I25" t="str">
        <f>_xlfn.XLOOKUP(Tabla1[[#This Row],[Dependencia]],Tabla2[Dependencia],Tabla2[Clasificación],"XXX",0)</f>
        <v>Alcaldías</v>
      </c>
      <c r="J25" t="str">
        <f>_xlfn.XLOOKUP(Tabla1[[#This Row],[Dependencia]],Tabla3[Dependencia],Tabla3[Nivel],"Otros",0)</f>
        <v>Otros</v>
      </c>
    </row>
    <row r="26" spans="1:10" ht="30" hidden="1" x14ac:dyDescent="0.25">
      <c r="A26" s="11">
        <v>46309</v>
      </c>
      <c r="B26" t="s">
        <v>74</v>
      </c>
      <c r="C26" s="5" t="s">
        <v>134</v>
      </c>
      <c r="D26" t="s">
        <v>12</v>
      </c>
      <c r="E26" t="s">
        <v>14</v>
      </c>
      <c r="F26" t="s">
        <v>135</v>
      </c>
      <c r="G26" t="s">
        <v>136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hidden="1" x14ac:dyDescent="0.25">
      <c r="A27" s="11">
        <v>46309</v>
      </c>
      <c r="B27" t="s">
        <v>74</v>
      </c>
      <c r="C27" s="5" t="s">
        <v>137</v>
      </c>
      <c r="D27" t="s">
        <v>12</v>
      </c>
      <c r="E27" t="s">
        <v>14</v>
      </c>
      <c r="F27" t="s">
        <v>14</v>
      </c>
      <c r="G27" t="s">
        <v>138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30" hidden="1" x14ac:dyDescent="0.25">
      <c r="A28" s="11">
        <v>46309</v>
      </c>
      <c r="B28" t="s">
        <v>74</v>
      </c>
      <c r="C28" s="5" t="s">
        <v>139</v>
      </c>
      <c r="D28" t="s">
        <v>12</v>
      </c>
      <c r="E28" t="s">
        <v>14</v>
      </c>
      <c r="F28" t="s">
        <v>85</v>
      </c>
      <c r="G28" t="s">
        <v>102</v>
      </c>
      <c r="H28" t="s">
        <v>68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hidden="1" x14ac:dyDescent="0.25">
      <c r="A29" s="11">
        <v>46309</v>
      </c>
      <c r="B29" t="s">
        <v>74</v>
      </c>
      <c r="C29" s="5" t="s">
        <v>140</v>
      </c>
      <c r="D29" t="s">
        <v>12</v>
      </c>
      <c r="E29" t="s">
        <v>54</v>
      </c>
      <c r="F29" t="s">
        <v>54</v>
      </c>
      <c r="G29" t="s">
        <v>141</v>
      </c>
      <c r="H29" t="s">
        <v>72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hidden="1" x14ac:dyDescent="0.25">
      <c r="A30" s="11">
        <v>46309</v>
      </c>
      <c r="B30" t="s">
        <v>78</v>
      </c>
      <c r="C30" s="5" t="s">
        <v>142</v>
      </c>
      <c r="D30" t="s">
        <v>13</v>
      </c>
      <c r="E30" t="s">
        <v>39</v>
      </c>
      <c r="F30" t="s">
        <v>2</v>
      </c>
      <c r="G30" t="s">
        <v>91</v>
      </c>
      <c r="H30" t="s">
        <v>72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idden="1" x14ac:dyDescent="0.25">
      <c r="A31" s="11">
        <v>46309</v>
      </c>
      <c r="B31" t="s">
        <v>78</v>
      </c>
      <c r="C31" s="5" t="s">
        <v>143</v>
      </c>
      <c r="D31" t="s">
        <v>9</v>
      </c>
      <c r="E31" t="s">
        <v>61</v>
      </c>
      <c r="F31" t="s">
        <v>144</v>
      </c>
      <c r="G31" t="s">
        <v>91</v>
      </c>
      <c r="H31" t="s">
        <v>11</v>
      </c>
      <c r="I31" t="str">
        <f>_xlfn.XLOOKUP(Tabla1[[#This Row],[Dependencia]],Tabla2[Dependencia],Tabla2[Clasificación],"XXX",0)</f>
        <v>Sucesión gubernamental</v>
      </c>
      <c r="J31" t="str">
        <f>_xlfn.XLOOKUP(Tabla1[[#This Row],[Dependencia]],Tabla3[Dependencia],Tabla3[Nivel],"Otros",0)</f>
        <v>Otros</v>
      </c>
    </row>
    <row r="32" spans="1:10" ht="90" hidden="1" x14ac:dyDescent="0.25">
      <c r="A32" s="11">
        <v>46309</v>
      </c>
      <c r="B32" t="s">
        <v>78</v>
      </c>
      <c r="C32" s="5" t="s">
        <v>145</v>
      </c>
      <c r="D32" t="s">
        <v>12</v>
      </c>
      <c r="E32" t="s">
        <v>10</v>
      </c>
      <c r="F32" t="s">
        <v>10</v>
      </c>
      <c r="G32" t="s">
        <v>146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idden="1" x14ac:dyDescent="0.25">
      <c r="A33" s="11">
        <v>46309</v>
      </c>
      <c r="B33" t="s">
        <v>78</v>
      </c>
      <c r="C33" s="5" t="s">
        <v>147</v>
      </c>
      <c r="D33" t="s">
        <v>12</v>
      </c>
      <c r="E33" t="s">
        <v>14</v>
      </c>
      <c r="F33" t="s">
        <v>148</v>
      </c>
      <c r="G33" t="s">
        <v>136</v>
      </c>
      <c r="H33" t="s">
        <v>11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hidden="1" x14ac:dyDescent="0.25">
      <c r="A34" s="11">
        <v>46309</v>
      </c>
      <c r="B34" t="s">
        <v>78</v>
      </c>
      <c r="C34" s="5" t="s">
        <v>149</v>
      </c>
      <c r="D34" t="s">
        <v>12</v>
      </c>
      <c r="E34" t="s">
        <v>14</v>
      </c>
      <c r="F34" t="s">
        <v>85</v>
      </c>
      <c r="G34" t="s">
        <v>102</v>
      </c>
      <c r="H34" t="s">
        <v>68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30" hidden="1" x14ac:dyDescent="0.25">
      <c r="A35" s="11">
        <v>46309</v>
      </c>
      <c r="B35" t="s">
        <v>73</v>
      </c>
      <c r="C35" s="5" t="s">
        <v>150</v>
      </c>
      <c r="D35" t="s">
        <v>13</v>
      </c>
      <c r="E35" t="s">
        <v>38</v>
      </c>
      <c r="F35" t="s">
        <v>38</v>
      </c>
      <c r="G35" t="s">
        <v>102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hidden="1" x14ac:dyDescent="0.25">
      <c r="A36" s="11">
        <v>46309</v>
      </c>
      <c r="B36" t="s">
        <v>73</v>
      </c>
      <c r="C36" s="5" t="s">
        <v>151</v>
      </c>
      <c r="D36" t="s">
        <v>12</v>
      </c>
      <c r="E36" t="s">
        <v>39</v>
      </c>
      <c r="F36" t="s">
        <v>2</v>
      </c>
      <c r="G36" t="s">
        <v>91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hidden="1" x14ac:dyDescent="0.25">
      <c r="A37" s="11">
        <v>46309</v>
      </c>
      <c r="B37" t="s">
        <v>73</v>
      </c>
      <c r="C37" s="5" t="s">
        <v>152</v>
      </c>
      <c r="D37" t="s">
        <v>12</v>
      </c>
      <c r="E37" t="s">
        <v>14</v>
      </c>
      <c r="F37" t="s">
        <v>14</v>
      </c>
      <c r="G37" t="s">
        <v>98</v>
      </c>
      <c r="H37" t="s">
        <v>72</v>
      </c>
      <c r="I37" t="str">
        <f>_xlfn.XLOOKUP(Tabla1[[#This Row],[Dependencia]],Tabla2[Dependencia],Tabla2[Clasificación],"XXX",0)</f>
        <v>Presidencia de la República</v>
      </c>
      <c r="J37" t="str">
        <f>_xlfn.XLOOKUP(Tabla1[[#This Row],[Dependencia]],Tabla3[Dependencia],Tabla3[Nivel],"Otros",0)</f>
        <v>Otros</v>
      </c>
    </row>
    <row r="38" spans="1:10" ht="30" hidden="1" x14ac:dyDescent="0.25">
      <c r="A38" s="11">
        <v>46309</v>
      </c>
      <c r="B38" t="s">
        <v>73</v>
      </c>
      <c r="C38" s="5" t="s">
        <v>153</v>
      </c>
      <c r="D38" t="s">
        <v>12</v>
      </c>
      <c r="E38" t="s">
        <v>16</v>
      </c>
      <c r="F38" t="s">
        <v>86</v>
      </c>
      <c r="G38" t="s">
        <v>133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46309</v>
      </c>
      <c r="B39" t="s">
        <v>76</v>
      </c>
      <c r="C39" s="5" t="s">
        <v>154</v>
      </c>
      <c r="D39" t="s">
        <v>13</v>
      </c>
      <c r="E39" t="s">
        <v>39</v>
      </c>
      <c r="F39" t="s">
        <v>2</v>
      </c>
      <c r="G39" t="s">
        <v>91</v>
      </c>
      <c r="H39" t="s">
        <v>72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46309</v>
      </c>
      <c r="B40" t="s">
        <v>76</v>
      </c>
      <c r="C40" s="5" t="s">
        <v>155</v>
      </c>
      <c r="D40" t="s">
        <v>12</v>
      </c>
      <c r="E40" t="s">
        <v>14</v>
      </c>
      <c r="F40" t="s">
        <v>14</v>
      </c>
      <c r="G40" t="s">
        <v>98</v>
      </c>
      <c r="H40" t="s">
        <v>72</v>
      </c>
      <c r="I40" t="str">
        <f>_xlfn.XLOOKUP(Tabla1[[#This Row],[Dependencia]],Tabla2[Dependencia],Tabla2[Clasificación],"XXX",0)</f>
        <v>Presidencia de la República</v>
      </c>
      <c r="J40" t="str">
        <f>_xlfn.XLOOKUP(Tabla1[[#This Row],[Dependencia]],Tabla3[Dependencia],Tabla3[Nivel],"Otros",0)</f>
        <v>Otros</v>
      </c>
    </row>
    <row r="41" spans="1:10" ht="60" x14ac:dyDescent="0.25">
      <c r="A41" s="11">
        <v>46309</v>
      </c>
      <c r="B41" t="s">
        <v>76</v>
      </c>
      <c r="C41" s="5" t="s">
        <v>156</v>
      </c>
      <c r="D41" t="s">
        <v>93</v>
      </c>
      <c r="E41" t="s">
        <v>14</v>
      </c>
      <c r="F41" t="s">
        <v>85</v>
      </c>
      <c r="G41" t="s">
        <v>102</v>
      </c>
      <c r="H41" t="s">
        <v>68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46309</v>
      </c>
      <c r="B42" t="s">
        <v>76</v>
      </c>
      <c r="C42" s="5" t="s">
        <v>157</v>
      </c>
      <c r="D42" t="s">
        <v>12</v>
      </c>
      <c r="E42" t="s">
        <v>14</v>
      </c>
      <c r="F42" t="s">
        <v>85</v>
      </c>
      <c r="G42" t="s">
        <v>102</v>
      </c>
      <c r="H42" t="s">
        <v>68</v>
      </c>
      <c r="I42" t="str">
        <f>_xlfn.XLOOKUP(Tabla1[[#This Row],[Dependencia]],Tabla2[Dependencia],Tabla2[Clasificación],"XXX",0)</f>
        <v>Presidencia de la República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46309</v>
      </c>
      <c r="B43" t="s">
        <v>76</v>
      </c>
      <c r="C43" s="5" t="s">
        <v>158</v>
      </c>
      <c r="D43" t="s">
        <v>12</v>
      </c>
      <c r="E43" t="s">
        <v>58</v>
      </c>
      <c r="F43" t="s">
        <v>58</v>
      </c>
      <c r="G43" t="s">
        <v>159</v>
      </c>
      <c r="H43" t="s">
        <v>72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46309</v>
      </c>
      <c r="B44" t="s">
        <v>189</v>
      </c>
      <c r="C44" s="5" t="s">
        <v>160</v>
      </c>
      <c r="D44" t="s">
        <v>13</v>
      </c>
      <c r="E44" t="s">
        <v>39</v>
      </c>
      <c r="F44" t="s">
        <v>2</v>
      </c>
      <c r="G44" t="s">
        <v>91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1">
        <v>46309</v>
      </c>
      <c r="B45" t="s">
        <v>189</v>
      </c>
      <c r="C45" s="5" t="s">
        <v>161</v>
      </c>
      <c r="D45" t="s">
        <v>9</v>
      </c>
      <c r="E45" t="s">
        <v>14</v>
      </c>
      <c r="F45" t="s">
        <v>85</v>
      </c>
      <c r="G45" t="s">
        <v>102</v>
      </c>
      <c r="H45" t="s">
        <v>68</v>
      </c>
      <c r="I45" t="str">
        <f>_xlfn.XLOOKUP(Tabla1[[#This Row],[Dependencia]],Tabla2[Dependencia],Tabla2[Clasificación],"XXX",0)</f>
        <v>Presidencia de la República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46309</v>
      </c>
      <c r="B46" t="s">
        <v>189</v>
      </c>
      <c r="C46" s="5" t="s">
        <v>162</v>
      </c>
      <c r="D46" t="s">
        <v>12</v>
      </c>
      <c r="E46" t="s">
        <v>33</v>
      </c>
      <c r="F46" t="s">
        <v>163</v>
      </c>
      <c r="G46" t="s">
        <v>61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46309</v>
      </c>
      <c r="B47" t="s">
        <v>189</v>
      </c>
      <c r="C47" s="5" t="s">
        <v>164</v>
      </c>
      <c r="D47" t="s">
        <v>12</v>
      </c>
      <c r="E47" t="s">
        <v>29</v>
      </c>
      <c r="F47" t="s">
        <v>2</v>
      </c>
      <c r="G47" t="s">
        <v>91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46309</v>
      </c>
      <c r="B48" t="s">
        <v>189</v>
      </c>
      <c r="C48" s="5" t="s">
        <v>165</v>
      </c>
      <c r="D48" t="s">
        <v>12</v>
      </c>
      <c r="E48" t="s">
        <v>16</v>
      </c>
      <c r="F48" t="s">
        <v>86</v>
      </c>
      <c r="G48" t="s">
        <v>133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46309</v>
      </c>
      <c r="B49" t="s">
        <v>189</v>
      </c>
      <c r="C49" s="5" t="s">
        <v>166</v>
      </c>
      <c r="D49" t="s">
        <v>12</v>
      </c>
      <c r="E49" t="s">
        <v>14</v>
      </c>
      <c r="F49" t="s">
        <v>14</v>
      </c>
      <c r="G49" t="s">
        <v>98</v>
      </c>
      <c r="H49" t="s">
        <v>72</v>
      </c>
      <c r="I49" t="str">
        <f>_xlfn.XLOOKUP(Tabla1[[#This Row],[Dependencia]],Tabla2[Dependencia],Tabla2[Clasificación],"XXX",0)</f>
        <v>Presidencia de la República</v>
      </c>
      <c r="J49" t="str">
        <f>_xlfn.XLOOKUP(Tabla1[[#This Row],[Dependencia]],Tabla3[Dependencia],Tabla3[Nivel],"Otros",0)</f>
        <v>Otros</v>
      </c>
    </row>
    <row r="50" spans="1:10" ht="30" hidden="1" x14ac:dyDescent="0.25">
      <c r="A50" s="11">
        <v>46309</v>
      </c>
      <c r="B50" t="s">
        <v>81</v>
      </c>
      <c r="C50" s="5" t="s">
        <v>167</v>
      </c>
      <c r="D50" t="s">
        <v>82</v>
      </c>
      <c r="E50" t="s">
        <v>10</v>
      </c>
      <c r="F50" t="s">
        <v>10</v>
      </c>
      <c r="G50" t="s">
        <v>168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hidden="1" x14ac:dyDescent="0.25">
      <c r="A51" s="11">
        <v>46309</v>
      </c>
      <c r="B51" t="s">
        <v>81</v>
      </c>
      <c r="C51" s="5" t="s">
        <v>169</v>
      </c>
      <c r="D51" t="s">
        <v>12</v>
      </c>
      <c r="E51" t="s">
        <v>39</v>
      </c>
      <c r="F51" t="s">
        <v>2</v>
      </c>
      <c r="G51" t="s">
        <v>91</v>
      </c>
      <c r="H51" t="s">
        <v>72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hidden="1" x14ac:dyDescent="0.25">
      <c r="A52" s="11">
        <v>46309</v>
      </c>
      <c r="B52" t="s">
        <v>81</v>
      </c>
      <c r="C52" s="5" t="s">
        <v>170</v>
      </c>
      <c r="D52" t="s">
        <v>13</v>
      </c>
      <c r="E52" t="s">
        <v>10</v>
      </c>
      <c r="F52" t="s">
        <v>10</v>
      </c>
      <c r="G52" t="s">
        <v>92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ht="30" hidden="1" x14ac:dyDescent="0.25">
      <c r="A53" s="11">
        <v>46309</v>
      </c>
      <c r="B53" t="s">
        <v>81</v>
      </c>
      <c r="C53" s="5" t="s">
        <v>171</v>
      </c>
      <c r="D53" t="s">
        <v>12</v>
      </c>
      <c r="E53" t="s">
        <v>23</v>
      </c>
      <c r="F53" t="s">
        <v>2</v>
      </c>
      <c r="G53" t="s">
        <v>172</v>
      </c>
      <c r="H53" t="s">
        <v>72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hidden="1" x14ac:dyDescent="0.25">
      <c r="A54" s="11">
        <v>46309</v>
      </c>
      <c r="B54" t="s">
        <v>81</v>
      </c>
      <c r="C54" s="5" t="s">
        <v>173</v>
      </c>
      <c r="D54" t="s">
        <v>12</v>
      </c>
      <c r="E54" t="s">
        <v>16</v>
      </c>
      <c r="F54" t="s">
        <v>86</v>
      </c>
      <c r="G54" t="s">
        <v>133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hidden="1" x14ac:dyDescent="0.25">
      <c r="A55" s="11">
        <v>46309</v>
      </c>
      <c r="B55" t="s">
        <v>81</v>
      </c>
      <c r="C55" s="5" t="s">
        <v>174</v>
      </c>
      <c r="D55" t="s">
        <v>12</v>
      </c>
      <c r="E55" t="s">
        <v>15</v>
      </c>
      <c r="F55" t="s">
        <v>175</v>
      </c>
      <c r="G55" t="s">
        <v>94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hidden="1" x14ac:dyDescent="0.25">
      <c r="A56" s="11">
        <v>46309</v>
      </c>
      <c r="B56" t="s">
        <v>81</v>
      </c>
      <c r="C56" s="5" t="s">
        <v>176</v>
      </c>
      <c r="D56" t="s">
        <v>12</v>
      </c>
      <c r="E56" t="s">
        <v>10</v>
      </c>
      <c r="F56" t="s">
        <v>10</v>
      </c>
      <c r="G56" t="s">
        <v>95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30" hidden="1" x14ac:dyDescent="0.25">
      <c r="A57" s="11">
        <v>46309</v>
      </c>
      <c r="B57" t="s">
        <v>81</v>
      </c>
      <c r="C57" s="5" t="s">
        <v>177</v>
      </c>
      <c r="D57" t="s">
        <v>12</v>
      </c>
      <c r="E57" t="s">
        <v>14</v>
      </c>
      <c r="F57" t="s">
        <v>85</v>
      </c>
      <c r="G57" t="s">
        <v>102</v>
      </c>
      <c r="H57" t="s">
        <v>68</v>
      </c>
      <c r="I57" t="str">
        <f>_xlfn.XLOOKUP(Tabla1[[#This Row],[Dependencia]],Tabla2[Dependencia],Tabla2[Clasificación],"XXX",0)</f>
        <v>Presidencia de la República</v>
      </c>
      <c r="J57" t="str">
        <f>_xlfn.XLOOKUP(Tabla1[[#This Row],[Dependencia]],Tabla3[Dependencia],Tabla3[Nivel],"Otros",0)</f>
        <v>Otros</v>
      </c>
    </row>
    <row r="58" spans="1:10" hidden="1" x14ac:dyDescent="0.25">
      <c r="A58" s="11">
        <v>46309</v>
      </c>
      <c r="B58" t="s">
        <v>81</v>
      </c>
      <c r="C58" s="5" t="s">
        <v>178</v>
      </c>
      <c r="D58" t="s">
        <v>79</v>
      </c>
      <c r="E58" t="s">
        <v>29</v>
      </c>
      <c r="F58" t="s">
        <v>29</v>
      </c>
      <c r="G58" t="s">
        <v>179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46309</v>
      </c>
      <c r="B59" t="s">
        <v>190</v>
      </c>
      <c r="C59" s="5" t="s">
        <v>173</v>
      </c>
      <c r="D59" t="s">
        <v>13</v>
      </c>
      <c r="E59" t="s">
        <v>16</v>
      </c>
      <c r="F59" t="s">
        <v>86</v>
      </c>
      <c r="G59" t="s">
        <v>133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46309</v>
      </c>
      <c r="B60" t="s">
        <v>190</v>
      </c>
      <c r="C60" s="5" t="s">
        <v>180</v>
      </c>
      <c r="D60" t="s">
        <v>12</v>
      </c>
      <c r="E60" t="s">
        <v>10</v>
      </c>
      <c r="F60" t="s">
        <v>10</v>
      </c>
      <c r="G60" t="s">
        <v>181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11">
        <v>46309</v>
      </c>
      <c r="B61" t="s">
        <v>190</v>
      </c>
      <c r="C61" s="5" t="s">
        <v>182</v>
      </c>
      <c r="D61" t="s">
        <v>12</v>
      </c>
      <c r="E61" t="s">
        <v>26</v>
      </c>
      <c r="F61" t="s">
        <v>26</v>
      </c>
      <c r="G61" t="s">
        <v>109</v>
      </c>
      <c r="H61" t="s">
        <v>72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46309</v>
      </c>
      <c r="B62" t="s">
        <v>190</v>
      </c>
      <c r="C62" s="5" t="s">
        <v>183</v>
      </c>
      <c r="D62" t="s">
        <v>12</v>
      </c>
      <c r="E62" t="s">
        <v>39</v>
      </c>
      <c r="F62" t="s">
        <v>2</v>
      </c>
      <c r="G62" t="s">
        <v>91</v>
      </c>
      <c r="H62" t="s">
        <v>72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46309</v>
      </c>
      <c r="B63" t="s">
        <v>190</v>
      </c>
      <c r="C63" s="5" t="s">
        <v>184</v>
      </c>
      <c r="D63" t="s">
        <v>12</v>
      </c>
      <c r="E63" t="s">
        <v>29</v>
      </c>
      <c r="F63" t="s">
        <v>87</v>
      </c>
      <c r="G63" t="s">
        <v>84</v>
      </c>
      <c r="H63" t="s">
        <v>72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46309</v>
      </c>
      <c r="B64" t="s">
        <v>190</v>
      </c>
      <c r="C64" s="5" t="s">
        <v>96</v>
      </c>
      <c r="D64" t="s">
        <v>79</v>
      </c>
      <c r="E64" t="s">
        <v>36</v>
      </c>
      <c r="F64" t="s">
        <v>36</v>
      </c>
      <c r="G64" t="s">
        <v>90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46309</v>
      </c>
      <c r="B65" t="s">
        <v>190</v>
      </c>
      <c r="C65" s="5" t="s">
        <v>185</v>
      </c>
      <c r="D65" t="s">
        <v>12</v>
      </c>
      <c r="E65" t="s">
        <v>16</v>
      </c>
      <c r="F65" t="s">
        <v>16</v>
      </c>
      <c r="G65" t="s">
        <v>83</v>
      </c>
      <c r="H65" t="s">
        <v>11</v>
      </c>
      <c r="I65" t="str">
        <f>_xlfn.XLOOKUP(Tabla1[[#This Row],[Dependencia]],Tabla2[Dependencia],Tabla2[Clasificación],"XXX",0)</f>
        <v>Alcaldías</v>
      </c>
      <c r="J65" t="str">
        <f>_xlfn.XLOOKUP(Tabla1[[#This Row],[Dependencia]],Tabla3[Dependencia],Tabla3[Nivel],"Otros",0)</f>
        <v>Otros</v>
      </c>
    </row>
  </sheetData>
  <conditionalFormatting sqref="I2:I65">
    <cfRule type="expression" dxfId="0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2026-10-14T15:30:21Z</dcterms:modified>
</cp:coreProperties>
</file>