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8736E729-4D52-4527-94C9-CB4E4F704021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I2" i="1"/>
  <c r="J2" i="1"/>
</calcChain>
</file>

<file path=xl/sharedStrings.xml><?xml version="1.0" encoding="utf-8"?>
<sst xmlns="http://schemas.openxmlformats.org/spreadsheetml/2006/main" count="580" uniqueCount="179">
  <si>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</si>
  <si>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</si>
  <si>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</si>
  <si>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</si>
  <si>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</si>
  <si>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</si>
  <si>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</si>
  <si>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</si>
  <si>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</si>
  <si>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</si>
  <si>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</si>
  <si>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</si>
  <si>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</si>
  <si>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</si>
  <si>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</si>
  <si>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</si>
  <si>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</si>
  <si>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</si>
  <si>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</si>
  <si>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</si>
  <si>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</si>
  <si>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</si>
  <si>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</si>
  <si>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</si>
  <si>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</si>
  <si>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</si>
  <si>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</si>
  <si>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</si>
  <si>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</si>
  <si>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</si>
  <si>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</si>
  <si>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</si>
  <si>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</si>
  <si>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</si>
  <si>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</si>
  <si>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</si>
  <si>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</si>
  <si>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</si>
  <si>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</si>
  <si>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</si>
  <si>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</si>
  <si>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</si>
  <si>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</si>
  <si>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</si>
  <si>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</si>
  <si>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</si>
  <si>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</si>
  <si>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</si>
  <si>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</si>
  <si>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</si>
  <si>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</si>
  <si>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</si>
  <si>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</si>
  <si>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</si>
  <si>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</si>
  <si>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</si>
  <si>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</si>
  <si>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</si>
  <si>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</si>
  <si>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</si>
  <si>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</si>
  <si>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</si>
  <si>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</si>
  <si>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</si>
  <si>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</si>
  <si>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</si>
  <si>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</si>
  <si>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</si>
  <si>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</si>
  <si>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</si>
  <si>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</si>
  <si>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</si>
  <si>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Síntesis</t>
  </si>
  <si>
    <t>Pachuca Brilla</t>
  </si>
  <si>
    <t>La Jornada Hidalgo</t>
  </si>
  <si>
    <t>OCSAD</t>
  </si>
  <si>
    <t>Mundial De Futbol</t>
  </si>
  <si>
    <t>El Universal Hidalgo</t>
  </si>
  <si>
    <t>Sitmah</t>
  </si>
  <si>
    <t>Modernización Tuzobús</t>
  </si>
  <si>
    <t>Marfeca</t>
  </si>
  <si>
    <t>Cintillo</t>
  </si>
  <si>
    <t>Publicidad</t>
  </si>
  <si>
    <t>Atracción De Inversiones</t>
  </si>
  <si>
    <t>Intervención extranjera</t>
  </si>
  <si>
    <t>PRI</t>
  </si>
  <si>
    <t>Protección del menor</t>
  </si>
  <si>
    <t>Carril confinado</t>
  </si>
  <si>
    <t>Editorial</t>
  </si>
  <si>
    <t>Claudia Sandoval, premio Bellas Artes</t>
  </si>
  <si>
    <t>Premio de cuento y poesía</t>
  </si>
  <si>
    <t>Canasta básica supera en Hidalgo el precio oficial</t>
  </si>
  <si>
    <t>Canasta básica</t>
  </si>
  <si>
    <t>Protegen a infantes de abusos en hoteles</t>
  </si>
  <si>
    <t>Selección sudafricana se alista en Pachuca</t>
  </si>
  <si>
    <t>Falta claridad en servicios de salud</t>
  </si>
  <si>
    <t>Salud universal</t>
  </si>
  <si>
    <t>Refuerzan protección de los menores</t>
  </si>
  <si>
    <t>Conagua no denunciará: Félix Brambila</t>
  </si>
  <si>
    <t>Conagua</t>
  </si>
  <si>
    <t>Plan Hídrico</t>
  </si>
  <si>
    <t>IEEH definirá en octubre reglas de postulación para elección de 2027</t>
  </si>
  <si>
    <t>Candidaturas</t>
  </si>
  <si>
    <t>Llegan los sudafricanos</t>
  </si>
  <si>
    <t>Fumigan vs mosco culex</t>
  </si>
  <si>
    <t>Fumigación mosco Culex</t>
  </si>
  <si>
    <t>Defienden derechos de la niñez</t>
  </si>
  <si>
    <t>Descartan retraso en construcción</t>
  </si>
  <si>
    <t>Junta de Gobierno</t>
  </si>
  <si>
    <t>Salón De Plenos</t>
  </si>
  <si>
    <t>Unidades económicas lideran en uso de reciclados</t>
  </si>
  <si>
    <t>Disposición de residuos</t>
  </si>
  <si>
    <t>Cuatro municipios concentran violencia contra menores: DIFH</t>
  </si>
  <si>
    <t>Respeto desde la embajada, reclama CSP a Johnson</t>
  </si>
  <si>
    <t>Club Pachuca recibe a la selección de Sudáfrica</t>
  </si>
  <si>
    <t>Es urgente que prestemos atención a los procesos judiciales en los que intervienen niñas, niños y adolescentes para sensibilizar y capacitar a los operadores de justicia</t>
  </si>
  <si>
    <t>Arranca actividad mundialista en Pachuca; llegan sudafricanos</t>
  </si>
  <si>
    <t>El torneo pondrá a la ciudad en los ojos del mundo: JMS</t>
  </si>
  <si>
    <t>Por alto costo desechan las pantallas públicas, señala Oficialía Mayor</t>
  </si>
  <si>
    <t>El tricolor de Javier Aguirre busca buena vibra ante la Piedra del Sol</t>
  </si>
  <si>
    <t>La CNTE ya no está para diálogo y vandaliza en CDMX y dos estados más</t>
  </si>
  <si>
    <t>Protesta sindical</t>
  </si>
  <si>
    <t>Extender 16 años el T-Mec, plantean Canadá y México</t>
  </si>
  <si>
    <t>T-Mec</t>
  </si>
  <si>
    <t>Garantizan seguridad para seleccionados sudafricanos durante su estancia en Pachuca</t>
  </si>
  <si>
    <t>Formalizan tres municipios sus procuradurías para la proteccion de niñas, niños y adolescentes</t>
  </si>
  <si>
    <t>Hunan pone la mira en Hidalgo para ampliar proyectos de inversión</t>
  </si>
  <si>
    <t>Firman acuerdo para ordenar crecimiento urbano en zona de estaciones del Tren Aifa-Pachuca</t>
  </si>
  <si>
    <t>Tren AIFA</t>
  </si>
  <si>
    <t>Refuerza Hidalgo estrategia sanitaria rumbo al Mundial 2026</t>
  </si>
  <si>
    <t>Cartas con valor"" acerca sonrisas a la niñez de la Sierra y la Huasteca</t>
  </si>
  <si>
    <t>Reconstrucción del Tejido social</t>
  </si>
  <si>
    <t>Ciudadanos piden atención de la CFE ante caída de poste con transformador</t>
  </si>
  <si>
    <t>CFE</t>
  </si>
  <si>
    <t>Infraestructura en mal estado</t>
  </si>
  <si>
    <t>HOTELEROS SE PREPARAN PARA RECIBIR VISITANTES DURANTE EL TLAJTOLI 2026.</t>
  </si>
  <si>
    <t>Festival Cultural</t>
  </si>
  <si>
    <t>Alianza Hidalgo-China se consolida</t>
  </si>
  <si>
    <t>Effetá</t>
  </si>
  <si>
    <t>Pachuca, quinta ciudad más competitiva y líder en innovación y economía</t>
  </si>
  <si>
    <t>Índice de competitividad urbana</t>
  </si>
  <si>
    <t>Sin fallas mecánicas</t>
  </si>
  <si>
    <t>Llegan los Bafana Bafana</t>
  </si>
  <si>
    <t>¿No habrá Fan Fest?</t>
  </si>
  <si>
    <t>No puedo ser juez y parte""</t>
  </si>
  <si>
    <t>Dirigencia Partidista</t>
  </si>
  <si>
    <t>Analiza Pachuca ampliar horario de cantinas los domingos durante el Mundial</t>
  </si>
  <si>
    <t>Instalan formalmente la Procuraduria Municipal de Proteccion de Niñas, Ninos y Adolescentes de Pachuca</t>
  </si>
  <si>
    <t>Atotonilco de Tula realiza el primer registro de una menor con dos madres</t>
  </si>
  <si>
    <t>Inclusión sexogenérica</t>
  </si>
  <si>
    <t>Alianza Hidlago-China se consolida. Analizan inversiones estratégicas y proyectos clave con la Provincia de Hunan</t>
  </si>
  <si>
    <t>Claudia Sandoval encabeza reunón con delegados de Atitalaquia</t>
  </si>
  <si>
    <t>Alcalde</t>
  </si>
  <si>
    <t>Reunión con delegados</t>
  </si>
  <si>
    <t>Aplicarán multas de hasta 3 mil 500 pesos por invadir carril exclusivo del Tuzobús</t>
  </si>
  <si>
    <t>Con la instalacion de 156 metros lineales de tubería, se mejora la salud y calidad de vida de los ajacubenses</t>
  </si>
  <si>
    <t>Sustitución de tubería</t>
  </si>
  <si>
    <t>Gobierno de Hidalgo firma conenio con tres municipios para fortalecer la planeación territorial</t>
  </si>
  <si>
    <t>Capacita Unidad de Género de la UAEH a casi 5 mil universitarios</t>
  </si>
  <si>
    <t>Capacitación</t>
  </si>
  <si>
    <t>Policía Violeta</t>
  </si>
  <si>
    <t>¡SANIBONANI! SUDÁFRICA LLEGÓ A PACHUCA PARA SU PREPARACIÓN MUNDIALISTA</t>
  </si>
  <si>
    <t>SELECCIÓN MEXICANA SE TOMÓ LA FOTO OFICIAL DEL MUNDIAL CON EL SOL AZTECA</t>
  </si>
  <si>
    <t>CAPACITA IHE A PSICÓLOGOS PARA FORTALECER EL BIENESTAR SOCIOEMOCIONAL EN LAS ESCUELAS</t>
  </si>
  <si>
    <t>IHE</t>
  </si>
  <si>
    <t>Educación socioemocional</t>
  </si>
  <si>
    <t>PACHUCA, LA REFORMA Y ACTOPAN FORMALIZAN PROCURADURÍAS MUNICIPALES DE PROTECCIÓN</t>
  </si>
  <si>
    <t>GOBIERNO DE MÉXICO AMPLÍA OPERATIVO DE FUMIGACIÓN EN COMUNIDADES RIBEREÑAS DE LA PRESA ENDHÓ</t>
  </si>
  <si>
    <t>Beca de especialidad en instituciones nacionales</t>
  </si>
  <si>
    <t>Citnova</t>
  </si>
  <si>
    <t>Becas De Posgrado</t>
  </si>
  <si>
    <t>Ellos importan, adopta</t>
  </si>
  <si>
    <t>Maltrato animal</t>
  </si>
  <si>
    <t>Plaza Juárez</t>
  </si>
  <si>
    <t>SE CONSOLIDA ALIANZA HIDALGO-CHINA; ANALIZAN INVERSIONES ESTRATÉGICAS</t>
  </si>
  <si>
    <t>Instalan Procuradurías para proteger a las infancias</t>
  </si>
  <si>
    <t>Se abre una puerta de oportunidad para el estado con los proyectos de inversión china, en momentos en que faltan mas fuentes de trabajo ...</t>
  </si>
  <si>
    <t>Instruyen a hoteles para evitar la trata de personas</t>
  </si>
  <si>
    <t>Maestros realizan actos violentos y bloqueos en la CDMX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</si>
</sst>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1" totalsRowShown="0" headerRowDxfId="5" headerRowBorderDxfId="4">
  <autoFilter ref="A1:J61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1"/>
  <sheetViews>
    <sheetView tabSelected="1" topLeftCell="A43" workbookViewId="0">
      <selection activeCell="J61" sqref="J61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46176</v>
      </c>
      <c r="B2" t="s">
        <v>68</v>
      </c>
      <c r="C2" s="6" t="s">
        <v>89</v>
      </c>
      <c r="D2" t="s">
        <v>12</v>
      </c>
      <c r="E2" t="s">
        <v>10</v>
      </c>
      <c r="F2" t="s">
        <v>10</v>
      </c>
      <c r="G2" t="s">
        <v>90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46176</v>
      </c>
      <c r="B3" t="s">
        <v>68</v>
      </c>
      <c r="C3" s="6" t="s">
        <v>91</v>
      </c>
      <c r="D3" t="s">
        <v>12</v>
      </c>
      <c r="E3" t="s">
        <v>10</v>
      </c>
      <c r="F3" t="s">
        <v>10</v>
      </c>
      <c r="G3" t="s">
        <v>92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46176</v>
      </c>
      <c r="B4" t="s">
        <v>68</v>
      </c>
      <c r="C4" s="6" t="s">
        <v>93</v>
      </c>
      <c r="D4" t="s">
        <v>13</v>
      </c>
      <c r="E4" t="s">
        <v>33</v>
      </c>
      <c r="F4" t="s">
        <v>33</v>
      </c>
      <c r="G4" t="s">
        <v>86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25">
      <c r="A5" s="5">
        <v>46176</v>
      </c>
      <c r="B5" t="s">
        <v>68</v>
      </c>
      <c r="C5" s="6" t="s">
        <v>94</v>
      </c>
      <c r="D5" t="s">
        <v>12</v>
      </c>
      <c r="E5" t="s">
        <v>10</v>
      </c>
      <c r="F5" t="s">
        <v>10</v>
      </c>
      <c r="G5" t="s">
        <v>76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46176</v>
      </c>
      <c r="B6" t="s">
        <v>68</v>
      </c>
      <c r="C6" s="6" t="s">
        <v>95</v>
      </c>
      <c r="D6" t="s">
        <v>12</v>
      </c>
      <c r="E6" t="s">
        <v>14</v>
      </c>
      <c r="F6" t="s">
        <v>14</v>
      </c>
      <c r="G6" t="s">
        <v>96</v>
      </c>
      <c r="H6" t="s">
        <v>70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46176</v>
      </c>
      <c r="B7" t="s">
        <v>68</v>
      </c>
      <c r="C7" s="6" t="s">
        <v>97</v>
      </c>
      <c r="D7" t="s">
        <v>12</v>
      </c>
      <c r="E7" t="s">
        <v>36</v>
      </c>
      <c r="F7" t="s">
        <v>36</v>
      </c>
      <c r="G7" t="s">
        <v>86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46176</v>
      </c>
      <c r="B8" t="s">
        <v>68</v>
      </c>
      <c r="C8" s="6" t="s">
        <v>98</v>
      </c>
      <c r="D8" t="s">
        <v>12</v>
      </c>
      <c r="E8" t="s">
        <v>14</v>
      </c>
      <c r="F8" t="s">
        <v>99</v>
      </c>
      <c r="G8" t="s">
        <v>100</v>
      </c>
      <c r="H8" t="s">
        <v>11</v>
      </c>
      <c r="I8" t="str">
        <f>_xlfn.XLOOKUP(Tabla1[[#This Row],[Dependencia]],Tabla2[Dependencia],Tabla2[Clasificación],"No indexado")</f>
        <v>Presidencia de la República</v>
      </c>
      <c r="J8" t="str">
        <f>_xlfn.XLOOKUP(Tabla1[[#This Row],[Dependencia]],Tabla3[Dependencia],Tabla3[Nivel],"otros",0)</f>
        <v>otros</v>
      </c>
    </row>
    <row r="9" spans="1:10" ht="30" x14ac:dyDescent="0.25">
      <c r="A9" s="5">
        <v>46176</v>
      </c>
      <c r="B9" t="s">
        <v>77</v>
      </c>
      <c r="C9" s="6" t="s">
        <v>101</v>
      </c>
      <c r="D9" t="s">
        <v>13</v>
      </c>
      <c r="E9" t="s">
        <v>40</v>
      </c>
      <c r="F9" t="s">
        <v>40</v>
      </c>
      <c r="G9" t="s">
        <v>102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25">
      <c r="A10" s="5">
        <v>46176</v>
      </c>
      <c r="B10" t="s">
        <v>77</v>
      </c>
      <c r="C10" s="6" t="s">
        <v>103</v>
      </c>
      <c r="D10" t="s">
        <v>9</v>
      </c>
      <c r="E10" t="s">
        <v>10</v>
      </c>
      <c r="F10" t="s">
        <v>10</v>
      </c>
      <c r="G10" t="s">
        <v>76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46176</v>
      </c>
      <c r="B11" t="s">
        <v>77</v>
      </c>
      <c r="C11" s="6" t="s">
        <v>104</v>
      </c>
      <c r="D11" t="s">
        <v>12</v>
      </c>
      <c r="E11" t="s">
        <v>14</v>
      </c>
      <c r="F11" t="s">
        <v>99</v>
      </c>
      <c r="G11" t="s">
        <v>105</v>
      </c>
      <c r="H11" t="s">
        <v>11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46176</v>
      </c>
      <c r="B12" t="s">
        <v>77</v>
      </c>
      <c r="C12" s="6" t="s">
        <v>106</v>
      </c>
      <c r="D12" t="s">
        <v>12</v>
      </c>
      <c r="E12" t="s">
        <v>16</v>
      </c>
      <c r="F12" t="s">
        <v>16</v>
      </c>
      <c r="G12" t="s">
        <v>86</v>
      </c>
      <c r="H12" t="s">
        <v>69</v>
      </c>
      <c r="I12" t="str">
        <f>_xlfn.XLOOKUP(Tabla1[[#This Row],[Dependencia]],Tabla2[Dependencia],Tabla2[Clasificación],"No indexado")</f>
        <v>Alcaldías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46176</v>
      </c>
      <c r="B13" t="s">
        <v>77</v>
      </c>
      <c r="C13" s="6" t="s">
        <v>107</v>
      </c>
      <c r="D13" t="s">
        <v>12</v>
      </c>
      <c r="E13" t="s">
        <v>33</v>
      </c>
      <c r="F13" t="s">
        <v>108</v>
      </c>
      <c r="G13" t="s">
        <v>109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46176</v>
      </c>
      <c r="B14" t="s">
        <v>74</v>
      </c>
      <c r="C14" s="6" t="s">
        <v>110</v>
      </c>
      <c r="D14" t="s">
        <v>12</v>
      </c>
      <c r="E14" t="s">
        <v>10</v>
      </c>
      <c r="F14" t="s">
        <v>10</v>
      </c>
      <c r="G14" t="s">
        <v>111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46176</v>
      </c>
      <c r="B15" t="s">
        <v>74</v>
      </c>
      <c r="C15" s="6" t="s">
        <v>112</v>
      </c>
      <c r="D15" t="s">
        <v>13</v>
      </c>
      <c r="E15" t="s">
        <v>36</v>
      </c>
      <c r="F15" t="s">
        <v>36</v>
      </c>
      <c r="G15" t="s">
        <v>86</v>
      </c>
      <c r="H15" t="s">
        <v>11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46176</v>
      </c>
      <c r="B16" t="s">
        <v>74</v>
      </c>
      <c r="C16" s="6" t="s">
        <v>113</v>
      </c>
      <c r="D16" t="s">
        <v>12</v>
      </c>
      <c r="E16" t="s">
        <v>14</v>
      </c>
      <c r="F16" t="s">
        <v>14</v>
      </c>
      <c r="G16" t="s">
        <v>84</v>
      </c>
      <c r="H16" t="s">
        <v>11</v>
      </c>
      <c r="I16" t="str">
        <f>_xlfn.XLOOKUP(Tabla1[[#This Row],[Dependencia]],Tabla2[Dependencia],Tabla2[Clasificación],"No indexado")</f>
        <v>Presidencia de la República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46176</v>
      </c>
      <c r="B17" t="s">
        <v>74</v>
      </c>
      <c r="C17" s="6" t="s">
        <v>114</v>
      </c>
      <c r="D17" t="s">
        <v>9</v>
      </c>
      <c r="E17" t="s">
        <v>10</v>
      </c>
      <c r="F17" t="s">
        <v>10</v>
      </c>
      <c r="G17" t="s">
        <v>76</v>
      </c>
      <c r="H17" t="s">
        <v>11</v>
      </c>
      <c r="I17" t="str">
        <f>_xlfn.XLOOKUP(Tabla1[[#This Row],[Dependencia]],Tabla2[Dependencia],Tabla2[Clasificación],"No indexado")</f>
        <v>Otros</v>
      </c>
      <c r="J17" t="str">
        <f>_xlfn.XLOOKUP(Tabla1[[#This Row],[Dependencia]],Tabla3[Dependencia],Tabla3[Nivel],"otros",0)</f>
        <v>otros</v>
      </c>
    </row>
    <row r="18" spans="1:10" ht="60" x14ac:dyDescent="0.25">
      <c r="A18" s="5">
        <v>46176</v>
      </c>
      <c r="B18" t="s">
        <v>74</v>
      </c>
      <c r="C18" s="6" t="s">
        <v>115</v>
      </c>
      <c r="D18" t="s">
        <v>12</v>
      </c>
      <c r="E18" t="s">
        <v>10</v>
      </c>
      <c r="F18" t="s">
        <v>10</v>
      </c>
      <c r="G18" t="s">
        <v>86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46176</v>
      </c>
      <c r="B19" t="s">
        <v>67</v>
      </c>
      <c r="C19" s="6" t="s">
        <v>116</v>
      </c>
      <c r="D19" t="s">
        <v>13</v>
      </c>
      <c r="E19" t="s">
        <v>24</v>
      </c>
      <c r="F19" t="s">
        <v>24</v>
      </c>
      <c r="G19" t="s">
        <v>76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Gobernador</v>
      </c>
    </row>
    <row r="20" spans="1:10" ht="30" x14ac:dyDescent="0.25">
      <c r="A20" s="5">
        <v>46176</v>
      </c>
      <c r="B20" t="s">
        <v>67</v>
      </c>
      <c r="C20" s="6" t="s">
        <v>117</v>
      </c>
      <c r="D20" t="s">
        <v>12</v>
      </c>
      <c r="E20" t="s">
        <v>24</v>
      </c>
      <c r="F20" t="s">
        <v>24</v>
      </c>
      <c r="G20" t="s">
        <v>76</v>
      </c>
      <c r="H20" t="s">
        <v>69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Gobernador</v>
      </c>
    </row>
    <row r="21" spans="1:10" ht="30" x14ac:dyDescent="0.25">
      <c r="A21" s="5">
        <v>46176</v>
      </c>
      <c r="B21" t="s">
        <v>67</v>
      </c>
      <c r="C21" s="6" t="s">
        <v>118</v>
      </c>
      <c r="D21" t="s">
        <v>12</v>
      </c>
      <c r="E21" t="s">
        <v>21</v>
      </c>
      <c r="F21" t="s">
        <v>21</v>
      </c>
      <c r="G21" t="s">
        <v>76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5">
        <v>46176</v>
      </c>
      <c r="B22" t="s">
        <v>67</v>
      </c>
      <c r="C22" s="6" t="s">
        <v>119</v>
      </c>
      <c r="D22" t="s">
        <v>9</v>
      </c>
      <c r="E22" t="s">
        <v>10</v>
      </c>
      <c r="F22" t="s">
        <v>10</v>
      </c>
      <c r="G22" t="s">
        <v>76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ht="30" x14ac:dyDescent="0.25">
      <c r="A23" s="5">
        <v>46176</v>
      </c>
      <c r="B23" t="s">
        <v>67</v>
      </c>
      <c r="C23" s="6" t="s">
        <v>120</v>
      </c>
      <c r="D23" t="s">
        <v>12</v>
      </c>
      <c r="E23" t="s">
        <v>14</v>
      </c>
      <c r="F23" t="s">
        <v>14</v>
      </c>
      <c r="G23" t="s">
        <v>121</v>
      </c>
      <c r="H23" t="s">
        <v>11</v>
      </c>
      <c r="I23" t="str">
        <f>_xlfn.XLOOKUP(Tabla1[[#This Row],[Dependencia]],Tabla2[Dependencia],Tabla2[Clasificación],"No indexado")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5">
        <v>46176</v>
      </c>
      <c r="B24" t="s">
        <v>67</v>
      </c>
      <c r="C24" s="6" t="s">
        <v>122</v>
      </c>
      <c r="D24" t="s">
        <v>12</v>
      </c>
      <c r="E24" t="s">
        <v>14</v>
      </c>
      <c r="F24" t="s">
        <v>14</v>
      </c>
      <c r="G24" t="s">
        <v>123</v>
      </c>
      <c r="H24" t="s">
        <v>69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46176</v>
      </c>
      <c r="B25" t="s">
        <v>72</v>
      </c>
      <c r="C25" s="6" t="s">
        <v>124</v>
      </c>
      <c r="D25" t="s">
        <v>13</v>
      </c>
      <c r="E25" t="s">
        <v>10</v>
      </c>
      <c r="F25" t="s">
        <v>10</v>
      </c>
      <c r="G25" t="s">
        <v>76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46176</v>
      </c>
      <c r="B26" t="s">
        <v>72</v>
      </c>
      <c r="C26" s="6" t="s">
        <v>125</v>
      </c>
      <c r="D26" t="s">
        <v>12</v>
      </c>
      <c r="E26" t="s">
        <v>36</v>
      </c>
      <c r="F26" t="s">
        <v>36</v>
      </c>
      <c r="G26" t="s">
        <v>86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ht="30" x14ac:dyDescent="0.25">
      <c r="A27" s="5">
        <v>46176</v>
      </c>
      <c r="B27" t="s">
        <v>72</v>
      </c>
      <c r="C27" s="6" t="s">
        <v>126</v>
      </c>
      <c r="D27" t="s">
        <v>12</v>
      </c>
      <c r="E27" t="s">
        <v>54</v>
      </c>
      <c r="F27" t="s">
        <v>54</v>
      </c>
      <c r="G27" t="s">
        <v>83</v>
      </c>
      <c r="H27" t="s">
        <v>69</v>
      </c>
      <c r="I27" t="str">
        <f>_xlfn.XLOOKUP(Tabla1[[#This Row],[Dependencia]],Tabla2[Dependencia],Tabla2[Clasificación],"No indexado")</f>
        <v>Gobierno del estado</v>
      </c>
      <c r="J27" t="str">
        <f>_xlfn.XLOOKUP(Tabla1[[#This Row],[Dependencia]],Tabla3[Dependencia],Tabla3[Nivel],"otros",0)</f>
        <v>Gabinete</v>
      </c>
    </row>
    <row r="28" spans="1:10" ht="30" x14ac:dyDescent="0.25">
      <c r="A28" s="5">
        <v>46176</v>
      </c>
      <c r="B28" t="s">
        <v>72</v>
      </c>
      <c r="C28" s="6" t="s">
        <v>127</v>
      </c>
      <c r="D28" t="s">
        <v>12</v>
      </c>
      <c r="E28" t="s">
        <v>47</v>
      </c>
      <c r="F28" t="s">
        <v>2</v>
      </c>
      <c r="G28" t="s">
        <v>128</v>
      </c>
      <c r="H28" t="s">
        <v>11</v>
      </c>
      <c r="I28" t="str">
        <f>_xlfn.XLOOKUP(Tabla1[[#This Row],[Dependencia]],Tabla2[Dependencia],Tabla2[Clasificación],"No indexado")</f>
        <v>Gobierno del estado</v>
      </c>
      <c r="J28" t="str">
        <f>_xlfn.XLOOKUP(Tabla1[[#This Row],[Dependencia]],Tabla3[Dependencia],Tabla3[Nivel],"otros",0)</f>
        <v>Gabinete</v>
      </c>
    </row>
    <row r="29" spans="1:10" ht="30" x14ac:dyDescent="0.25">
      <c r="A29" s="5">
        <v>46176</v>
      </c>
      <c r="B29" t="s">
        <v>71</v>
      </c>
      <c r="C29" s="6" t="s">
        <v>129</v>
      </c>
      <c r="D29" t="s">
        <v>13</v>
      </c>
      <c r="E29" t="s">
        <v>15</v>
      </c>
      <c r="F29" t="s">
        <v>15</v>
      </c>
      <c r="G29" t="s">
        <v>76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30" x14ac:dyDescent="0.25">
      <c r="A30" s="5">
        <v>46176</v>
      </c>
      <c r="B30" t="s">
        <v>71</v>
      </c>
      <c r="C30" s="6" t="s">
        <v>130</v>
      </c>
      <c r="D30" t="s">
        <v>9</v>
      </c>
      <c r="E30" t="s">
        <v>36</v>
      </c>
      <c r="F30" t="s">
        <v>36</v>
      </c>
      <c r="G30" t="s">
        <v>131</v>
      </c>
      <c r="H30" t="s">
        <v>69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46176</v>
      </c>
      <c r="B31" t="s">
        <v>71</v>
      </c>
      <c r="C31" s="6" t="s">
        <v>132</v>
      </c>
      <c r="D31" t="s">
        <v>12</v>
      </c>
      <c r="E31" t="s">
        <v>14</v>
      </c>
      <c r="F31" t="s">
        <v>133</v>
      </c>
      <c r="G31" t="s">
        <v>134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30" x14ac:dyDescent="0.25">
      <c r="A32" s="5">
        <v>46176</v>
      </c>
      <c r="B32" t="s">
        <v>71</v>
      </c>
      <c r="C32" s="6" t="s">
        <v>135</v>
      </c>
      <c r="D32" t="s">
        <v>12</v>
      </c>
      <c r="E32" t="s">
        <v>10</v>
      </c>
      <c r="F32" t="s">
        <v>10</v>
      </c>
      <c r="G32" t="s">
        <v>136</v>
      </c>
      <c r="H32" t="s">
        <v>11</v>
      </c>
      <c r="I32" t="str">
        <f>_xlfn.XLOOKUP(Tabla1[[#This Row],[Dependencia]],Tabla2[Dependencia],Tabla2[Clasificación],"No indexado")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5">
        <v>46176</v>
      </c>
      <c r="B33" t="s">
        <v>71</v>
      </c>
      <c r="C33" s="6" t="s">
        <v>137</v>
      </c>
      <c r="D33" t="s">
        <v>12</v>
      </c>
      <c r="E33" t="s">
        <v>54</v>
      </c>
      <c r="F33" t="s">
        <v>54</v>
      </c>
      <c r="G33" t="s">
        <v>83</v>
      </c>
      <c r="H33" t="s">
        <v>69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5">
        <v>46176</v>
      </c>
      <c r="B34" t="s">
        <v>138</v>
      </c>
      <c r="C34" s="6" t="s">
        <v>139</v>
      </c>
      <c r="D34" t="s">
        <v>13</v>
      </c>
      <c r="E34" t="s">
        <v>16</v>
      </c>
      <c r="F34" t="s">
        <v>16</v>
      </c>
      <c r="G34" t="s">
        <v>140</v>
      </c>
      <c r="H34" t="s">
        <v>11</v>
      </c>
      <c r="I34" t="str">
        <f>_xlfn.XLOOKUP(Tabla1[[#This Row],[Dependencia]],Tabla2[Dependencia],Tabla2[Clasificación],"No indexado")</f>
        <v>Alcaldías</v>
      </c>
      <c r="J34" t="str">
        <f>_xlfn.XLOOKUP(Tabla1[[#This Row],[Dependencia]],Tabla3[Dependencia],Tabla3[Nivel],"otros",0)</f>
        <v>otros</v>
      </c>
    </row>
    <row r="35" spans="1:10" x14ac:dyDescent="0.25">
      <c r="A35" s="5">
        <v>46176</v>
      </c>
      <c r="B35" t="s">
        <v>138</v>
      </c>
      <c r="C35" s="6" t="s">
        <v>141</v>
      </c>
      <c r="D35" t="s">
        <v>9</v>
      </c>
      <c r="E35" t="s">
        <v>27</v>
      </c>
      <c r="F35" t="s">
        <v>78</v>
      </c>
      <c r="G35" t="s">
        <v>79</v>
      </c>
      <c r="H35" t="s">
        <v>69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x14ac:dyDescent="0.25">
      <c r="A36" s="5">
        <v>46176</v>
      </c>
      <c r="B36" t="s">
        <v>138</v>
      </c>
      <c r="C36" s="6" t="s">
        <v>142</v>
      </c>
      <c r="D36" t="s">
        <v>12</v>
      </c>
      <c r="E36" t="s">
        <v>10</v>
      </c>
      <c r="F36" t="s">
        <v>10</v>
      </c>
      <c r="G36" t="s">
        <v>76</v>
      </c>
      <c r="H36" t="s">
        <v>11</v>
      </c>
      <c r="I36" t="str">
        <f>_xlfn.XLOOKUP(Tabla1[[#This Row],[Dependencia]],Tabla2[Dependencia],Tabla2[Clasificación],"No indexado")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5">
        <v>46176</v>
      </c>
      <c r="B37" t="s">
        <v>138</v>
      </c>
      <c r="C37" s="6" t="s">
        <v>143</v>
      </c>
      <c r="D37" t="s">
        <v>12</v>
      </c>
      <c r="E37" t="s">
        <v>21</v>
      </c>
      <c r="F37" t="s">
        <v>21</v>
      </c>
      <c r="G37" t="s">
        <v>76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5">
        <v>46176</v>
      </c>
      <c r="B38" t="s">
        <v>138</v>
      </c>
      <c r="C38" s="6" t="s">
        <v>144</v>
      </c>
      <c r="D38" t="s">
        <v>12</v>
      </c>
      <c r="E38" t="s">
        <v>85</v>
      </c>
      <c r="F38" t="s">
        <v>2</v>
      </c>
      <c r="G38" t="s">
        <v>145</v>
      </c>
      <c r="H38" t="s">
        <v>11</v>
      </c>
      <c r="I38" t="str">
        <f>_xlfn.XLOOKUP(Tabla1[[#This Row],[Dependencia]],Tabla2[Dependencia],Tabla2[Clasificación],"No indexado")</f>
        <v>Partidos</v>
      </c>
      <c r="J38" t="str">
        <f>_xlfn.XLOOKUP(Tabla1[[#This Row],[Dependencia]],Tabla3[Dependencia],Tabla3[Nivel],"otros",0)</f>
        <v>otros</v>
      </c>
    </row>
    <row r="39" spans="1:10" ht="30" x14ac:dyDescent="0.25">
      <c r="A39" s="5">
        <v>46176</v>
      </c>
      <c r="B39" t="s">
        <v>80</v>
      </c>
      <c r="C39" s="6" t="s">
        <v>146</v>
      </c>
      <c r="D39" t="s">
        <v>81</v>
      </c>
      <c r="E39" t="s">
        <v>16</v>
      </c>
      <c r="F39" t="s">
        <v>16</v>
      </c>
      <c r="G39" t="s">
        <v>76</v>
      </c>
      <c r="H39" t="s">
        <v>11</v>
      </c>
      <c r="I39" t="str">
        <f>_xlfn.XLOOKUP(Tabla1[[#This Row],[Dependencia]],Tabla2[Dependencia],Tabla2[Clasificación],"No indexado")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5">
        <v>46176</v>
      </c>
      <c r="B40" t="s">
        <v>80</v>
      </c>
      <c r="C40" s="6" t="s">
        <v>147</v>
      </c>
      <c r="D40" t="s">
        <v>13</v>
      </c>
      <c r="E40" t="s">
        <v>36</v>
      </c>
      <c r="F40" t="s">
        <v>36</v>
      </c>
      <c r="G40" t="s">
        <v>86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5">
        <v>46176</v>
      </c>
      <c r="B41" t="s">
        <v>80</v>
      </c>
      <c r="C41" s="6" t="s">
        <v>148</v>
      </c>
      <c r="D41" t="s">
        <v>12</v>
      </c>
      <c r="E41" t="s">
        <v>16</v>
      </c>
      <c r="F41" t="s">
        <v>16</v>
      </c>
      <c r="G41" t="s">
        <v>149</v>
      </c>
      <c r="H41" t="s">
        <v>69</v>
      </c>
      <c r="I41" t="str">
        <f>_xlfn.XLOOKUP(Tabla1[[#This Row],[Dependencia]],Tabla2[Dependencia],Tabla2[Clasificación],"No indexado")</f>
        <v>Alcaldías</v>
      </c>
      <c r="J41" t="str">
        <f>_xlfn.XLOOKUP(Tabla1[[#This Row],[Dependencia]],Tabla3[Dependencia],Tabla3[Nivel],"otros",0)</f>
        <v>otros</v>
      </c>
    </row>
    <row r="42" spans="1:10" ht="45" x14ac:dyDescent="0.25">
      <c r="A42" s="5">
        <v>46176</v>
      </c>
      <c r="B42" t="s">
        <v>80</v>
      </c>
      <c r="C42" s="6" t="s">
        <v>150</v>
      </c>
      <c r="D42" t="s">
        <v>12</v>
      </c>
      <c r="E42" t="s">
        <v>54</v>
      </c>
      <c r="F42" t="s">
        <v>2</v>
      </c>
      <c r="G42" t="s">
        <v>83</v>
      </c>
      <c r="H42" t="s">
        <v>69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5">
        <v>46176</v>
      </c>
      <c r="B43" t="s">
        <v>80</v>
      </c>
      <c r="C43" s="6" t="s">
        <v>151</v>
      </c>
      <c r="D43" t="s">
        <v>12</v>
      </c>
      <c r="E43" t="s">
        <v>16</v>
      </c>
      <c r="F43" t="s">
        <v>152</v>
      </c>
      <c r="G43" t="s">
        <v>153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46176</v>
      </c>
      <c r="B44" t="s">
        <v>80</v>
      </c>
      <c r="C44" s="6" t="s">
        <v>154</v>
      </c>
      <c r="D44" t="s">
        <v>12</v>
      </c>
      <c r="E44" t="s">
        <v>27</v>
      </c>
      <c r="F44" t="s">
        <v>78</v>
      </c>
      <c r="G44" t="s">
        <v>87</v>
      </c>
      <c r="H44" t="s">
        <v>11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5">
        <v>46176</v>
      </c>
      <c r="B45" t="s">
        <v>80</v>
      </c>
      <c r="C45" s="6" t="s">
        <v>155</v>
      </c>
      <c r="D45" t="s">
        <v>12</v>
      </c>
      <c r="E45" t="s">
        <v>16</v>
      </c>
      <c r="F45" t="s">
        <v>16</v>
      </c>
      <c r="G45" t="s">
        <v>156</v>
      </c>
      <c r="H45" t="s">
        <v>11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5">
        <v>46176</v>
      </c>
      <c r="B46" t="s">
        <v>80</v>
      </c>
      <c r="C46" s="6" t="s">
        <v>157</v>
      </c>
      <c r="D46" t="s">
        <v>12</v>
      </c>
      <c r="E46" t="s">
        <v>47</v>
      </c>
      <c r="F46" t="s">
        <v>47</v>
      </c>
      <c r="G46" t="s">
        <v>128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46176</v>
      </c>
      <c r="B47" t="s">
        <v>80</v>
      </c>
      <c r="C47" s="6" t="s">
        <v>129</v>
      </c>
      <c r="D47" t="s">
        <v>12</v>
      </c>
      <c r="E47" t="s">
        <v>15</v>
      </c>
      <c r="F47" t="s">
        <v>15</v>
      </c>
      <c r="G47" t="s">
        <v>76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Gabinete</v>
      </c>
    </row>
    <row r="48" spans="1:10" ht="30" x14ac:dyDescent="0.25">
      <c r="A48" s="5">
        <v>46176</v>
      </c>
      <c r="B48" t="s">
        <v>80</v>
      </c>
      <c r="C48" s="6" t="s">
        <v>158</v>
      </c>
      <c r="D48" t="s">
        <v>12</v>
      </c>
      <c r="E48" t="s">
        <v>59</v>
      </c>
      <c r="F48" t="s">
        <v>59</v>
      </c>
      <c r="G48" t="s">
        <v>159</v>
      </c>
      <c r="H48" t="s">
        <v>11</v>
      </c>
      <c r="I48" t="str">
        <f>_xlfn.XLOOKUP(Tabla1[[#This Row],[Dependencia]],Tabla2[Dependencia],Tabla2[Clasificación],"No indexado")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46176</v>
      </c>
      <c r="B49" t="s">
        <v>80</v>
      </c>
      <c r="C49" s="6" t="s">
        <v>160</v>
      </c>
      <c r="D49" t="s">
        <v>82</v>
      </c>
      <c r="E49" t="s">
        <v>22</v>
      </c>
      <c r="F49" t="s">
        <v>160</v>
      </c>
      <c r="G49" t="s">
        <v>160</v>
      </c>
      <c r="H49" t="s">
        <v>11</v>
      </c>
      <c r="I49" t="str">
        <f>_xlfn.XLOOKUP(Tabla1[[#This Row],[Dependencia]],Tabla2[Dependencia],Tabla2[Clasificación],"No indexado")</f>
        <v>Gobierno del estado</v>
      </c>
      <c r="J49" t="str">
        <f>_xlfn.XLOOKUP(Tabla1[[#This Row],[Dependencia]],Tabla3[Dependencia],Tabla3[Nivel],"otros",0)</f>
        <v>Gabinete</v>
      </c>
    </row>
    <row r="50" spans="1:10" ht="30" x14ac:dyDescent="0.25">
      <c r="A50" s="5">
        <v>46176</v>
      </c>
      <c r="B50" t="s">
        <v>73</v>
      </c>
      <c r="C50" s="6" t="s">
        <v>161</v>
      </c>
      <c r="D50" t="s">
        <v>13</v>
      </c>
      <c r="E50" t="s">
        <v>10</v>
      </c>
      <c r="F50" t="s">
        <v>10</v>
      </c>
      <c r="G50" t="s">
        <v>76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46176</v>
      </c>
      <c r="B51" t="s">
        <v>73</v>
      </c>
      <c r="C51" s="6" t="s">
        <v>162</v>
      </c>
      <c r="D51" t="s">
        <v>12</v>
      </c>
      <c r="E51" t="s">
        <v>10</v>
      </c>
      <c r="F51" t="s">
        <v>10</v>
      </c>
      <c r="G51" t="s">
        <v>76</v>
      </c>
      <c r="H51" t="s">
        <v>11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46176</v>
      </c>
      <c r="B52" t="s">
        <v>73</v>
      </c>
      <c r="C52" s="6" t="s">
        <v>163</v>
      </c>
      <c r="D52" t="s">
        <v>12</v>
      </c>
      <c r="E52" t="s">
        <v>26</v>
      </c>
      <c r="F52" t="s">
        <v>164</v>
      </c>
      <c r="G52" t="s">
        <v>165</v>
      </c>
      <c r="H52" t="s">
        <v>11</v>
      </c>
      <c r="I52" t="str">
        <f>_xlfn.XLOOKUP(Tabla1[[#This Row],[Dependencia]],Tabla2[Dependencia],Tabla2[Clasificación],"No indexado")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5">
        <v>46176</v>
      </c>
      <c r="B53" t="s">
        <v>73</v>
      </c>
      <c r="C53" s="6" t="s">
        <v>166</v>
      </c>
      <c r="D53" t="s">
        <v>12</v>
      </c>
      <c r="E53" t="s">
        <v>36</v>
      </c>
      <c r="F53" t="s">
        <v>36</v>
      </c>
      <c r="G53" t="s">
        <v>86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45" x14ac:dyDescent="0.25">
      <c r="A54" s="5">
        <v>46176</v>
      </c>
      <c r="B54" t="s">
        <v>73</v>
      </c>
      <c r="C54" s="6" t="s">
        <v>167</v>
      </c>
      <c r="D54" t="s">
        <v>12</v>
      </c>
      <c r="E54" t="s">
        <v>14</v>
      </c>
      <c r="F54" t="s">
        <v>99</v>
      </c>
      <c r="G54" t="s">
        <v>105</v>
      </c>
      <c r="H54" t="s">
        <v>11</v>
      </c>
      <c r="I54" t="str">
        <f>_xlfn.XLOOKUP(Tabla1[[#This Row],[Dependencia]],Tabla2[Dependencia],Tabla2[Clasificación],"No indexado")</f>
        <v>Presidencia de la República</v>
      </c>
      <c r="J54" t="str">
        <f>_xlfn.XLOOKUP(Tabla1[[#This Row],[Dependencia]],Tabla3[Dependencia],Tabla3[Nivel],"otros",0)</f>
        <v>otros</v>
      </c>
    </row>
    <row r="55" spans="1:10" x14ac:dyDescent="0.25">
      <c r="A55" s="5">
        <v>46176</v>
      </c>
      <c r="B55" t="s">
        <v>73</v>
      </c>
      <c r="C55" s="6" t="s">
        <v>168</v>
      </c>
      <c r="D55" t="s">
        <v>82</v>
      </c>
      <c r="E55" t="s">
        <v>47</v>
      </c>
      <c r="F55" t="s">
        <v>169</v>
      </c>
      <c r="G55" t="s">
        <v>170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25">
      <c r="A56" s="5">
        <v>46176</v>
      </c>
      <c r="B56" t="s">
        <v>73</v>
      </c>
      <c r="C56" s="6" t="s">
        <v>171</v>
      </c>
      <c r="D56" t="s">
        <v>82</v>
      </c>
      <c r="E56" t="s">
        <v>16</v>
      </c>
      <c r="F56" t="s">
        <v>16</v>
      </c>
      <c r="G56" t="s">
        <v>172</v>
      </c>
      <c r="H56" t="s">
        <v>11</v>
      </c>
      <c r="I56" t="str">
        <f>_xlfn.XLOOKUP(Tabla1[[#This Row],[Dependencia]],Tabla2[Dependencia],Tabla2[Clasificación],"No indexado")</f>
        <v>Alcaldías</v>
      </c>
      <c r="J56" t="str">
        <f>_xlfn.XLOOKUP(Tabla1[[#This Row],[Dependencia]],Tabla3[Dependencia],Tabla3[Nivel],"otros",0)</f>
        <v>otros</v>
      </c>
    </row>
    <row r="57" spans="1:10" ht="30" x14ac:dyDescent="0.25">
      <c r="A57" s="5">
        <v>46176</v>
      </c>
      <c r="B57" t="s">
        <v>173</v>
      </c>
      <c r="C57" s="6" t="s">
        <v>174</v>
      </c>
      <c r="D57" t="s">
        <v>13</v>
      </c>
      <c r="E57" t="s">
        <v>54</v>
      </c>
      <c r="F57" t="s">
        <v>2</v>
      </c>
      <c r="G57" t="s">
        <v>83</v>
      </c>
      <c r="H57" t="s">
        <v>69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46176</v>
      </c>
      <c r="B58" t="s">
        <v>173</v>
      </c>
      <c r="C58" s="6" t="s">
        <v>175</v>
      </c>
      <c r="D58" t="s">
        <v>12</v>
      </c>
      <c r="E58" t="s">
        <v>36</v>
      </c>
      <c r="F58" t="s">
        <v>36</v>
      </c>
      <c r="G58" t="s">
        <v>86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ht="45" x14ac:dyDescent="0.25">
      <c r="A59" s="5">
        <v>46176</v>
      </c>
      <c r="B59" t="s">
        <v>173</v>
      </c>
      <c r="C59" s="6" t="s">
        <v>176</v>
      </c>
      <c r="D59" t="s">
        <v>88</v>
      </c>
      <c r="E59" t="s">
        <v>54</v>
      </c>
      <c r="F59" t="s">
        <v>54</v>
      </c>
      <c r="G59" t="s">
        <v>83</v>
      </c>
      <c r="H59" t="s">
        <v>69</v>
      </c>
      <c r="I59" t="str">
        <f>_xlfn.XLOOKUP(Tabla1[[#This Row],[Dependencia]],Tabla2[Dependencia],Tabla2[Clasificación],"No indexado")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25">
      <c r="A60" s="5">
        <v>46176</v>
      </c>
      <c r="B60" t="s">
        <v>173</v>
      </c>
      <c r="C60" s="6" t="s">
        <v>177</v>
      </c>
      <c r="D60" t="s">
        <v>12</v>
      </c>
      <c r="E60" t="s">
        <v>33</v>
      </c>
      <c r="F60" t="s">
        <v>33</v>
      </c>
      <c r="G60" t="s">
        <v>86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30" x14ac:dyDescent="0.25">
      <c r="A61" s="5">
        <v>46176</v>
      </c>
      <c r="B61" t="s">
        <v>173</v>
      </c>
      <c r="C61" s="6" t="s">
        <v>178</v>
      </c>
      <c r="D61" t="s">
        <v>12</v>
      </c>
      <c r="E61" t="s">
        <v>14</v>
      </c>
      <c r="F61" t="s">
        <v>14</v>
      </c>
      <c r="G61" t="s">
        <v>121</v>
      </c>
      <c r="H61" t="s">
        <v>11</v>
      </c>
      <c r="I61" t="str">
        <f>_xlfn.XLOOKUP(Tabla1[[#This Row],[Dependencia]],Tabla2[Dependencia],Tabla2[Clasificación],"No indexado")</f>
        <v>Presidencia de la República</v>
      </c>
      <c r="J61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75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75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2026-06-03T15:41:25Z</dcterms:modified>
</cp:coreProperties>
</file>