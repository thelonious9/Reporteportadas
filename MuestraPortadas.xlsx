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4626C6A2-1DFB-4CBF-8C3D-F284591E53E2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I2" i="1"/>
  <c r="J2" i="1"/>
</calcChain>
</file>

<file path=xl/sharedStrings.xml><?xml version="1.0" encoding="utf-8"?>
<sst xmlns="http://schemas.openxmlformats.org/spreadsheetml/2006/main" count="622" uniqueCount="191">
  <si>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</si>
  <si>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</si>
  <si>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</si>
  <si>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</si>
  <si>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</si>
  <si>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</si>
  <si>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</si>
  <si>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</si>
  <si>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</si>
  <si>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</si>
  <si>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</si>
  <si>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</si>
  <si>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</si>
  <si>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</si>
  <si>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</si>
  <si>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</si>
  <si>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</si>
  <si>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</si>
  <si>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</si>
  <si>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</si>
  <si>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</si>
  <si>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</si>
  <si>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</si>
  <si>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</si>
  <si>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</si>
  <si>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</si>
  <si>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</si>
  <si>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</si>
  <si>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</si>
  <si>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</si>
  <si>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</si>
  <si>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</si>
  <si>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</si>
  <si>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</si>
  <si>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</si>
  <si>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</si>
  <si>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</si>
  <si>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</si>
  <si>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</si>
  <si>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</si>
  <si>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</si>
  <si>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</si>
  <si>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</si>
  <si>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</si>
  <si>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</si>
  <si>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</si>
  <si>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</si>
  <si>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</si>
  <si>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</si>
  <si>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</si>
  <si>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</si>
  <si>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</si>
  <si>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</si>
  <si>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</si>
  <si>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</si>
  <si>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</si>
  <si>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</si>
  <si>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</si>
  <si>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</si>
  <si>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</si>
  <si>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</si>
  <si>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</si>
  <si>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</si>
  <si>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</si>
  <si>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</si>
  <si>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</si>
  <si>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</si>
  <si>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</si>
  <si>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</si>
  <si>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</si>
  <si>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</si>
  <si>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</si>
  <si>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</si>
  <si>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</si>
  <si>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</si>
  <si>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Criterio</t>
  </si>
  <si>
    <t>Publicidad</t>
  </si>
  <si>
    <t>El Universal Hidalgo</t>
  </si>
  <si>
    <t>Marfeca</t>
  </si>
  <si>
    <t>Plaza Juárez</t>
  </si>
  <si>
    <t>Temas internacionales</t>
  </si>
  <si>
    <t>Negativa</t>
  </si>
  <si>
    <t>Pachuca Brilla</t>
  </si>
  <si>
    <t>ASEH</t>
  </si>
  <si>
    <t>Policía municipal</t>
  </si>
  <si>
    <t>Huracanes y ciclones</t>
  </si>
  <si>
    <t>Prevención De Riesgos</t>
  </si>
  <si>
    <t>Observaciones ASEH</t>
  </si>
  <si>
    <t>Conmemoración Aniversario</t>
  </si>
  <si>
    <t>Atención a la ciudadanía</t>
  </si>
  <si>
    <t>Abren convocatoria del Programa Muralismo 2026</t>
  </si>
  <si>
    <t>Cintillo</t>
  </si>
  <si>
    <t>Muralismo</t>
  </si>
  <si>
    <t>Descarta Menchaca ley seca por festejos de la Selección; llama a celebrar con responsabilidad</t>
  </si>
  <si>
    <t>Ley seca</t>
  </si>
  <si>
    <t>Menchaca Salazar fortalece capacidad operativa del gobierno de Hidalgo</t>
  </si>
  <si>
    <t>Tema pendiente</t>
  </si>
  <si>
    <t>Jorge Ryes lleva el Ayuntamiento a las colonias de la capital hidalguense</t>
  </si>
  <si>
    <t>Alcalde</t>
  </si>
  <si>
    <t>Gobierno de Tula atiende afectaciones por socavón en Jalpa y Fresno</t>
  </si>
  <si>
    <t>Socavón</t>
  </si>
  <si>
    <t>Ajacuba, sede de jornada de profesionalización de las fuerzas de seguridad</t>
  </si>
  <si>
    <t>Profesionalización policial</t>
  </si>
  <si>
    <t>Severos encharcamientos por fuerte aguacero y granizo en Tula</t>
  </si>
  <si>
    <t>Afectaciones Por Lluvias</t>
  </si>
  <si>
    <t>Mirna Rubio encabeza asamblea informativa en Defensa de la Soberanía Nacional en Zempoala</t>
  </si>
  <si>
    <t>Conferencia</t>
  </si>
  <si>
    <t>PC de Atitalaquia atiende a vehículos varados por encharcamiento en la Jorobas - Tula</t>
  </si>
  <si>
    <t>Atención Afectaciones Por Lluvias</t>
  </si>
  <si>
    <t>Bomberos de Tula atienen afectaciones tras fuerte aguacero</t>
  </si>
  <si>
    <t>Fuertes lluvias impactaron la capital hidalguense</t>
  </si>
  <si>
    <t>Ebrard afirma que T-Mec seguirá vigente hasta 2036</t>
  </si>
  <si>
    <t>Editorial</t>
  </si>
  <si>
    <t>Mal desempeño de alcaldes</t>
  </si>
  <si>
    <t>Amenazan con boicotear la Expo Feria Tulancingo 2026</t>
  </si>
  <si>
    <t>Exigen rehabilitación carretera</t>
  </si>
  <si>
    <t>Fallece Priego Calva, líder de obreros</t>
  </si>
  <si>
    <t>Temas varios</t>
  </si>
  <si>
    <t>Inglaterra será rival de México en octavos</t>
  </si>
  <si>
    <t>Colapsa vialidad en Pachuca</t>
  </si>
  <si>
    <t>Sipdus</t>
  </si>
  <si>
    <t>Caasim</t>
  </si>
  <si>
    <t>Presas en Hidalgo 221 personas de 60 años y más</t>
  </si>
  <si>
    <t>Informe CDHEH</t>
  </si>
  <si>
    <t>Ordena juez la inspección a predio de CBTis</t>
  </si>
  <si>
    <t>Conflicto predio escolar</t>
  </si>
  <si>
    <t>Pachuca otorga 246 apoyos</t>
  </si>
  <si>
    <t>Estados Unidos no acepta renovar el T-Mec</t>
  </si>
  <si>
    <t>Perfila Auditoría denuncias por desvío de dinero</t>
  </si>
  <si>
    <t>Denuncias ASEH</t>
  </si>
  <si>
    <t>Tromba azota de nuevo a Pachuca</t>
  </si>
  <si>
    <t>Inglaterra vendrá al Azteca</t>
  </si>
  <si>
    <t>Reducción de sueldo en 2027, estima la vocal ejecutiva del INE</t>
  </si>
  <si>
    <t>Tabulador salarial</t>
  </si>
  <si>
    <t>Destinan 235 mdp a nuevas instalaciones operativas</t>
  </si>
  <si>
    <t>Suman 79 homicidios dolosos en medio año</t>
  </si>
  <si>
    <t>Homicidios</t>
  </si>
  <si>
    <t>Jornada de infarto en el Mundial 2026</t>
  </si>
  <si>
    <t>Encuentros de vida o muerte</t>
  </si>
  <si>
    <t>Afectan las lluvias a los negocios y las viviendas</t>
  </si>
  <si>
    <t>Acercan los servicios a ciudadanía en el Cerezo</t>
  </si>
  <si>
    <t>Rechazan conflicto en PT con exregidora</t>
  </si>
  <si>
    <t>Conflicto partidista</t>
  </si>
  <si>
    <t>DESCARTA EL GOBERNADOR LEY SECA POR LOS PARTIDOS</t>
  </si>
  <si>
    <t>Sanciones a municipios por desinterés; multan a 90% de demarcaciones</t>
  </si>
  <si>
    <t>Exportaciones del estado ascienden a 626 mdp</t>
  </si>
  <si>
    <t>Exportaciones</t>
  </si>
  <si>
    <t>EU impone al T-Mec caducidad para 2036</t>
  </si>
  <si>
    <t>El asombro por los mayas no tiene fin</t>
  </si>
  <si>
    <t>Descartan prohibir festejos en CDMX por las cuatro muertes</t>
  </si>
  <si>
    <t>Concentra Atotonilco de Tula huachicol decomisado</t>
  </si>
  <si>
    <t>Huachicol</t>
  </si>
  <si>
    <t>Detienen a hombre por atropellar a 3 en festejos</t>
  </si>
  <si>
    <t>En marcha, programa para acercar trámites en Pachuca</t>
  </si>
  <si>
    <t>Sheinbaum cierra junio con 71.3% de aprobación</t>
  </si>
  <si>
    <t>Aprobación Sheinbaum</t>
  </si>
  <si>
    <t>Ya son 4 muertos en CDMX por el furor mundialista</t>
  </si>
  <si>
    <t>La resistencia social contra la instalación de siete parques de energía fotovoltaica en los municipios de Singuilucan, Epazoyucan, Zempoala, Nopala de Villagrán y Tecozautla se fortalece, pese a los señalamientos oficiales de que detrás existen intereses políticos”.</t>
  </si>
  <si>
    <t>Parque Fotovoltaico</t>
  </si>
  <si>
    <t>Hidalgo destina 365 mdp en infraestructura y maquinaria</t>
  </si>
  <si>
    <t>Jorge Reyes lleva el Ayuntamiento a las colonias de la capital hidalguense</t>
  </si>
  <si>
    <t>Incrementan remesas en Hidalgo pese a endurecimiento migratorio de Estados Unidos</t>
  </si>
  <si>
    <t>Remesas</t>
  </si>
  <si>
    <t>Detienen a sujeto que atropelló a aficionados durante festejo en Zempoala</t>
  </si>
  <si>
    <t>Celebran 103 aniversario de la Diócesis de Huejutla</t>
  </si>
  <si>
    <t>Atiende Semoth denuncia de pasajero arrastrado por urvan</t>
  </si>
  <si>
    <t>Queja transporte público</t>
  </si>
  <si>
    <t>Ordenarán espacios para comerciantes en la Constituyentes</t>
  </si>
  <si>
    <t>Actualización de reglamentos</t>
  </si>
  <si>
    <t>Brindan atención gratuita en salud mental y adicciones</t>
  </si>
  <si>
    <t>Jornada de salud</t>
  </si>
  <si>
    <t>Reabre el Parque Ecológico tras el incendio de una palapa</t>
  </si>
  <si>
    <t>Continúa la pasión mundialista en Hidalgo con homenajes a leyendas del futbol</t>
  </si>
  <si>
    <t>Video Mapping</t>
  </si>
  <si>
    <t>Menchaca descarta Ley Seca durante partidos de México</t>
  </si>
  <si>
    <t>Colonia X Colonia</t>
  </si>
  <si>
    <t>Pachuca responderá con documentación a observaciones de la ASEH</t>
  </si>
  <si>
    <t>PAN mueve sus piezas</t>
  </si>
  <si>
    <t>Trabajo partidista</t>
  </si>
  <si>
    <t>Jaltepec advierte boicot a la feria Tulancingo 2026</t>
  </si>
  <si>
    <t>Expo feria</t>
  </si>
  <si>
    <t>Detienen a secretaria de vinculación del PVEM</t>
  </si>
  <si>
    <t>Detención de funcionario</t>
  </si>
  <si>
    <t>Colonia X Colonia acerca servicios del ayuntamiento de Pachuca</t>
  </si>
  <si>
    <t>Realiza IHE Feria de la Salud para fortalecer hábitos saludables en la niñez</t>
  </si>
  <si>
    <t>IHE</t>
  </si>
  <si>
    <t>Vida Saludable</t>
  </si>
  <si>
    <t>Julio Menchaca fortalece capacidad operativa del gobierno de Hidalgo</t>
  </si>
  <si>
    <t>Sorprende nuevamente una fuerte lluvia a pachuqueños</t>
  </si>
  <si>
    <t>Inglaterra, rival de México en los octavos de final del Mundial</t>
  </si>
  <si>
    <t>El problema en Tulancingo, Apan, incluso Actopan, es que el poder solo puede manejarse con inteligencia, no con soberbia y prepotencia.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</si>
</sst>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7" totalsRowShown="0" headerRowDxfId="5" headerRowBorderDxfId="4">
  <autoFilter ref="A1:J67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7"/>
  <sheetViews>
    <sheetView tabSelected="1" workbookViewId="0"/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46205</v>
      </c>
      <c r="B2" t="s">
        <v>68</v>
      </c>
      <c r="C2" s="6" t="s">
        <v>116</v>
      </c>
      <c r="D2" t="s">
        <v>12</v>
      </c>
      <c r="E2" t="s">
        <v>10</v>
      </c>
      <c r="F2" t="s">
        <v>10</v>
      </c>
      <c r="G2" t="s">
        <v>117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46205</v>
      </c>
      <c r="B3" t="s">
        <v>68</v>
      </c>
      <c r="C3" s="6" t="s">
        <v>118</v>
      </c>
      <c r="D3" t="s">
        <v>12</v>
      </c>
      <c r="E3" t="s">
        <v>10</v>
      </c>
      <c r="F3" t="s">
        <v>10</v>
      </c>
      <c r="G3" t="s">
        <v>73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46205</v>
      </c>
      <c r="B4" t="s">
        <v>68</v>
      </c>
      <c r="C4" s="6" t="s">
        <v>119</v>
      </c>
      <c r="D4" t="s">
        <v>9</v>
      </c>
      <c r="E4" t="s">
        <v>120</v>
      </c>
      <c r="F4" t="s">
        <v>121</v>
      </c>
      <c r="G4" t="s">
        <v>104</v>
      </c>
      <c r="H4" t="s">
        <v>81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5">
        <v>46205</v>
      </c>
      <c r="B5" t="s">
        <v>68</v>
      </c>
      <c r="C5" s="6" t="s">
        <v>122</v>
      </c>
      <c r="D5" t="s">
        <v>13</v>
      </c>
      <c r="E5" t="s">
        <v>60</v>
      </c>
      <c r="F5" t="s">
        <v>60</v>
      </c>
      <c r="G5" t="s">
        <v>123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46205</v>
      </c>
      <c r="B6" t="s">
        <v>68</v>
      </c>
      <c r="C6" s="6" t="s">
        <v>124</v>
      </c>
      <c r="D6" t="s">
        <v>12</v>
      </c>
      <c r="E6" t="s">
        <v>26</v>
      </c>
      <c r="F6" t="s">
        <v>26</v>
      </c>
      <c r="G6" t="s">
        <v>125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46205</v>
      </c>
      <c r="B7" t="s">
        <v>68</v>
      </c>
      <c r="C7" s="6" t="s">
        <v>126</v>
      </c>
      <c r="D7" t="s">
        <v>12</v>
      </c>
      <c r="E7" t="s">
        <v>16</v>
      </c>
      <c r="F7" t="s">
        <v>98</v>
      </c>
      <c r="G7" t="s">
        <v>89</v>
      </c>
      <c r="H7" t="s">
        <v>69</v>
      </c>
      <c r="I7" t="str">
        <f>_xlfn.XLOOKUP(Tabla1[[#This Row],[Dependencia]],Tabla2[Dependencia],Tabla2[Clasificación],"No indexado")</f>
        <v>Alcaldías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46205</v>
      </c>
      <c r="B8" t="s">
        <v>68</v>
      </c>
      <c r="C8" s="6" t="s">
        <v>127</v>
      </c>
      <c r="D8" t="s">
        <v>12</v>
      </c>
      <c r="E8" t="s">
        <v>10</v>
      </c>
      <c r="F8" t="s">
        <v>10</v>
      </c>
      <c r="G8" t="s">
        <v>80</v>
      </c>
      <c r="H8" t="s">
        <v>81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46205</v>
      </c>
      <c r="B9" t="s">
        <v>77</v>
      </c>
      <c r="C9" s="6" t="s">
        <v>128</v>
      </c>
      <c r="D9" t="s">
        <v>12</v>
      </c>
      <c r="E9" t="s">
        <v>33</v>
      </c>
      <c r="F9" t="s">
        <v>83</v>
      </c>
      <c r="G9" t="s">
        <v>129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46205</v>
      </c>
      <c r="B10" t="s">
        <v>77</v>
      </c>
      <c r="C10" s="6" t="s">
        <v>130</v>
      </c>
      <c r="D10" t="s">
        <v>9</v>
      </c>
      <c r="E10" t="s">
        <v>10</v>
      </c>
      <c r="F10" t="s">
        <v>10</v>
      </c>
      <c r="G10" t="s">
        <v>104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46205</v>
      </c>
      <c r="B11" t="s">
        <v>77</v>
      </c>
      <c r="C11" s="6" t="s">
        <v>131</v>
      </c>
      <c r="D11" t="s">
        <v>12</v>
      </c>
      <c r="E11" t="s">
        <v>10</v>
      </c>
      <c r="F11" t="s">
        <v>10</v>
      </c>
      <c r="G11" t="s">
        <v>73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ht="29" x14ac:dyDescent="0.35">
      <c r="A12" s="5">
        <v>46205</v>
      </c>
      <c r="B12" t="s">
        <v>77</v>
      </c>
      <c r="C12" s="6" t="s">
        <v>132</v>
      </c>
      <c r="D12" t="s">
        <v>13</v>
      </c>
      <c r="E12" t="s">
        <v>10</v>
      </c>
      <c r="F12" t="s">
        <v>10</v>
      </c>
      <c r="G12" t="s">
        <v>133</v>
      </c>
      <c r="H12" t="s">
        <v>81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46205</v>
      </c>
      <c r="B13" t="s">
        <v>77</v>
      </c>
      <c r="C13" s="6" t="s">
        <v>134</v>
      </c>
      <c r="D13" t="s">
        <v>12</v>
      </c>
      <c r="E13" t="s">
        <v>24</v>
      </c>
      <c r="F13" t="s">
        <v>24</v>
      </c>
      <c r="G13" t="s">
        <v>96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35">
      <c r="A14" s="5">
        <v>46205</v>
      </c>
      <c r="B14" t="s">
        <v>75</v>
      </c>
      <c r="C14" s="6" t="s">
        <v>135</v>
      </c>
      <c r="D14" t="s">
        <v>13</v>
      </c>
      <c r="E14" t="s">
        <v>17</v>
      </c>
      <c r="F14" t="s">
        <v>17</v>
      </c>
      <c r="G14" t="s">
        <v>136</v>
      </c>
      <c r="H14" t="s">
        <v>81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46205</v>
      </c>
      <c r="B15" t="s">
        <v>75</v>
      </c>
      <c r="C15" s="6" t="s">
        <v>137</v>
      </c>
      <c r="D15" t="s">
        <v>12</v>
      </c>
      <c r="E15" t="s">
        <v>10</v>
      </c>
      <c r="F15" t="s">
        <v>10</v>
      </c>
      <c r="G15" t="s">
        <v>73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46205</v>
      </c>
      <c r="B16" t="s">
        <v>75</v>
      </c>
      <c r="C16" s="6" t="s">
        <v>138</v>
      </c>
      <c r="D16" t="s">
        <v>12</v>
      </c>
      <c r="E16" t="s">
        <v>10</v>
      </c>
      <c r="F16" t="s">
        <v>10</v>
      </c>
      <c r="G16" t="s">
        <v>73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46205</v>
      </c>
      <c r="B17" t="s">
        <v>75</v>
      </c>
      <c r="C17" s="6" t="s">
        <v>139</v>
      </c>
      <c r="D17" t="s">
        <v>9</v>
      </c>
      <c r="E17" t="s">
        <v>10</v>
      </c>
      <c r="F17" t="s">
        <v>10</v>
      </c>
      <c r="G17" t="s">
        <v>104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46205</v>
      </c>
      <c r="B18" t="s">
        <v>75</v>
      </c>
      <c r="C18" s="6" t="s">
        <v>140</v>
      </c>
      <c r="D18" t="s">
        <v>12</v>
      </c>
      <c r="E18" t="s">
        <v>16</v>
      </c>
      <c r="F18" t="s">
        <v>98</v>
      </c>
      <c r="G18" t="s">
        <v>89</v>
      </c>
      <c r="H18" t="s">
        <v>11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46205</v>
      </c>
      <c r="B19" t="s">
        <v>75</v>
      </c>
      <c r="C19" s="6" t="s">
        <v>141</v>
      </c>
      <c r="D19" t="s">
        <v>12</v>
      </c>
      <c r="E19" t="s">
        <v>51</v>
      </c>
      <c r="F19" t="s">
        <v>51</v>
      </c>
      <c r="G19" t="s">
        <v>142</v>
      </c>
      <c r="H19" t="s">
        <v>11</v>
      </c>
      <c r="I19" t="str">
        <f>_xlfn.XLOOKUP(Tabla1[[#This Row],[Dependencia]],Tabla2[Dependencia],Tabla2[Clasificación],"No indexado")</f>
        <v>Partidos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46205</v>
      </c>
      <c r="B20" t="s">
        <v>75</v>
      </c>
      <c r="C20" s="6" t="s">
        <v>143</v>
      </c>
      <c r="D20" t="s">
        <v>12</v>
      </c>
      <c r="E20" t="s">
        <v>24</v>
      </c>
      <c r="F20" t="s">
        <v>24</v>
      </c>
      <c r="G20" t="s">
        <v>73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Gobernador</v>
      </c>
    </row>
    <row r="21" spans="1:10" ht="29" x14ac:dyDescent="0.35">
      <c r="A21" s="5">
        <v>46205</v>
      </c>
      <c r="B21" t="s">
        <v>67</v>
      </c>
      <c r="C21" s="6" t="s">
        <v>144</v>
      </c>
      <c r="D21" t="s">
        <v>13</v>
      </c>
      <c r="E21" t="s">
        <v>33</v>
      </c>
      <c r="F21" t="s">
        <v>83</v>
      </c>
      <c r="G21" t="s">
        <v>87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46205</v>
      </c>
      <c r="B22" t="s">
        <v>67</v>
      </c>
      <c r="C22" s="6" t="s">
        <v>145</v>
      </c>
      <c r="D22" t="s">
        <v>12</v>
      </c>
      <c r="E22" t="s">
        <v>54</v>
      </c>
      <c r="F22" t="s">
        <v>54</v>
      </c>
      <c r="G22" t="s">
        <v>146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46205</v>
      </c>
      <c r="B23" t="s">
        <v>67</v>
      </c>
      <c r="C23" s="6" t="s">
        <v>147</v>
      </c>
      <c r="D23" t="s">
        <v>12</v>
      </c>
      <c r="E23" t="s">
        <v>14</v>
      </c>
      <c r="F23" t="s">
        <v>14</v>
      </c>
      <c r="G23" t="s">
        <v>80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46205</v>
      </c>
      <c r="B24" t="s">
        <v>67</v>
      </c>
      <c r="C24" s="6" t="s">
        <v>148</v>
      </c>
      <c r="D24" t="s">
        <v>12</v>
      </c>
      <c r="E24" t="s">
        <v>10</v>
      </c>
      <c r="F24" t="s">
        <v>10</v>
      </c>
      <c r="G24" t="s">
        <v>117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46205</v>
      </c>
      <c r="B25" t="s">
        <v>67</v>
      </c>
      <c r="C25" s="6" t="s">
        <v>149</v>
      </c>
      <c r="D25" t="s">
        <v>12</v>
      </c>
      <c r="E25" t="s">
        <v>10</v>
      </c>
      <c r="F25" t="s">
        <v>10</v>
      </c>
      <c r="G25" t="s">
        <v>73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46205</v>
      </c>
      <c r="B26" t="s">
        <v>67</v>
      </c>
      <c r="C26" s="6" t="s">
        <v>150</v>
      </c>
      <c r="D26" t="s">
        <v>12</v>
      </c>
      <c r="E26" t="s">
        <v>22</v>
      </c>
      <c r="F26" t="s">
        <v>22</v>
      </c>
      <c r="G26" t="s">
        <v>151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5">
        <v>46205</v>
      </c>
      <c r="B27" t="s">
        <v>67</v>
      </c>
      <c r="C27" s="6" t="s">
        <v>152</v>
      </c>
      <c r="D27" t="s">
        <v>12</v>
      </c>
      <c r="E27" t="s">
        <v>16</v>
      </c>
      <c r="F27" t="s">
        <v>84</v>
      </c>
      <c r="G27" t="s">
        <v>73</v>
      </c>
      <c r="H27" t="s">
        <v>11</v>
      </c>
      <c r="I27" t="str">
        <f>_xlfn.XLOOKUP(Tabla1[[#This Row],[Dependencia]],Tabla2[Dependencia],Tabla2[Clasificación],"No indexado")</f>
        <v>Alcaldías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46205</v>
      </c>
      <c r="B28" t="s">
        <v>71</v>
      </c>
      <c r="C28" s="6" t="s">
        <v>153</v>
      </c>
      <c r="D28" t="s">
        <v>12</v>
      </c>
      <c r="E28" t="s">
        <v>16</v>
      </c>
      <c r="F28" t="s">
        <v>98</v>
      </c>
      <c r="G28" t="s">
        <v>89</v>
      </c>
      <c r="H28" t="s">
        <v>11</v>
      </c>
      <c r="I28" t="str">
        <f>_xlfn.XLOOKUP(Tabla1[[#This Row],[Dependencia]],Tabla2[Dependencia],Tabla2[Clasificación],"No indexado")</f>
        <v>Alcaldías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46205</v>
      </c>
      <c r="B29" t="s">
        <v>71</v>
      </c>
      <c r="C29" s="6" t="s">
        <v>154</v>
      </c>
      <c r="D29" t="s">
        <v>13</v>
      </c>
      <c r="E29" t="s">
        <v>14</v>
      </c>
      <c r="F29" t="s">
        <v>14</v>
      </c>
      <c r="G29" t="s">
        <v>155</v>
      </c>
      <c r="H29" t="s">
        <v>69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46205</v>
      </c>
      <c r="B30" t="s">
        <v>71</v>
      </c>
      <c r="C30" s="6" t="s">
        <v>156</v>
      </c>
      <c r="D30" t="s">
        <v>12</v>
      </c>
      <c r="E30" t="s">
        <v>10</v>
      </c>
      <c r="F30" t="s">
        <v>10</v>
      </c>
      <c r="G30" t="s">
        <v>73</v>
      </c>
      <c r="H30" t="s">
        <v>81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ht="72.5" x14ac:dyDescent="0.35">
      <c r="A31" s="5">
        <v>46205</v>
      </c>
      <c r="B31" t="s">
        <v>71</v>
      </c>
      <c r="C31" s="6" t="s">
        <v>157</v>
      </c>
      <c r="D31" t="s">
        <v>12</v>
      </c>
      <c r="E31" t="s">
        <v>54</v>
      </c>
      <c r="F31" t="s">
        <v>54</v>
      </c>
      <c r="G31" t="s">
        <v>158</v>
      </c>
      <c r="H31" t="s">
        <v>81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5">
        <v>46205</v>
      </c>
      <c r="B32" t="s">
        <v>70</v>
      </c>
      <c r="C32" s="6" t="s">
        <v>159</v>
      </c>
      <c r="D32" t="s">
        <v>13</v>
      </c>
      <c r="E32" t="s">
        <v>24</v>
      </c>
      <c r="F32" t="s">
        <v>24</v>
      </c>
      <c r="G32" t="s">
        <v>96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29" x14ac:dyDescent="0.35">
      <c r="A33" s="5">
        <v>46205</v>
      </c>
      <c r="B33" t="s">
        <v>70</v>
      </c>
      <c r="C33" s="6" t="s">
        <v>160</v>
      </c>
      <c r="D33" t="s">
        <v>12</v>
      </c>
      <c r="E33" t="s">
        <v>16</v>
      </c>
      <c r="F33" t="s">
        <v>98</v>
      </c>
      <c r="G33" t="s">
        <v>89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46205</v>
      </c>
      <c r="B34" t="s">
        <v>70</v>
      </c>
      <c r="C34" s="6" t="s">
        <v>161</v>
      </c>
      <c r="D34" t="s">
        <v>12</v>
      </c>
      <c r="E34" t="s">
        <v>10</v>
      </c>
      <c r="F34" t="s">
        <v>10</v>
      </c>
      <c r="G34" t="s">
        <v>162</v>
      </c>
      <c r="H34" t="s">
        <v>69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46205</v>
      </c>
      <c r="B35" t="s">
        <v>70</v>
      </c>
      <c r="C35" s="6" t="s">
        <v>163</v>
      </c>
      <c r="D35" t="s">
        <v>12</v>
      </c>
      <c r="E35" t="s">
        <v>16</v>
      </c>
      <c r="F35" t="s">
        <v>84</v>
      </c>
      <c r="G35" t="s">
        <v>73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x14ac:dyDescent="0.35">
      <c r="A36" s="5">
        <v>46205</v>
      </c>
      <c r="B36" t="s">
        <v>70</v>
      </c>
      <c r="C36" s="6" t="s">
        <v>164</v>
      </c>
      <c r="D36" t="s">
        <v>12</v>
      </c>
      <c r="E36" t="s">
        <v>10</v>
      </c>
      <c r="F36" t="s">
        <v>10</v>
      </c>
      <c r="G36" t="s">
        <v>88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46205</v>
      </c>
      <c r="B37" t="s">
        <v>70</v>
      </c>
      <c r="C37" s="6" t="s">
        <v>165</v>
      </c>
      <c r="D37" t="s">
        <v>13</v>
      </c>
      <c r="E37" t="s">
        <v>27</v>
      </c>
      <c r="F37" t="s">
        <v>27</v>
      </c>
      <c r="G37" t="s">
        <v>166</v>
      </c>
      <c r="H37" t="s">
        <v>81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46205</v>
      </c>
      <c r="B38" t="s">
        <v>70</v>
      </c>
      <c r="C38" s="6" t="s">
        <v>167</v>
      </c>
      <c r="D38" t="s">
        <v>12</v>
      </c>
      <c r="E38" t="s">
        <v>16</v>
      </c>
      <c r="F38" t="s">
        <v>16</v>
      </c>
      <c r="G38" t="s">
        <v>168</v>
      </c>
      <c r="H38" t="s">
        <v>11</v>
      </c>
      <c r="I38" t="str">
        <f>_xlfn.XLOOKUP(Tabla1[[#This Row],[Dependencia]],Tabla2[Dependencia],Tabla2[Clasificación],"No indexado")</f>
        <v>Alcaldías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46205</v>
      </c>
      <c r="B39" t="s">
        <v>70</v>
      </c>
      <c r="C39" s="6" t="s">
        <v>169</v>
      </c>
      <c r="D39" t="s">
        <v>12</v>
      </c>
      <c r="E39" t="s">
        <v>15</v>
      </c>
      <c r="F39" t="s">
        <v>15</v>
      </c>
      <c r="G39" t="s">
        <v>170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5">
        <v>46205</v>
      </c>
      <c r="B40" t="s">
        <v>70</v>
      </c>
      <c r="C40" s="6" t="s">
        <v>171</v>
      </c>
      <c r="D40" t="s">
        <v>12</v>
      </c>
      <c r="E40" t="s">
        <v>10</v>
      </c>
      <c r="F40" t="s">
        <v>10</v>
      </c>
      <c r="G40" t="s">
        <v>117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46205</v>
      </c>
      <c r="B41" t="s">
        <v>70</v>
      </c>
      <c r="C41" s="6" t="s">
        <v>172</v>
      </c>
      <c r="D41" t="s">
        <v>12</v>
      </c>
      <c r="E41" t="s">
        <v>29</v>
      </c>
      <c r="F41" t="s">
        <v>29</v>
      </c>
      <c r="G41" t="s">
        <v>173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46205</v>
      </c>
      <c r="B42" t="s">
        <v>74</v>
      </c>
      <c r="C42" s="6" t="s">
        <v>174</v>
      </c>
      <c r="D42" t="s">
        <v>13</v>
      </c>
      <c r="E42" t="s">
        <v>24</v>
      </c>
      <c r="F42" t="s">
        <v>24</v>
      </c>
      <c r="G42" t="s">
        <v>73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35">
      <c r="A43" s="5">
        <v>46205</v>
      </c>
      <c r="B43" t="s">
        <v>74</v>
      </c>
      <c r="C43" s="6" t="s">
        <v>175</v>
      </c>
      <c r="D43" t="s">
        <v>9</v>
      </c>
      <c r="E43" t="s">
        <v>16</v>
      </c>
      <c r="F43" t="s">
        <v>98</v>
      </c>
      <c r="G43" t="s">
        <v>89</v>
      </c>
      <c r="H43" t="s">
        <v>69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29" x14ac:dyDescent="0.35">
      <c r="A44" s="5">
        <v>46205</v>
      </c>
      <c r="B44" t="s">
        <v>74</v>
      </c>
      <c r="C44" s="6" t="s">
        <v>176</v>
      </c>
      <c r="D44" t="s">
        <v>12</v>
      </c>
      <c r="E44" t="s">
        <v>16</v>
      </c>
      <c r="F44" t="s">
        <v>98</v>
      </c>
      <c r="G44" t="s">
        <v>87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46205</v>
      </c>
      <c r="B45" t="s">
        <v>74</v>
      </c>
      <c r="C45" s="6" t="s">
        <v>177</v>
      </c>
      <c r="D45" t="s">
        <v>12</v>
      </c>
      <c r="E45" t="s">
        <v>45</v>
      </c>
      <c r="F45" t="s">
        <v>45</v>
      </c>
      <c r="G45" t="s">
        <v>178</v>
      </c>
      <c r="H45" t="s">
        <v>11</v>
      </c>
      <c r="I45" t="str">
        <f>_xlfn.XLOOKUP(Tabla1[[#This Row],[Dependencia]],Tabla2[Dependencia],Tabla2[Clasificación],"No indexado")</f>
        <v>Partidos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46205</v>
      </c>
      <c r="B46" t="s">
        <v>74</v>
      </c>
      <c r="C46" s="6" t="s">
        <v>179</v>
      </c>
      <c r="D46" t="s">
        <v>12</v>
      </c>
      <c r="E46" t="s">
        <v>16</v>
      </c>
      <c r="F46" t="s">
        <v>16</v>
      </c>
      <c r="G46" t="s">
        <v>180</v>
      </c>
      <c r="H46" t="s">
        <v>81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46205</v>
      </c>
      <c r="B47" t="s">
        <v>74</v>
      </c>
      <c r="C47" s="6" t="s">
        <v>181</v>
      </c>
      <c r="D47" t="s">
        <v>12</v>
      </c>
      <c r="E47" t="s">
        <v>52</v>
      </c>
      <c r="F47" t="s">
        <v>52</v>
      </c>
      <c r="G47" t="s">
        <v>182</v>
      </c>
      <c r="H47" t="s">
        <v>81</v>
      </c>
      <c r="I47" t="str">
        <f>_xlfn.XLOOKUP(Tabla1[[#This Row],[Dependencia]],Tabla2[Dependencia],Tabla2[Clasificación],"No indexado")</f>
        <v>Partidos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46205</v>
      </c>
      <c r="B48" t="s">
        <v>82</v>
      </c>
      <c r="C48" s="6" t="s">
        <v>183</v>
      </c>
      <c r="D48" t="s">
        <v>13</v>
      </c>
      <c r="E48" t="s">
        <v>16</v>
      </c>
      <c r="F48" t="s">
        <v>98</v>
      </c>
      <c r="G48" t="s">
        <v>89</v>
      </c>
      <c r="H48" t="s">
        <v>69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46205</v>
      </c>
      <c r="B49" t="s">
        <v>82</v>
      </c>
      <c r="C49" s="6" t="s">
        <v>184</v>
      </c>
      <c r="D49" t="s">
        <v>12</v>
      </c>
      <c r="E49" t="s">
        <v>26</v>
      </c>
      <c r="F49" t="s">
        <v>185</v>
      </c>
      <c r="G49" t="s">
        <v>186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5">
        <v>46205</v>
      </c>
      <c r="B50" t="s">
        <v>82</v>
      </c>
      <c r="C50" s="6" t="s">
        <v>187</v>
      </c>
      <c r="D50" t="s">
        <v>12</v>
      </c>
      <c r="E50" t="s">
        <v>24</v>
      </c>
      <c r="F50" t="s">
        <v>24</v>
      </c>
      <c r="G50" t="s">
        <v>96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x14ac:dyDescent="0.35">
      <c r="A51" s="5">
        <v>46205</v>
      </c>
      <c r="B51" t="s">
        <v>82</v>
      </c>
      <c r="C51" s="6" t="s">
        <v>188</v>
      </c>
      <c r="D51" t="s">
        <v>12</v>
      </c>
      <c r="E51" t="s">
        <v>10</v>
      </c>
      <c r="F51" t="s">
        <v>10</v>
      </c>
      <c r="G51" t="s">
        <v>104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x14ac:dyDescent="0.35">
      <c r="A52" s="5">
        <v>46205</v>
      </c>
      <c r="B52" t="s">
        <v>82</v>
      </c>
      <c r="C52" s="6" t="s">
        <v>189</v>
      </c>
      <c r="D52" t="s">
        <v>12</v>
      </c>
      <c r="E52" t="s">
        <v>10</v>
      </c>
      <c r="F52" t="s">
        <v>10</v>
      </c>
      <c r="G52" t="s">
        <v>73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46205</v>
      </c>
      <c r="B53" t="s">
        <v>82</v>
      </c>
      <c r="C53" s="6" t="s">
        <v>85</v>
      </c>
      <c r="D53" t="s">
        <v>76</v>
      </c>
      <c r="E53" t="s">
        <v>15</v>
      </c>
      <c r="F53" t="s">
        <v>15</v>
      </c>
      <c r="G53" t="s">
        <v>86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5">
        <v>46205</v>
      </c>
      <c r="B54" t="s">
        <v>78</v>
      </c>
      <c r="C54" s="6" t="s">
        <v>90</v>
      </c>
      <c r="D54" t="s">
        <v>91</v>
      </c>
      <c r="E54" t="s">
        <v>28</v>
      </c>
      <c r="F54" t="s">
        <v>28</v>
      </c>
      <c r="G54" t="s">
        <v>92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5">
        <v>46205</v>
      </c>
      <c r="B55" t="s">
        <v>78</v>
      </c>
      <c r="C55" s="6" t="s">
        <v>93</v>
      </c>
      <c r="D55" t="s">
        <v>12</v>
      </c>
      <c r="E55" t="s">
        <v>24</v>
      </c>
      <c r="F55" t="s">
        <v>24</v>
      </c>
      <c r="G55" t="s">
        <v>94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Gobernador</v>
      </c>
    </row>
    <row r="56" spans="1:10" ht="29" x14ac:dyDescent="0.35">
      <c r="A56" s="5">
        <v>46205</v>
      </c>
      <c r="B56" t="s">
        <v>78</v>
      </c>
      <c r="C56" s="6" t="s">
        <v>95</v>
      </c>
      <c r="D56" t="s">
        <v>13</v>
      </c>
      <c r="E56" t="s">
        <v>24</v>
      </c>
      <c r="F56" t="s">
        <v>24</v>
      </c>
      <c r="G56" t="s">
        <v>96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29" x14ac:dyDescent="0.35">
      <c r="A57" s="5">
        <v>46205</v>
      </c>
      <c r="B57" t="s">
        <v>78</v>
      </c>
      <c r="C57" s="6" t="s">
        <v>97</v>
      </c>
      <c r="D57" t="s">
        <v>12</v>
      </c>
      <c r="E57" t="s">
        <v>16</v>
      </c>
      <c r="F57" t="s">
        <v>98</v>
      </c>
      <c r="G57" t="s">
        <v>89</v>
      </c>
      <c r="H57" t="s">
        <v>69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46205</v>
      </c>
      <c r="B58" t="s">
        <v>78</v>
      </c>
      <c r="C58" s="6" t="s">
        <v>99</v>
      </c>
      <c r="D58" t="s">
        <v>12</v>
      </c>
      <c r="E58" t="s">
        <v>16</v>
      </c>
      <c r="F58" t="s">
        <v>16</v>
      </c>
      <c r="G58" t="s">
        <v>100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ht="29" x14ac:dyDescent="0.35">
      <c r="A59" s="5">
        <v>46205</v>
      </c>
      <c r="B59" t="s">
        <v>78</v>
      </c>
      <c r="C59" s="6" t="s">
        <v>101</v>
      </c>
      <c r="D59" t="s">
        <v>12</v>
      </c>
      <c r="E59" t="s">
        <v>16</v>
      </c>
      <c r="F59" t="s">
        <v>16</v>
      </c>
      <c r="G59" t="s">
        <v>102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46205</v>
      </c>
      <c r="B60" t="s">
        <v>78</v>
      </c>
      <c r="C60" s="6" t="s">
        <v>103</v>
      </c>
      <c r="D60" t="s">
        <v>12</v>
      </c>
      <c r="E60" t="s">
        <v>10</v>
      </c>
      <c r="F60" t="s">
        <v>10</v>
      </c>
      <c r="G60" t="s">
        <v>104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29" x14ac:dyDescent="0.35">
      <c r="A61" s="5">
        <v>46205</v>
      </c>
      <c r="B61" t="s">
        <v>78</v>
      </c>
      <c r="C61" s="6" t="s">
        <v>105</v>
      </c>
      <c r="D61" t="s">
        <v>12</v>
      </c>
      <c r="E61" t="s">
        <v>10</v>
      </c>
      <c r="F61" t="s">
        <v>10</v>
      </c>
      <c r="G61" t="s">
        <v>106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ht="29" x14ac:dyDescent="0.35">
      <c r="A62" s="5">
        <v>46205</v>
      </c>
      <c r="B62" t="s">
        <v>78</v>
      </c>
      <c r="C62" s="6" t="s">
        <v>107</v>
      </c>
      <c r="D62" t="s">
        <v>12</v>
      </c>
      <c r="E62" t="s">
        <v>16</v>
      </c>
      <c r="F62" t="s">
        <v>16</v>
      </c>
      <c r="G62" t="s">
        <v>108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46205</v>
      </c>
      <c r="B63" t="s">
        <v>78</v>
      </c>
      <c r="C63" s="6" t="s">
        <v>109</v>
      </c>
      <c r="D63" t="s">
        <v>12</v>
      </c>
      <c r="E63" t="s">
        <v>16</v>
      </c>
      <c r="F63" t="s">
        <v>16</v>
      </c>
      <c r="G63" t="s">
        <v>108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46205</v>
      </c>
      <c r="B64" t="s">
        <v>79</v>
      </c>
      <c r="C64" s="6" t="s">
        <v>110</v>
      </c>
      <c r="D64" t="s">
        <v>13</v>
      </c>
      <c r="E64" t="s">
        <v>10</v>
      </c>
      <c r="F64" t="s">
        <v>10</v>
      </c>
      <c r="G64" t="s">
        <v>104</v>
      </c>
      <c r="H64" t="s">
        <v>11</v>
      </c>
      <c r="I64" t="str">
        <f>_xlfn.XLOOKUP(Tabla1[[#This Row],[Dependencia]],Tabla2[Dependencia],Tabla2[Clasificación],"No indexado")</f>
        <v>Otros</v>
      </c>
      <c r="J64" t="str">
        <f>_xlfn.XLOOKUP(Tabla1[[#This Row],[Dependencia]],Tabla3[Dependencia],Tabla3[Nivel],"otros",0)</f>
        <v>otros</v>
      </c>
    </row>
    <row r="65" spans="1:10" x14ac:dyDescent="0.35">
      <c r="A65" s="5">
        <v>46205</v>
      </c>
      <c r="B65" t="s">
        <v>79</v>
      </c>
      <c r="C65" s="6" t="s">
        <v>111</v>
      </c>
      <c r="D65" t="s">
        <v>12</v>
      </c>
      <c r="E65" t="s">
        <v>14</v>
      </c>
      <c r="F65" t="s">
        <v>14</v>
      </c>
      <c r="G65" t="s">
        <v>80</v>
      </c>
      <c r="H65" t="s">
        <v>11</v>
      </c>
      <c r="I65" t="str">
        <f>_xlfn.XLOOKUP(Tabla1[[#This Row],[Dependencia]],Tabla2[Dependencia],Tabla2[Clasificación],"No indexado")</f>
        <v>Presidencia de la República</v>
      </c>
      <c r="J65" t="str">
        <f>_xlfn.XLOOKUP(Tabla1[[#This Row],[Dependencia]],Tabla3[Dependencia],Tabla3[Nivel],"otros",0)</f>
        <v>otros</v>
      </c>
    </row>
    <row r="66" spans="1:10" ht="43.5" x14ac:dyDescent="0.35">
      <c r="A66" s="5">
        <v>46205</v>
      </c>
      <c r="B66" t="s">
        <v>79</v>
      </c>
      <c r="C66" s="6" t="s">
        <v>190</v>
      </c>
      <c r="D66" t="s">
        <v>112</v>
      </c>
      <c r="E66" t="s">
        <v>16</v>
      </c>
      <c r="F66" t="s">
        <v>16</v>
      </c>
      <c r="G66" t="s">
        <v>113</v>
      </c>
      <c r="H66" t="s">
        <v>81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46205</v>
      </c>
      <c r="B67" t="s">
        <v>79</v>
      </c>
      <c r="C67" s="6" t="s">
        <v>114</v>
      </c>
      <c r="D67" t="s">
        <v>12</v>
      </c>
      <c r="E67" t="s">
        <v>16</v>
      </c>
      <c r="F67" t="s">
        <v>16</v>
      </c>
      <c r="G67" t="s">
        <v>115</v>
      </c>
      <c r="H67" t="s">
        <v>81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72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72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2026-07-02T18:02:32Z</dcterms:modified>
</cp:coreProperties>
</file>