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6DF29DE0-FB98-4438-806B-2A8DC90A3F5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1" l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47" i="1"/>
  <c r="J4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I2" i="1"/>
  <c r="J2" i="1"/>
</calcChain>
</file>

<file path=xl/sharedStrings.xml><?xml version="1.0" encoding="utf-8"?>
<sst xmlns="http://schemas.openxmlformats.org/spreadsheetml/2006/main" count="629" uniqueCount="193">
  <si>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</si>
  <si>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</si>
  <si>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</si>
  <si>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</si>
  <si>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</si>
  <si>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</si>
  <si>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</si>
  <si>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</si>
  <si>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</si>
  <si>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</si>
  <si>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</si>
  <si>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</si>
  <si>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</si>
  <si>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</si>
  <si>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</si>
  <si>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</si>
  <si>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</si>
  <si>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</si>
  <si>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</si>
  <si>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</si>
  <si>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</si>
  <si>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</si>
  <si>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</si>
  <si>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</si>
  <si>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</si>
  <si>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</si>
  <si>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</si>
  <si>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</si>
  <si>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</si>
  <si>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</si>
  <si>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</si>
  <si>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</si>
  <si>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</si>
  <si>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</si>
  <si>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</si>
  <si>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</si>
  <si>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</si>
  <si>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</si>
  <si>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</si>
  <si>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</si>
  <si>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</si>
  <si>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</si>
  <si>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</si>
  <si>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</si>
  <si>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</si>
  <si>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</si>
  <si>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</si>
  <si>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</si>
  <si>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</si>
  <si>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</si>
  <si>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</si>
  <si>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</si>
  <si>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</si>
  <si>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</si>
  <si>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</si>
  <si>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</si>
  <si>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</si>
  <si>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</si>
  <si>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</si>
  <si>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</si>
  <si>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</si>
  <si>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</si>
  <si>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</si>
  <si>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</si>
  <si>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</si>
  <si>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</si>
  <si>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</si>
  <si>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</si>
  <si>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</si>
  <si>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</si>
  <si>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</si>
  <si>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</si>
  <si>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Pachuca Brilla</t>
  </si>
  <si>
    <t>Temas varios</t>
  </si>
  <si>
    <t>Deportes</t>
  </si>
  <si>
    <t>Videovigilancia</t>
  </si>
  <si>
    <t>Criterio</t>
  </si>
  <si>
    <t>Marfeca</t>
  </si>
  <si>
    <t>Cintillo</t>
  </si>
  <si>
    <t>Positiva</t>
  </si>
  <si>
    <t>Síntesis</t>
  </si>
  <si>
    <t>Milenio Hidalgo</t>
  </si>
  <si>
    <t>Temas internacionales</t>
  </si>
  <si>
    <t>Alcalde</t>
  </si>
  <si>
    <t>Conagua</t>
  </si>
  <si>
    <t>Regreso A Clases</t>
  </si>
  <si>
    <t>Zunoticia</t>
  </si>
  <si>
    <t>Mundial De Futbol</t>
  </si>
  <si>
    <t>Simey</t>
  </si>
  <si>
    <t>Informe Legislativo</t>
  </si>
  <si>
    <t>Policía municipal</t>
  </si>
  <si>
    <t>Plaza Juárez</t>
  </si>
  <si>
    <t>Editorial</t>
  </si>
  <si>
    <t>Endurecen medidas contra cacería furtiva</t>
  </si>
  <si>
    <t>Conservación de especies</t>
  </si>
  <si>
    <t>IMSS puede validar atención externa</t>
  </si>
  <si>
    <t>IMSS</t>
  </si>
  <si>
    <t>Atención médica</t>
  </si>
  <si>
    <t>Rehabilitan puentes y vías en Tlahultepa</t>
  </si>
  <si>
    <t>Rutas de la Reconstrucción</t>
  </si>
  <si>
    <t>Baja el turismo por inseguridad en Tula</t>
  </si>
  <si>
    <t>Inseguridad</t>
  </si>
  <si>
    <t>Prohibir corridas de toros dañaría 457 festejos</t>
  </si>
  <si>
    <t>Tauromaquia</t>
  </si>
  <si>
    <t>Privilegian a autos; olvidan a peatones</t>
  </si>
  <si>
    <t>Educación vial</t>
  </si>
  <si>
    <t>Hasta $10 mil desembolsan padres de familia para los útiles</t>
  </si>
  <si>
    <t>Intervienen maceteros polinizadores</t>
  </si>
  <si>
    <t>Conservación de Polinizadores</t>
  </si>
  <si>
    <t>Van 1.1 mil mdp para 2 municipios</t>
  </si>
  <si>
    <t>Recuperan 7 millones de litros de huachicol en cuatro años</t>
  </si>
  <si>
    <t>Reunión Gabinete De Seguridad</t>
  </si>
  <si>
    <t>Registra Hidalgo crecimiento de 20% en servicios turísticos</t>
  </si>
  <si>
    <t>Infraestructura Turística</t>
  </si>
  <si>
    <t>Lo que dejó el torneo</t>
  </si>
  <si>
    <t>La montaña tiene reyes</t>
  </si>
  <si>
    <t>Actividad humana, principal causa de incendios: Conafor</t>
  </si>
  <si>
    <t>Incendios forestales</t>
  </si>
  <si>
    <t>Los hoteleros alcanzan 75% de su ocupación en junio de 2026</t>
  </si>
  <si>
    <t>Ocupación Hotelera</t>
  </si>
  <si>
    <t>Hidalgo cumplió las expectativas en el Mundial de Futbol: Turismo</t>
  </si>
  <si>
    <t>Buscará Óscar el Perro Pelcastre diputación por la vía independiente</t>
  </si>
  <si>
    <t>Candidaturas independientes</t>
  </si>
  <si>
    <t>El regreso a clases cuesta hasta $12,000</t>
  </si>
  <si>
    <t>Buscan sanear la presa Endhó con recursos internacionales</t>
  </si>
  <si>
    <t>Presa Endhó</t>
  </si>
  <si>
    <t>Descarta gobierno que relleno sanitario en Tula tenga permiso para operar</t>
  </si>
  <si>
    <t>Relleno Sanitario</t>
  </si>
  <si>
    <t>Expertos del Conaheyt ven malos manejos de residuos</t>
  </si>
  <si>
    <t>Manejo de residuos</t>
  </si>
  <si>
    <t>Acusados de matar a dos agentes buscan beneficios</t>
  </si>
  <si>
    <t>Homicidio de Policía</t>
  </si>
  <si>
    <t>Estima IEEH el registro de al menos 10 mil candidaturas</t>
  </si>
  <si>
    <t>Candidaturas</t>
  </si>
  <si>
    <t>El síndrome posvacacional se puede evitar: IMSS</t>
  </si>
  <si>
    <t>Periodo vacacional</t>
  </si>
  <si>
    <t>Llegan al municipio las rutas de la reconstrucción</t>
  </si>
  <si>
    <t>En proceso de recuperación el inmueble que la alberga</t>
  </si>
  <si>
    <t>Fundación Herrera Cabañas</t>
  </si>
  <si>
    <t>Arrancan la transmisión de radio en Huichapan</t>
  </si>
  <si>
    <t>Radiodifusoras</t>
  </si>
  <si>
    <t>Exmando policial de Rubén Rocha Moya deja prisión y ya negocia con Estados Unidos</t>
  </si>
  <si>
    <t>Buscan distribuir fentanilo en países de Medio Oriente</t>
  </si>
  <si>
    <t>Crimen Organizado</t>
  </si>
  <si>
    <t>Armadora FAW en Zempoala, para 2027</t>
  </si>
  <si>
    <t>Atracción De Inversiones</t>
  </si>
  <si>
    <t>Refinería de Tula lidera producción de coquizadora</t>
  </si>
  <si>
    <t>Pemex</t>
  </si>
  <si>
    <t>Refinería</t>
  </si>
  <si>
    <t>Ejecutivo invertirá 326 mdp para reconstruir Nicolás Flores</t>
  </si>
  <si>
    <t>Semarnath aún no sautoriza operación de basurero e Tula</t>
  </si>
  <si>
    <t>General Mérida: testigo colaborador en Estados Unidos</t>
  </si>
  <si>
    <t>Han sido días llenos de agradecimiento para su servidora, por la convocatoria y asistencia de miles de  hidalguenses, quienes me han acompañado en estos ejercicios de rendición de cuentas. La única forma de  trabajar es con el pueblo y por el pueblo ”.</t>
  </si>
  <si>
    <t>Siete Ceresos del estado tendrán conexión directa con el C5i</t>
  </si>
  <si>
    <t>ANuncia Menchaca cifras históricas para reconstrucción en Nicolás Flores Tlahuiltepa</t>
  </si>
  <si>
    <t>Detienen en Pachuca a presunto secuedstrador de Oaxaca; rescatan a menor</t>
  </si>
  <si>
    <t>Combate Al Secuestro</t>
  </si>
  <si>
    <t>Animalistas esperan resolución de queja contra consulta taurina</t>
  </si>
  <si>
    <t>Estima Canirac derrama de 170 mdp durante vacaciones de verano</t>
  </si>
  <si>
    <t>Derrama económica</t>
  </si>
  <si>
    <t>Reconocen a gobierno de Huejutla como precursor del Tlajtoli</t>
  </si>
  <si>
    <t>Día de los pueblos indígenas</t>
  </si>
  <si>
    <t>Gobiernos de Hidalgo y de México aplican más de 326 millones de pesos para Nicolás Flores</t>
  </si>
  <si>
    <t>Bomberos sofocan incendio de camioneta tras choque en carretera</t>
  </si>
  <si>
    <t>Control de incendios</t>
  </si>
  <si>
    <t>SEPH coordina acciones para regreso a clases</t>
  </si>
  <si>
    <t>Realizan en Huejutla jornada de mastografías</t>
  </si>
  <si>
    <t>Jornada médica</t>
  </si>
  <si>
    <t>Effetá</t>
  </si>
  <si>
    <t>Tlahultepa recibirá 850 millones para su reconstrucción</t>
  </si>
  <si>
    <t>Relleno sanitario de Tula: proyecto privado y sin permiso</t>
  </si>
  <si>
    <t>Tulancingo reporta 276 nacimientos en menores de 19 años</t>
  </si>
  <si>
    <t>Embarazo adolescente</t>
  </si>
  <si>
    <t>Nueva batalla legal contra tauromaquia</t>
  </si>
  <si>
    <t>Avanza instalación de 556 cámaras en Pachuca</t>
  </si>
  <si>
    <t>Gobierno de Menchaca recupera 7 millones de litros de combustible</t>
  </si>
  <si>
    <t>Activistas de Hidalgo rechazan nueva Ley General de Bienestar Animal</t>
  </si>
  <si>
    <t>Relleno sanitario de Tula-Tezontepec no cuenta con permiso para operar: Gobierno de Hidalgo</t>
  </si>
  <si>
    <t>Tlahuiltepa recibe 850 millones de pesos para su reconstrucción, anuncia Julio Menchaca</t>
  </si>
  <si>
    <t>Ana María Rivera impulsa una obra histórica para fortalecer el servicio de agua en Cerro Colorado</t>
  </si>
  <si>
    <t>Infraestructura Hidráulica</t>
  </si>
  <si>
    <t>Avanza instalación de 556 cámaras e Pachuca; Jorge Reyes</t>
  </si>
  <si>
    <t>Atitalaquia refrenda su compromiso como un gobierno de resultados que sigue capacitando</t>
  </si>
  <si>
    <t>Tere Olivarres brinda audiencias públicas en Doxey</t>
  </si>
  <si>
    <t>Atención a la ciudadanía</t>
  </si>
  <si>
    <t>SEPH coordina acciones para regreso a clases en la entidad</t>
  </si>
  <si>
    <t>Gobierno de Hidalgo recupera más de 7 millones combustible ilícito en casi cuatro años</t>
  </si>
  <si>
    <t>Avanza instalación de 556 cámaras en Pachuca; Jorge Reyes supervisa trabajos</t>
  </si>
  <si>
    <t>¡Otro descalabro! de último minuto, Puebla derrota a los Tuzos</t>
  </si>
  <si>
    <t>Seguridad incauta más de 21 mil litros de huachicol</t>
  </si>
  <si>
    <t>A quienes supiran por una candidatura. No se confundan: hay presidenta, hay gobernador</t>
  </si>
  <si>
    <t>Celebran la tradicional bombereada en Santiago Tulantepec</t>
  </si>
  <si>
    <t>La ganancia de Hidalgo fue en views"": Elizabeth Quintanar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</si>
</sst>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topLeftCell="A46" workbookViewId="0">
      <selection activeCell="A47" sqref="A47:H68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46252</v>
      </c>
      <c r="B2" t="s">
        <v>67</v>
      </c>
      <c r="C2" s="5" t="s">
        <v>93</v>
      </c>
      <c r="D2" t="s">
        <v>12</v>
      </c>
      <c r="E2" t="s">
        <v>10</v>
      </c>
      <c r="F2" t="s">
        <v>10</v>
      </c>
      <c r="G2" t="s">
        <v>94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46252</v>
      </c>
      <c r="B3" t="s">
        <v>67</v>
      </c>
      <c r="C3" s="5" t="s">
        <v>95</v>
      </c>
      <c r="D3" t="s">
        <v>12</v>
      </c>
      <c r="E3" t="s">
        <v>14</v>
      </c>
      <c r="F3" t="s">
        <v>96</v>
      </c>
      <c r="G3" t="s">
        <v>97</v>
      </c>
      <c r="H3" t="s">
        <v>11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46252</v>
      </c>
      <c r="B4" t="s">
        <v>67</v>
      </c>
      <c r="C4" s="5" t="s">
        <v>98</v>
      </c>
      <c r="D4" t="s">
        <v>12</v>
      </c>
      <c r="E4" t="s">
        <v>24</v>
      </c>
      <c r="F4" t="s">
        <v>24</v>
      </c>
      <c r="G4" t="s">
        <v>99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Gobernador</v>
      </c>
    </row>
    <row r="5" spans="1:10" x14ac:dyDescent="0.25">
      <c r="A5" s="11">
        <v>46252</v>
      </c>
      <c r="B5" t="s">
        <v>67</v>
      </c>
      <c r="C5" s="5" t="s">
        <v>100</v>
      </c>
      <c r="D5" t="s">
        <v>13</v>
      </c>
      <c r="E5" t="s">
        <v>16</v>
      </c>
      <c r="F5" t="s">
        <v>90</v>
      </c>
      <c r="G5" t="s">
        <v>101</v>
      </c>
      <c r="H5" t="s">
        <v>70</v>
      </c>
      <c r="I5" t="str">
        <f>_xlfn.XLOOKUP(Tabla1[[#This Row],[Dependencia]],Tabla2[Dependencia],Tabla2[Clasificación],"XXX",0)</f>
        <v>Alcaldías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46252</v>
      </c>
      <c r="B6" t="s">
        <v>67</v>
      </c>
      <c r="C6" s="5" t="s">
        <v>102</v>
      </c>
      <c r="D6" t="s">
        <v>12</v>
      </c>
      <c r="E6" t="s">
        <v>10</v>
      </c>
      <c r="F6" t="s">
        <v>10</v>
      </c>
      <c r="G6" t="s">
        <v>103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46252</v>
      </c>
      <c r="B7" t="s">
        <v>67</v>
      </c>
      <c r="C7" s="5" t="s">
        <v>104</v>
      </c>
      <c r="D7" t="s">
        <v>9</v>
      </c>
      <c r="E7" t="s">
        <v>16</v>
      </c>
      <c r="F7" t="s">
        <v>16</v>
      </c>
      <c r="G7" t="s">
        <v>105</v>
      </c>
      <c r="H7" t="s">
        <v>70</v>
      </c>
      <c r="I7" t="str">
        <f>_xlfn.XLOOKUP(Tabla1[[#This Row],[Dependencia]],Tabla2[Dependencia],Tabla2[Clasificación],"XXX",0)</f>
        <v>Alcaldías</v>
      </c>
      <c r="J7" t="str">
        <f>_xlfn.XLOOKUP(Tabla1[[#This Row],[Dependencia]],Tabla3[Dependencia],Tabla3[Nivel],"Otros",0)</f>
        <v>Otros</v>
      </c>
    </row>
    <row r="8" spans="1:10" ht="30" x14ac:dyDescent="0.25">
      <c r="A8" s="11">
        <v>46252</v>
      </c>
      <c r="B8" t="s">
        <v>71</v>
      </c>
      <c r="C8" s="5" t="s">
        <v>106</v>
      </c>
      <c r="D8" t="s">
        <v>13</v>
      </c>
      <c r="E8" t="s">
        <v>10</v>
      </c>
      <c r="F8" t="s">
        <v>10</v>
      </c>
      <c r="G8" t="s">
        <v>85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46252</v>
      </c>
      <c r="B9" t="s">
        <v>71</v>
      </c>
      <c r="C9" s="5" t="s">
        <v>107</v>
      </c>
      <c r="D9" t="s">
        <v>9</v>
      </c>
      <c r="E9" t="s">
        <v>10</v>
      </c>
      <c r="F9" t="s">
        <v>10</v>
      </c>
      <c r="G9" t="s">
        <v>108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46252</v>
      </c>
      <c r="B10" t="s">
        <v>71</v>
      </c>
      <c r="C10" s="5" t="s">
        <v>109</v>
      </c>
      <c r="D10" t="s">
        <v>12</v>
      </c>
      <c r="E10" t="s">
        <v>24</v>
      </c>
      <c r="F10" t="s">
        <v>24</v>
      </c>
      <c r="G10" t="s">
        <v>99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Gobernador</v>
      </c>
    </row>
    <row r="11" spans="1:10" ht="30" x14ac:dyDescent="0.25">
      <c r="A11" s="11">
        <v>46252</v>
      </c>
      <c r="B11" t="s">
        <v>71</v>
      </c>
      <c r="C11" s="5" t="s">
        <v>110</v>
      </c>
      <c r="D11" t="s">
        <v>12</v>
      </c>
      <c r="E11" t="s">
        <v>24</v>
      </c>
      <c r="F11" t="s">
        <v>24</v>
      </c>
      <c r="G11" t="s">
        <v>111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Gobernador</v>
      </c>
    </row>
    <row r="12" spans="1:10" ht="30" x14ac:dyDescent="0.25">
      <c r="A12" s="11">
        <v>46252</v>
      </c>
      <c r="B12" t="s">
        <v>71</v>
      </c>
      <c r="C12" s="5" t="s">
        <v>112</v>
      </c>
      <c r="D12" t="s">
        <v>12</v>
      </c>
      <c r="E12" t="s">
        <v>29</v>
      </c>
      <c r="F12" t="s">
        <v>29</v>
      </c>
      <c r="G12" t="s">
        <v>113</v>
      </c>
      <c r="H12" t="s">
        <v>79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46252</v>
      </c>
      <c r="B13" t="s">
        <v>76</v>
      </c>
      <c r="C13" s="5" t="s">
        <v>114</v>
      </c>
      <c r="D13" t="s">
        <v>12</v>
      </c>
      <c r="E13" t="s">
        <v>10</v>
      </c>
      <c r="F13" t="s">
        <v>10</v>
      </c>
      <c r="G13" t="s">
        <v>74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46252</v>
      </c>
      <c r="B14" t="s">
        <v>76</v>
      </c>
      <c r="C14" s="5" t="s">
        <v>115</v>
      </c>
      <c r="D14" t="s">
        <v>12</v>
      </c>
      <c r="E14" t="s">
        <v>10</v>
      </c>
      <c r="F14" t="s">
        <v>10</v>
      </c>
      <c r="G14" t="s">
        <v>74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11">
        <v>46252</v>
      </c>
      <c r="B15" t="s">
        <v>76</v>
      </c>
      <c r="C15" s="5" t="s">
        <v>116</v>
      </c>
      <c r="D15" t="s">
        <v>13</v>
      </c>
      <c r="E15" t="s">
        <v>14</v>
      </c>
      <c r="F15" t="s">
        <v>14</v>
      </c>
      <c r="G15" t="s">
        <v>117</v>
      </c>
      <c r="H15" t="s">
        <v>11</v>
      </c>
      <c r="I15" t="str">
        <f>_xlfn.XLOOKUP(Tabla1[[#This Row],[Dependencia]],Tabla2[Dependencia],Tabla2[Clasificación],"XXX",0)</f>
        <v>Presidencia de la República</v>
      </c>
      <c r="J15" t="str">
        <f>_xlfn.XLOOKUP(Tabla1[[#This Row],[Dependencia]],Tabla3[Dependencia],Tabla3[Nivel],"Otros",0)</f>
        <v>Otros</v>
      </c>
    </row>
    <row r="16" spans="1:10" ht="30" x14ac:dyDescent="0.25">
      <c r="A16" s="11">
        <v>46252</v>
      </c>
      <c r="B16" t="s">
        <v>76</v>
      </c>
      <c r="C16" s="5" t="s">
        <v>118</v>
      </c>
      <c r="D16" t="s">
        <v>12</v>
      </c>
      <c r="E16" t="s">
        <v>10</v>
      </c>
      <c r="F16" t="s">
        <v>10</v>
      </c>
      <c r="G16" t="s">
        <v>119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ht="30" x14ac:dyDescent="0.25">
      <c r="A17" s="11">
        <v>46252</v>
      </c>
      <c r="B17" t="s">
        <v>76</v>
      </c>
      <c r="C17" s="5" t="s">
        <v>120</v>
      </c>
      <c r="D17" t="s">
        <v>12</v>
      </c>
      <c r="E17" t="s">
        <v>29</v>
      </c>
      <c r="F17" t="s">
        <v>29</v>
      </c>
      <c r="G17" t="s">
        <v>87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46252</v>
      </c>
      <c r="B18" t="s">
        <v>76</v>
      </c>
      <c r="C18" s="5" t="s">
        <v>121</v>
      </c>
      <c r="D18" t="s">
        <v>12</v>
      </c>
      <c r="E18" t="s">
        <v>10</v>
      </c>
      <c r="F18" t="s">
        <v>10</v>
      </c>
      <c r="G18" t="s">
        <v>122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46252</v>
      </c>
      <c r="B19" t="s">
        <v>76</v>
      </c>
      <c r="C19" s="5" t="s">
        <v>123</v>
      </c>
      <c r="D19" t="s">
        <v>9</v>
      </c>
      <c r="E19" t="s">
        <v>10</v>
      </c>
      <c r="F19" t="s">
        <v>10</v>
      </c>
      <c r="G19" t="s">
        <v>85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46252</v>
      </c>
      <c r="B20" t="s">
        <v>81</v>
      </c>
      <c r="C20" s="5" t="s">
        <v>124</v>
      </c>
      <c r="D20" t="s">
        <v>13</v>
      </c>
      <c r="E20" t="s">
        <v>14</v>
      </c>
      <c r="F20" t="s">
        <v>84</v>
      </c>
      <c r="G20" t="s">
        <v>125</v>
      </c>
      <c r="H20" t="s">
        <v>11</v>
      </c>
      <c r="I20" t="str">
        <f>_xlfn.XLOOKUP(Tabla1[[#This Row],[Dependencia]],Tabla2[Dependencia],Tabla2[Clasificación],"XXX",0)</f>
        <v>Presidencia de la República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46252</v>
      </c>
      <c r="B21" t="s">
        <v>81</v>
      </c>
      <c r="C21" s="5" t="s">
        <v>126</v>
      </c>
      <c r="D21" t="s">
        <v>12</v>
      </c>
      <c r="E21" t="s">
        <v>69</v>
      </c>
      <c r="F21" t="s">
        <v>69</v>
      </c>
      <c r="G21" t="s">
        <v>127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1">
        <v>46252</v>
      </c>
      <c r="B22" t="s">
        <v>81</v>
      </c>
      <c r="C22" s="5" t="s">
        <v>128</v>
      </c>
      <c r="D22" t="s">
        <v>12</v>
      </c>
      <c r="E22" t="s">
        <v>10</v>
      </c>
      <c r="F22" t="s">
        <v>10</v>
      </c>
      <c r="G22" t="s">
        <v>129</v>
      </c>
      <c r="H22" t="s">
        <v>70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46252</v>
      </c>
      <c r="B23" t="s">
        <v>81</v>
      </c>
      <c r="C23" s="5" t="s">
        <v>130</v>
      </c>
      <c r="D23" t="s">
        <v>12</v>
      </c>
      <c r="E23" t="s">
        <v>17</v>
      </c>
      <c r="F23" t="s">
        <v>17</v>
      </c>
      <c r="G23" t="s">
        <v>131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46252</v>
      </c>
      <c r="B24" t="s">
        <v>81</v>
      </c>
      <c r="C24" s="5" t="s">
        <v>132</v>
      </c>
      <c r="D24" t="s">
        <v>12</v>
      </c>
      <c r="E24" t="s">
        <v>40</v>
      </c>
      <c r="F24" t="s">
        <v>40</v>
      </c>
      <c r="G24" t="s">
        <v>133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46252</v>
      </c>
      <c r="B25" t="s">
        <v>81</v>
      </c>
      <c r="C25" s="5" t="s">
        <v>134</v>
      </c>
      <c r="D25" t="s">
        <v>12</v>
      </c>
      <c r="E25" t="s">
        <v>14</v>
      </c>
      <c r="F25" t="s">
        <v>96</v>
      </c>
      <c r="G25" t="s">
        <v>135</v>
      </c>
      <c r="H25" t="s">
        <v>11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46252</v>
      </c>
      <c r="B26" t="s">
        <v>81</v>
      </c>
      <c r="C26" s="5" t="s">
        <v>136</v>
      </c>
      <c r="D26" t="s">
        <v>9</v>
      </c>
      <c r="E26" t="s">
        <v>24</v>
      </c>
      <c r="F26" t="s">
        <v>24</v>
      </c>
      <c r="G26" t="s">
        <v>99</v>
      </c>
      <c r="H26" t="s">
        <v>79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Gobernador</v>
      </c>
    </row>
    <row r="27" spans="1:10" x14ac:dyDescent="0.25">
      <c r="A27" s="11">
        <v>46252</v>
      </c>
      <c r="B27" t="s">
        <v>81</v>
      </c>
      <c r="C27" s="5" t="s">
        <v>137</v>
      </c>
      <c r="D27" t="s">
        <v>12</v>
      </c>
      <c r="E27" t="s">
        <v>28</v>
      </c>
      <c r="F27" t="s">
        <v>28</v>
      </c>
      <c r="G27" t="s">
        <v>138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25">
      <c r="A28" s="11">
        <v>46252</v>
      </c>
      <c r="B28" t="s">
        <v>81</v>
      </c>
      <c r="C28" s="5" t="s">
        <v>139</v>
      </c>
      <c r="D28" t="s">
        <v>12</v>
      </c>
      <c r="E28" t="s">
        <v>59</v>
      </c>
      <c r="F28" t="s">
        <v>59</v>
      </c>
      <c r="G28" t="s">
        <v>140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46252</v>
      </c>
      <c r="B29" t="s">
        <v>81</v>
      </c>
      <c r="C29" s="5" t="s">
        <v>141</v>
      </c>
      <c r="D29" t="s">
        <v>12</v>
      </c>
      <c r="E29" t="s">
        <v>10</v>
      </c>
      <c r="F29" t="s">
        <v>10</v>
      </c>
      <c r="G29" t="s">
        <v>82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46252</v>
      </c>
      <c r="B30" t="s">
        <v>81</v>
      </c>
      <c r="C30" s="5" t="s">
        <v>142</v>
      </c>
      <c r="D30" t="s">
        <v>12</v>
      </c>
      <c r="E30" t="s">
        <v>10</v>
      </c>
      <c r="F30" t="s">
        <v>10</v>
      </c>
      <c r="G30" t="s">
        <v>143</v>
      </c>
      <c r="H30" t="s">
        <v>70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46252</v>
      </c>
      <c r="B31" t="s">
        <v>81</v>
      </c>
      <c r="C31" s="5" t="s">
        <v>144</v>
      </c>
      <c r="D31" t="s">
        <v>12</v>
      </c>
      <c r="E31" t="s">
        <v>54</v>
      </c>
      <c r="F31" t="s">
        <v>54</v>
      </c>
      <c r="G31" t="s">
        <v>145</v>
      </c>
      <c r="H31" t="s">
        <v>79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25">
      <c r="A32" s="11">
        <v>46252</v>
      </c>
      <c r="B32" t="s">
        <v>68</v>
      </c>
      <c r="C32" s="5" t="s">
        <v>146</v>
      </c>
      <c r="D32" t="s">
        <v>12</v>
      </c>
      <c r="E32" t="s">
        <v>14</v>
      </c>
      <c r="F32" t="s">
        <v>147</v>
      </c>
      <c r="G32" t="s">
        <v>148</v>
      </c>
      <c r="H32" t="s">
        <v>11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46252</v>
      </c>
      <c r="B33" t="s">
        <v>68</v>
      </c>
      <c r="C33" s="5" t="s">
        <v>149</v>
      </c>
      <c r="D33" t="s">
        <v>9</v>
      </c>
      <c r="E33" t="s">
        <v>24</v>
      </c>
      <c r="F33" t="s">
        <v>24</v>
      </c>
      <c r="G33" t="s">
        <v>99</v>
      </c>
      <c r="H33" t="s">
        <v>79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Gobernador</v>
      </c>
    </row>
    <row r="34" spans="1:10" ht="30" x14ac:dyDescent="0.25">
      <c r="A34" s="11">
        <v>46252</v>
      </c>
      <c r="B34" t="s">
        <v>68</v>
      </c>
      <c r="C34" s="5" t="s">
        <v>150</v>
      </c>
      <c r="D34" t="s">
        <v>13</v>
      </c>
      <c r="E34" t="s">
        <v>20</v>
      </c>
      <c r="F34" t="s">
        <v>20</v>
      </c>
      <c r="G34" t="s">
        <v>127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25">
      <c r="A35" s="11">
        <v>46252</v>
      </c>
      <c r="B35" t="s">
        <v>68</v>
      </c>
      <c r="C35" s="5" t="s">
        <v>151</v>
      </c>
      <c r="D35" t="s">
        <v>12</v>
      </c>
      <c r="E35" t="s">
        <v>10</v>
      </c>
      <c r="F35" t="s">
        <v>10</v>
      </c>
      <c r="G35" t="s">
        <v>82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75" x14ac:dyDescent="0.25">
      <c r="A36" s="11">
        <v>46252</v>
      </c>
      <c r="B36" t="s">
        <v>68</v>
      </c>
      <c r="C36" s="5" t="s">
        <v>152</v>
      </c>
      <c r="D36" t="s">
        <v>12</v>
      </c>
      <c r="E36" t="s">
        <v>61</v>
      </c>
      <c r="F36" t="s">
        <v>88</v>
      </c>
      <c r="G36" t="s">
        <v>89</v>
      </c>
      <c r="H36" t="s">
        <v>11</v>
      </c>
      <c r="I36" t="str">
        <f>_xlfn.XLOOKUP(Tabla1[[#This Row],[Dependencia]],Tabla2[Dependencia],Tabla2[Clasificación],"XXX",0)</f>
        <v>Sucesión gubernamental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46252</v>
      </c>
      <c r="B37" t="s">
        <v>80</v>
      </c>
      <c r="C37" s="5" t="s">
        <v>153</v>
      </c>
      <c r="D37" t="s">
        <v>13</v>
      </c>
      <c r="E37" t="s">
        <v>22</v>
      </c>
      <c r="F37" t="s">
        <v>22</v>
      </c>
      <c r="G37" t="s">
        <v>75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46252</v>
      </c>
      <c r="B38" t="s">
        <v>80</v>
      </c>
      <c r="C38" s="5" t="s">
        <v>154</v>
      </c>
      <c r="D38" t="s">
        <v>12</v>
      </c>
      <c r="E38" t="s">
        <v>24</v>
      </c>
      <c r="F38" t="s">
        <v>24</v>
      </c>
      <c r="G38" t="s">
        <v>99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ht="30" x14ac:dyDescent="0.25">
      <c r="A39" s="11">
        <v>46252</v>
      </c>
      <c r="B39" t="s">
        <v>80</v>
      </c>
      <c r="C39" s="5" t="s">
        <v>155</v>
      </c>
      <c r="D39" t="s">
        <v>12</v>
      </c>
      <c r="E39" t="s">
        <v>22</v>
      </c>
      <c r="F39" t="s">
        <v>22</v>
      </c>
      <c r="G39" t="s">
        <v>156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46252</v>
      </c>
      <c r="B40" t="s">
        <v>80</v>
      </c>
      <c r="C40" s="5" t="s">
        <v>157</v>
      </c>
      <c r="D40" t="s">
        <v>12</v>
      </c>
      <c r="E40" t="s">
        <v>10</v>
      </c>
      <c r="F40" t="s">
        <v>10</v>
      </c>
      <c r="G40" t="s">
        <v>103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ht="30" x14ac:dyDescent="0.25">
      <c r="A41" s="11">
        <v>46252</v>
      </c>
      <c r="B41" t="s">
        <v>80</v>
      </c>
      <c r="C41" s="5" t="s">
        <v>158</v>
      </c>
      <c r="D41" t="s">
        <v>12</v>
      </c>
      <c r="E41" t="s">
        <v>10</v>
      </c>
      <c r="F41" t="s">
        <v>10</v>
      </c>
      <c r="G41" t="s">
        <v>159</v>
      </c>
      <c r="H41" t="s">
        <v>11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46252</v>
      </c>
      <c r="B42" t="s">
        <v>86</v>
      </c>
      <c r="C42" s="5" t="s">
        <v>160</v>
      </c>
      <c r="D42" t="s">
        <v>13</v>
      </c>
      <c r="E42" t="s">
        <v>16</v>
      </c>
      <c r="F42" t="s">
        <v>16</v>
      </c>
      <c r="G42" t="s">
        <v>161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46252</v>
      </c>
      <c r="B43" t="s">
        <v>86</v>
      </c>
      <c r="C43" s="5" t="s">
        <v>162</v>
      </c>
      <c r="D43" t="s">
        <v>12</v>
      </c>
      <c r="E43" t="s">
        <v>24</v>
      </c>
      <c r="F43" t="s">
        <v>24</v>
      </c>
      <c r="G43" t="s">
        <v>99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Gobernador</v>
      </c>
    </row>
    <row r="44" spans="1:10" ht="30" x14ac:dyDescent="0.25">
      <c r="A44" s="11">
        <v>46252</v>
      </c>
      <c r="B44" t="s">
        <v>86</v>
      </c>
      <c r="C44" s="5" t="s">
        <v>163</v>
      </c>
      <c r="D44" t="s">
        <v>12</v>
      </c>
      <c r="E44" t="s">
        <v>16</v>
      </c>
      <c r="F44" t="s">
        <v>16</v>
      </c>
      <c r="G44" t="s">
        <v>164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11">
        <v>46252</v>
      </c>
      <c r="B45" t="s">
        <v>86</v>
      </c>
      <c r="C45" s="5" t="s">
        <v>165</v>
      </c>
      <c r="D45" t="s">
        <v>12</v>
      </c>
      <c r="E45" t="s">
        <v>26</v>
      </c>
      <c r="F45" t="s">
        <v>26</v>
      </c>
      <c r="G45" t="s">
        <v>85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11">
        <v>46252</v>
      </c>
      <c r="B46" t="s">
        <v>86</v>
      </c>
      <c r="C46" s="5" t="s">
        <v>166</v>
      </c>
      <c r="D46" t="s">
        <v>12</v>
      </c>
      <c r="E46" t="s">
        <v>16</v>
      </c>
      <c r="F46" t="s">
        <v>16</v>
      </c>
      <c r="G46" t="s">
        <v>167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46252</v>
      </c>
      <c r="B47" t="s">
        <v>168</v>
      </c>
      <c r="C47" s="5" t="s">
        <v>169</v>
      </c>
      <c r="D47" t="s">
        <v>12</v>
      </c>
      <c r="E47" t="s">
        <v>24</v>
      </c>
      <c r="F47" t="s">
        <v>24</v>
      </c>
      <c r="G47" t="s">
        <v>99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Gobernador</v>
      </c>
    </row>
    <row r="48" spans="1:10" ht="30" x14ac:dyDescent="0.25">
      <c r="A48" s="11">
        <v>46252</v>
      </c>
      <c r="B48" t="s">
        <v>168</v>
      </c>
      <c r="C48" s="5" t="s">
        <v>170</v>
      </c>
      <c r="D48" t="s">
        <v>9</v>
      </c>
      <c r="E48" t="s">
        <v>20</v>
      </c>
      <c r="F48" t="s">
        <v>20</v>
      </c>
      <c r="G48" t="s">
        <v>127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11">
        <v>46252</v>
      </c>
      <c r="B49" t="s">
        <v>168</v>
      </c>
      <c r="C49" s="5" t="s">
        <v>171</v>
      </c>
      <c r="D49" t="s">
        <v>13</v>
      </c>
      <c r="E49" t="s">
        <v>16</v>
      </c>
      <c r="F49" t="s">
        <v>16</v>
      </c>
      <c r="G49" t="s">
        <v>172</v>
      </c>
      <c r="H49" t="s">
        <v>70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46252</v>
      </c>
      <c r="B50" t="s">
        <v>168</v>
      </c>
      <c r="C50" s="5" t="s">
        <v>173</v>
      </c>
      <c r="D50" t="s">
        <v>12</v>
      </c>
      <c r="E50" t="s">
        <v>33</v>
      </c>
      <c r="F50" t="s">
        <v>33</v>
      </c>
      <c r="G50" t="s">
        <v>103</v>
      </c>
      <c r="H50" t="s">
        <v>70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46252</v>
      </c>
      <c r="B51" t="s">
        <v>168</v>
      </c>
      <c r="C51" s="5" t="s">
        <v>174</v>
      </c>
      <c r="D51" t="s">
        <v>12</v>
      </c>
      <c r="E51" t="s">
        <v>16</v>
      </c>
      <c r="F51" t="s">
        <v>90</v>
      </c>
      <c r="G51" t="s">
        <v>75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46252</v>
      </c>
      <c r="B52" t="s">
        <v>168</v>
      </c>
      <c r="C52" s="5" t="s">
        <v>175</v>
      </c>
      <c r="D52" t="s">
        <v>12</v>
      </c>
      <c r="E52" t="s">
        <v>24</v>
      </c>
      <c r="F52" t="s">
        <v>24</v>
      </c>
      <c r="G52" t="s">
        <v>111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11">
        <v>46252</v>
      </c>
      <c r="B53" t="s">
        <v>77</v>
      </c>
      <c r="C53" s="5" t="s">
        <v>176</v>
      </c>
      <c r="D53" t="s">
        <v>78</v>
      </c>
      <c r="E53" t="s">
        <v>33</v>
      </c>
      <c r="F53" t="s">
        <v>33</v>
      </c>
      <c r="G53" t="s">
        <v>103</v>
      </c>
      <c r="H53" t="s">
        <v>70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46252</v>
      </c>
      <c r="B54" t="s">
        <v>77</v>
      </c>
      <c r="C54" s="5" t="s">
        <v>177</v>
      </c>
      <c r="D54" t="s">
        <v>13</v>
      </c>
      <c r="E54" t="s">
        <v>69</v>
      </c>
      <c r="F54" t="s">
        <v>69</v>
      </c>
      <c r="G54" t="s">
        <v>127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46252</v>
      </c>
      <c r="B55" t="s">
        <v>77</v>
      </c>
      <c r="C55" s="5" t="s">
        <v>178</v>
      </c>
      <c r="D55" t="s">
        <v>12</v>
      </c>
      <c r="E55" t="s">
        <v>24</v>
      </c>
      <c r="F55" t="s">
        <v>24</v>
      </c>
      <c r="G55" t="s">
        <v>99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11">
        <v>46252</v>
      </c>
      <c r="B56" t="s">
        <v>77</v>
      </c>
      <c r="C56" s="5" t="s">
        <v>179</v>
      </c>
      <c r="D56" t="s">
        <v>12</v>
      </c>
      <c r="E56" t="s">
        <v>16</v>
      </c>
      <c r="F56" t="s">
        <v>16</v>
      </c>
      <c r="G56" t="s">
        <v>180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46252</v>
      </c>
      <c r="B57" t="s">
        <v>77</v>
      </c>
      <c r="C57" s="5" t="s">
        <v>181</v>
      </c>
      <c r="D57" t="s">
        <v>12</v>
      </c>
      <c r="E57" t="s">
        <v>16</v>
      </c>
      <c r="F57" t="s">
        <v>83</v>
      </c>
      <c r="G57" t="s">
        <v>75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46252</v>
      </c>
      <c r="B58" t="s">
        <v>77</v>
      </c>
      <c r="C58" s="5" t="s">
        <v>182</v>
      </c>
      <c r="D58" t="s">
        <v>12</v>
      </c>
      <c r="E58" t="s">
        <v>16</v>
      </c>
      <c r="F58" t="s">
        <v>16</v>
      </c>
      <c r="G58" t="s">
        <v>73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46252</v>
      </c>
      <c r="B59" t="s">
        <v>77</v>
      </c>
      <c r="C59" s="5" t="s">
        <v>183</v>
      </c>
      <c r="D59" t="s">
        <v>12</v>
      </c>
      <c r="E59" t="s">
        <v>16</v>
      </c>
      <c r="F59" t="s">
        <v>83</v>
      </c>
      <c r="G59" t="s">
        <v>184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46252</v>
      </c>
      <c r="B60" t="s">
        <v>72</v>
      </c>
      <c r="C60" s="5" t="s">
        <v>185</v>
      </c>
      <c r="D60" t="s">
        <v>13</v>
      </c>
      <c r="E60" t="s">
        <v>26</v>
      </c>
      <c r="F60" t="s">
        <v>2</v>
      </c>
      <c r="G60" t="s">
        <v>85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46252</v>
      </c>
      <c r="B61" t="s">
        <v>72</v>
      </c>
      <c r="C61" s="5" t="s">
        <v>186</v>
      </c>
      <c r="D61" t="s">
        <v>12</v>
      </c>
      <c r="E61" t="s">
        <v>24</v>
      </c>
      <c r="F61" t="s">
        <v>24</v>
      </c>
      <c r="G61" t="s">
        <v>111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Gobernador</v>
      </c>
    </row>
    <row r="62" spans="1:10" ht="30" x14ac:dyDescent="0.25">
      <c r="A62" s="11">
        <v>46252</v>
      </c>
      <c r="B62" t="s">
        <v>72</v>
      </c>
      <c r="C62" s="5" t="s">
        <v>187</v>
      </c>
      <c r="D62" t="s">
        <v>12</v>
      </c>
      <c r="E62" t="s">
        <v>16</v>
      </c>
      <c r="F62" t="s">
        <v>83</v>
      </c>
      <c r="G62" t="s">
        <v>75</v>
      </c>
      <c r="H62" t="s">
        <v>11</v>
      </c>
      <c r="I62" t="str">
        <f>_xlfn.XLOOKUP(Tabla1[[#This Row],[Dependencia]],Tabla2[Dependencia],Tabla2[Clasificación],"XXX",0)</f>
        <v>Alcaldías</v>
      </c>
      <c r="J62" t="str">
        <f>_xlfn.XLOOKUP(Tabla1[[#This Row],[Dependencia]],Tabla3[Dependencia],Tabla3[Nivel],"Otros",0)</f>
        <v>Otros</v>
      </c>
    </row>
    <row r="63" spans="1:10" ht="30" x14ac:dyDescent="0.25">
      <c r="A63" s="11">
        <v>46252</v>
      </c>
      <c r="B63" t="s">
        <v>72</v>
      </c>
      <c r="C63" s="5" t="s">
        <v>178</v>
      </c>
      <c r="D63" t="s">
        <v>12</v>
      </c>
      <c r="E63" t="s">
        <v>24</v>
      </c>
      <c r="F63" t="s">
        <v>24</v>
      </c>
      <c r="G63" t="s">
        <v>99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Gobernador</v>
      </c>
    </row>
    <row r="64" spans="1:10" ht="30" x14ac:dyDescent="0.25">
      <c r="A64" s="11">
        <v>46252</v>
      </c>
      <c r="B64" t="s">
        <v>72</v>
      </c>
      <c r="C64" s="5" t="s">
        <v>188</v>
      </c>
      <c r="D64" t="s">
        <v>12</v>
      </c>
      <c r="E64" t="s">
        <v>10</v>
      </c>
      <c r="F64" t="s">
        <v>10</v>
      </c>
      <c r="G64" t="s">
        <v>74</v>
      </c>
      <c r="H64" t="s">
        <v>11</v>
      </c>
      <c r="I64" t="str">
        <f>_xlfn.XLOOKUP(Tabla1[[#This Row],[Dependencia]],Tabla2[Dependencia],Tabla2[Clasificación],"XXX",0)</f>
        <v>Otros</v>
      </c>
      <c r="J64" t="str">
        <f>_xlfn.XLOOKUP(Tabla1[[#This Row],[Dependencia]],Tabla3[Dependencia],Tabla3[Nivel],"Otros",0)</f>
        <v>Otros</v>
      </c>
    </row>
    <row r="65" spans="1:10" x14ac:dyDescent="0.25">
      <c r="A65" s="11">
        <v>46252</v>
      </c>
      <c r="B65" t="s">
        <v>91</v>
      </c>
      <c r="C65" s="5" t="s">
        <v>189</v>
      </c>
      <c r="D65" t="s">
        <v>13</v>
      </c>
      <c r="E65" t="s">
        <v>24</v>
      </c>
      <c r="F65" t="s">
        <v>24</v>
      </c>
      <c r="G65" t="s">
        <v>111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Gobernador</v>
      </c>
    </row>
    <row r="66" spans="1:10" ht="30" x14ac:dyDescent="0.25">
      <c r="A66" s="11">
        <v>46252</v>
      </c>
      <c r="B66" t="s">
        <v>91</v>
      </c>
      <c r="C66" s="5" t="s">
        <v>190</v>
      </c>
      <c r="D66" t="s">
        <v>92</v>
      </c>
      <c r="E66" t="s">
        <v>18</v>
      </c>
      <c r="F66" t="s">
        <v>18</v>
      </c>
      <c r="G66" t="s">
        <v>133</v>
      </c>
      <c r="H66" t="s">
        <v>11</v>
      </c>
      <c r="I66" t="str">
        <f>_xlfn.XLOOKUP(Tabla1[[#This Row],[Dependencia]],Tabla2[Dependencia],Tabla2[Clasificación],"XXX",0)</f>
        <v>Partidos</v>
      </c>
      <c r="J66" t="str">
        <f>_xlfn.XLOOKUP(Tabla1[[#This Row],[Dependencia]],Tabla3[Dependencia],Tabla3[Nivel],"Otros",0)</f>
        <v>Otros</v>
      </c>
    </row>
    <row r="67" spans="1:10" ht="30" x14ac:dyDescent="0.25">
      <c r="A67" s="11">
        <v>46252</v>
      </c>
      <c r="B67" t="s">
        <v>91</v>
      </c>
      <c r="C67" s="5" t="s">
        <v>191</v>
      </c>
      <c r="D67" t="s">
        <v>12</v>
      </c>
      <c r="E67" t="s">
        <v>16</v>
      </c>
      <c r="F67" t="s">
        <v>16</v>
      </c>
      <c r="G67" t="s">
        <v>73</v>
      </c>
      <c r="H67" t="s">
        <v>11</v>
      </c>
      <c r="I67" t="str">
        <f>_xlfn.XLOOKUP(Tabla1[[#This Row],[Dependencia]],Tabla2[Dependencia],Tabla2[Clasificación],"XXX",0)</f>
        <v>Alcaldías</v>
      </c>
      <c r="J67" t="str">
        <f>_xlfn.XLOOKUP(Tabla1[[#This Row],[Dependencia]],Tabla3[Dependencia],Tabla3[Nivel],"Otros",0)</f>
        <v>Otros</v>
      </c>
    </row>
    <row r="68" spans="1:10" ht="30" x14ac:dyDescent="0.25">
      <c r="A68" s="11">
        <v>46252</v>
      </c>
      <c r="B68" t="s">
        <v>91</v>
      </c>
      <c r="C68" s="5" t="s">
        <v>192</v>
      </c>
      <c r="D68" t="s">
        <v>12</v>
      </c>
      <c r="E68" t="s">
        <v>29</v>
      </c>
      <c r="F68" t="s">
        <v>2</v>
      </c>
      <c r="G68" t="s">
        <v>87</v>
      </c>
      <c r="H68" t="s">
        <v>11</v>
      </c>
      <c r="I68" t="str">
        <f>_xlfn.XLOOKUP(Tabla1[[#This Row],[Dependencia]],Tabla2[Dependencia],Tabla2[Clasificación],"XXX",0)</f>
        <v>Gobierno del estado</v>
      </c>
      <c r="J68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2026-08-18T16:41:37Z</dcterms:modified>
</cp:coreProperties>
</file>