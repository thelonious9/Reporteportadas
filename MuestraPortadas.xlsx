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3AFEDAE2-90A0-4E9B-A9D9-D7CD6D2DE8B5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</calcChain>
</file>

<file path=xl/sharedStrings.xml><?xml version="1.0" encoding="utf-8"?>
<sst xmlns="http://schemas.openxmlformats.org/spreadsheetml/2006/main" count="622" uniqueCount="204">
  <si>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</si>
  <si>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</si>
  <si>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</si>
  <si>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</si>
  <si>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</si>
  <si>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</si>
  <si>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</si>
  <si>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</si>
  <si>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</si>
  <si>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</si>
  <si>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</si>
  <si>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</si>
  <si>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</si>
  <si>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</si>
  <si>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</si>
  <si>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</si>
  <si>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</si>
  <si>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</si>
  <si>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</si>
  <si>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</si>
  <si>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</si>
  <si>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</si>
  <si>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</si>
  <si>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</si>
  <si>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</si>
  <si>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</si>
  <si>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</si>
  <si>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</si>
  <si>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</si>
  <si>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</si>
  <si>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</si>
  <si>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</si>
  <si>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</si>
  <si>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</si>
  <si>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</si>
  <si>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</si>
  <si>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</si>
  <si>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</si>
  <si>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</si>
  <si>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</si>
  <si>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</si>
  <si>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</si>
  <si>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</si>
  <si>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</si>
  <si>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</si>
  <si>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</si>
  <si>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</si>
  <si>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</si>
  <si>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</si>
  <si>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</si>
  <si>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</si>
  <si>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</si>
  <si>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</si>
  <si>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</si>
  <si>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</si>
  <si>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</si>
  <si>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</si>
  <si>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</si>
  <si>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</si>
  <si>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</si>
  <si>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</si>
  <si>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</si>
  <si>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</si>
  <si>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</si>
  <si>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</si>
  <si>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</si>
  <si>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</si>
  <si>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</si>
  <si>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</si>
  <si>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</si>
  <si>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</si>
  <si>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</si>
  <si>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</si>
  <si>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</si>
  <si>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</si>
  <si>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</si>
  <si>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Pachuca Brilla</t>
  </si>
  <si>
    <t>Plaza Juárez</t>
  </si>
  <si>
    <t>Síntesis</t>
  </si>
  <si>
    <t>Marfeca</t>
  </si>
  <si>
    <t>Milenio Hidalgo</t>
  </si>
  <si>
    <t>Alcalde</t>
  </si>
  <si>
    <t>Informe De Gobierno</t>
  </si>
  <si>
    <t>Publicidad</t>
  </si>
  <si>
    <t>Feria Del Libro</t>
  </si>
  <si>
    <t>Informe Alcalde</t>
  </si>
  <si>
    <t>Temas varios</t>
  </si>
  <si>
    <t>Grito De Independencia</t>
  </si>
  <si>
    <t>Ampliación Tuzobús</t>
  </si>
  <si>
    <t>PRI</t>
  </si>
  <si>
    <t>Cambia tu vida este 11 de septiembre Sorteo San Judas</t>
  </si>
  <si>
    <t>Paquete de apoyos escolares</t>
  </si>
  <si>
    <t>Hidalgo suma 149 homicidios dolosos, 28% menos que en 2025</t>
  </si>
  <si>
    <t>Incidencia Delictiva</t>
  </si>
  <si>
    <t>45 municipios aún no formalizan Procuradurías para menores; no se les obligará: Vite Ramos</t>
  </si>
  <si>
    <t>Procuraduría municipal del menor</t>
  </si>
  <si>
    <t>Desplazamiento de talud provoca cierre temporal de carretera Real del Monte-Huasca</t>
  </si>
  <si>
    <t>SICT</t>
  </si>
  <si>
    <t>Afectaciones Por Lluvias</t>
  </si>
  <si>
    <t>Acusan a notario de Tulancingo de facilitar pérdida de inmueble valuado en 29 mdp</t>
  </si>
  <si>
    <t>Fraude</t>
  </si>
  <si>
    <t>Militantes dejan vacías las filas de la oposición local</t>
  </si>
  <si>
    <t>Afiliación Partidista</t>
  </si>
  <si>
    <t>Por daños en estructura, DIF destinará 11.5 mdp para nuevo edificio</t>
  </si>
  <si>
    <t>Rehabilitación de instalaciones</t>
  </si>
  <si>
    <t>Preparan ley para controlar dinero en efectivo</t>
  </si>
  <si>
    <t>Iniciativa</t>
  </si>
  <si>
    <t>Inicia instalación de escenario para Grito de Independencia</t>
  </si>
  <si>
    <t>Fotonota</t>
  </si>
  <si>
    <t>Cuando decimos ‘ni una menos’, nos referimos a todas. Todas merecemos la protección del Estado frente al contexto de violencia generalizada que vivimos (…) Nombrarse feminista exige una autocrítica y autorreflexión para reconocer cuándo lo hacemos, reparar y pensar cómo no hacerlo”.</t>
  </si>
  <si>
    <t>Feminicidio</t>
  </si>
  <si>
    <t>Lluvias dañan carretera Real del Monte-Huasca</t>
  </si>
  <si>
    <t>Homicidios dolosos se reducen a la mitad</t>
  </si>
  <si>
    <t>Refuerza Hidalgo combate al robo de combustible</t>
  </si>
  <si>
    <t>Combate Al Huachicol</t>
  </si>
  <si>
    <t>Termina paro y regresan a clases</t>
  </si>
  <si>
    <t>Universidades</t>
  </si>
  <si>
    <t>Paro laboral</t>
  </si>
  <si>
    <t>Reportan sequía en cuatro municipios</t>
  </si>
  <si>
    <t>Conagua</t>
  </si>
  <si>
    <t>Sequía</t>
  </si>
  <si>
    <t>Llevan maquinaria contra espuma tóxica en Alfajayucan</t>
  </si>
  <si>
    <t>Espuma tóxica</t>
  </si>
  <si>
    <t>Registra el estado 149 homicidios dolosos en 2026</t>
  </si>
  <si>
    <t>Impulsan el desarrollo científico</t>
  </si>
  <si>
    <t>Impulso a ciencia y tecnología</t>
  </si>
  <si>
    <t>Migrante hondureño, un viajero por México</t>
  </si>
  <si>
    <t>Migración</t>
  </si>
  <si>
    <t>Hay menos reos de Hidalgo en Ceferesos</t>
  </si>
  <si>
    <t>Ceferesos</t>
  </si>
  <si>
    <t>Culpan a tecnología fallas en lectura</t>
  </si>
  <si>
    <t>Prueba PISA</t>
  </si>
  <si>
    <t>Edición genética busca transformar el campo</t>
  </si>
  <si>
    <t>Biotecnología</t>
  </si>
  <si>
    <t>Cierran temporalmente carretera Real del Monte-Huasca</t>
  </si>
  <si>
    <t>Remueven a Simey Olvera de Mesa Directiva</t>
  </si>
  <si>
    <t>Simey</t>
  </si>
  <si>
    <t>Destitución</t>
  </si>
  <si>
    <t>Hidalgo baja en delito de alto impacto</t>
  </si>
  <si>
    <t>Gobierno de México prevé aumento de deuda pública</t>
  </si>
  <si>
    <t>Paquete Hacendario</t>
  </si>
  <si>
    <t>Gobierno de Hidalgo y Pemex sostuvieron reunión de seguridad</t>
  </si>
  <si>
    <t>Coordinación Interinstitucional</t>
  </si>
  <si>
    <t>Reporta 4000 de municipios alguna condición de sequía</t>
  </si>
  <si>
    <t>Refuerzan vigilancia. Pachuca adquiere drones y patrullas para seguridad</t>
  </si>
  <si>
    <t>Refuerzo De Seguridad</t>
  </si>
  <si>
    <t>Mediante apoyos apuestan por jóvenes emprendedores</t>
  </si>
  <si>
    <t>Apoyo a emprendedores</t>
  </si>
  <si>
    <t>Destaca Gretchen Atilano seguridad y obra pública</t>
  </si>
  <si>
    <t>Estrategia. Afina Hidalgo con Pemex combate al huachicol.</t>
  </si>
  <si>
    <t>Advierte DIF carencias en procuradurías para menores</t>
  </si>
  <si>
    <t>Carne de dudosa calidad, pero de corte trumpista</t>
  </si>
  <si>
    <t>Temas internacionales</t>
  </si>
  <si>
    <t>Por el Verde peligra reforma contra la doble nacionalidad</t>
  </si>
  <si>
    <t>Reforma De Ley</t>
  </si>
  <si>
    <t>Cultura. Antonio Malpica invita al goce de la lectura</t>
  </si>
  <si>
    <t>PAZ alista su estructura para competir en 2027</t>
  </si>
  <si>
    <t>PAZ</t>
  </si>
  <si>
    <t>Trabajo partidista</t>
  </si>
  <si>
    <t>Acusan freno a proceso penal contra un notario en Tulancingo</t>
  </si>
  <si>
    <t>Influyentismo</t>
  </si>
  <si>
    <t>Celebran en Cenhies su 33 aniversario</t>
  </si>
  <si>
    <t>Conmemoración Aniversario</t>
  </si>
  <si>
    <t>El Rey Midas reinicio</t>
  </si>
  <si>
    <t>Que siga la paternidad</t>
  </si>
  <si>
    <t>Entrega DIF ayudas técnicas a personas con discapacidad</t>
  </si>
  <si>
    <t>Auxiliares funcionales</t>
  </si>
  <si>
    <t>Carga edila al erario municipal un tratamiento para adelgazar</t>
  </si>
  <si>
    <t>Desvío de recursos</t>
  </si>
  <si>
    <t>Apuesta Edda Vite por visibilizar la discapacidad auditiva para atenderla y alcanzar su inclusión</t>
  </si>
  <si>
    <t>Proyectan 16 parques de energía; 12 requerirían consulta</t>
  </si>
  <si>
    <t>Parque Fotovoltaico</t>
  </si>
  <si>
    <t>Polo de Zapotlán utilizará principalmente agua tratada</t>
  </si>
  <si>
    <t>Polos del Bienestar</t>
  </si>
  <si>
    <t>Refuerzan estrategia de seguridad en Hidalgo mediante coordinación con Pemex</t>
  </si>
  <si>
    <t>Gobierno de Ajacuba da seguimiento a gestiones para impulsar vivienda digna</t>
  </si>
  <si>
    <t>Mejora de vivienda</t>
  </si>
  <si>
    <t>A 2 años de gobierno de Jorge Reyes, Pachuca suma 605 animales atendidos y 294 liberados</t>
  </si>
  <si>
    <t>Rehabilitación animal</t>
  </si>
  <si>
    <t>Destinarán 874 mdp a familias que perdieron su vivienda</t>
  </si>
  <si>
    <t>Cintillo</t>
  </si>
  <si>
    <t>Huracán Priscilla</t>
  </si>
  <si>
    <t>Said Vargas se reunión con estructuras sindicales de la Región Tula-Tepeji</t>
  </si>
  <si>
    <t>Trabajo sindical</t>
  </si>
  <si>
    <t>Cierran la Real del Monte-Huasca por deformación de pavimenteo</t>
  </si>
  <si>
    <t>Roban camión y equipo a obra de teatro tras presentarse en Pachuca</t>
  </si>
  <si>
    <t>Inseguridad</t>
  </si>
  <si>
    <t>Hidalgo es potencia. 15 bulevares rehabilitados</t>
  </si>
  <si>
    <t>En coordinación y unidad, Gobierno de Hidalgo atendió afectaciones por vaguada monzónica</t>
  </si>
  <si>
    <t>Gobierno de Hidalgo entrega uniformes, útiles y calzado a estudiantes de Tula-Tepeji</t>
  </si>
  <si>
    <t>198 mil toneladas recolectadas</t>
  </si>
  <si>
    <t>Publicidad gubernamental</t>
  </si>
  <si>
    <t>CDHEH emite recomendaciones a 10 municipios de Hidalgo</t>
  </si>
  <si>
    <t>Barandillas</t>
  </si>
  <si>
    <t>Del "El Güero" a "El Koki": Líderes criminales encuentran refugio en Hidalgo... pero terminan capturados</t>
  </si>
  <si>
    <t>Detención</t>
  </si>
  <si>
    <t>Said y la sucesión sin sobresaltos</t>
  </si>
  <si>
    <t>Elección sindical</t>
  </si>
  <si>
    <t>¡Ya perdió!</t>
  </si>
  <si>
    <t>Editorial</t>
  </si>
  <si>
    <t>Hidalgo registra 149 asesinatos en ocho meses; disminuyen 28% respecto a 2025</t>
  </si>
  <si>
    <t>SICT cierra temporalmente la Real del Monte-Huasca</t>
  </si>
  <si>
    <t>Ampliación del Tuzobús a Mineral de la Reforma tendrá que esperar</t>
  </si>
  <si>
    <t>Hidalgo y Pemex refuerzan combate al huachicol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</si>
</sst>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5" headerRowBorderDxfId="4">
  <autoFilter ref="A1:J67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topLeftCell="A37" workbookViewId="0">
      <selection activeCell="A67" sqref="A6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t="30" x14ac:dyDescent="0.25">
      <c r="A2" s="11">
        <v>46274</v>
      </c>
      <c r="B2" t="s">
        <v>78</v>
      </c>
      <c r="C2" s="5" t="s">
        <v>92</v>
      </c>
      <c r="D2" t="s">
        <v>13</v>
      </c>
      <c r="E2" t="s">
        <v>22</v>
      </c>
      <c r="F2" t="s">
        <v>22</v>
      </c>
      <c r="G2" t="s">
        <v>93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2">
        <v>46274</v>
      </c>
      <c r="B3" t="s">
        <v>78</v>
      </c>
      <c r="C3" t="s">
        <v>94</v>
      </c>
      <c r="D3" t="s">
        <v>9</v>
      </c>
      <c r="E3" t="s">
        <v>36</v>
      </c>
      <c r="F3" t="s">
        <v>2</v>
      </c>
      <c r="G3" t="s">
        <v>95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2">
        <v>46274</v>
      </c>
      <c r="B4" t="s">
        <v>78</v>
      </c>
      <c r="C4" t="s">
        <v>96</v>
      </c>
      <c r="D4" t="s">
        <v>12</v>
      </c>
      <c r="E4" t="s">
        <v>14</v>
      </c>
      <c r="F4" t="s">
        <v>97</v>
      </c>
      <c r="G4" t="s">
        <v>98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2">
        <v>46274</v>
      </c>
      <c r="B5" t="s">
        <v>78</v>
      </c>
      <c r="C5" t="s">
        <v>99</v>
      </c>
      <c r="D5" t="s">
        <v>12</v>
      </c>
      <c r="E5" t="s">
        <v>17</v>
      </c>
      <c r="F5" t="s">
        <v>17</v>
      </c>
      <c r="G5" t="s">
        <v>100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2">
        <v>46274</v>
      </c>
      <c r="B6" t="s">
        <v>68</v>
      </c>
      <c r="C6" t="s">
        <v>101</v>
      </c>
      <c r="D6" t="s">
        <v>13</v>
      </c>
      <c r="E6" t="s">
        <v>89</v>
      </c>
      <c r="F6" t="s">
        <v>89</v>
      </c>
      <c r="G6" t="s">
        <v>102</v>
      </c>
      <c r="H6" t="s">
        <v>70</v>
      </c>
      <c r="I6" t="str">
        <f>_xlfn.XLOOKUP(Tabla1[[#This Row],[Dependencia]],Tabla2[Dependencia],Tabla2[Clasificación],"XXX",0)</f>
        <v>Partidos</v>
      </c>
      <c r="J6" t="str">
        <f>_xlfn.XLOOKUP(Tabla1[[#This Row],[Dependencia]],Tabla3[Dependencia],Tabla3[Nivel],"Otros",0)</f>
        <v>Otros</v>
      </c>
    </row>
    <row r="7" spans="1:10" x14ac:dyDescent="0.25">
      <c r="A7" s="12">
        <v>46274</v>
      </c>
      <c r="B7" t="s">
        <v>68</v>
      </c>
      <c r="C7" t="s">
        <v>103</v>
      </c>
      <c r="D7" t="s">
        <v>12</v>
      </c>
      <c r="E7" t="s">
        <v>36</v>
      </c>
      <c r="F7" t="s">
        <v>2</v>
      </c>
      <c r="G7" t="s">
        <v>104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2">
        <v>46274</v>
      </c>
      <c r="B8" t="s">
        <v>68</v>
      </c>
      <c r="C8" t="s">
        <v>105</v>
      </c>
      <c r="D8" t="s">
        <v>12</v>
      </c>
      <c r="E8" t="s">
        <v>14</v>
      </c>
      <c r="F8" t="s">
        <v>14</v>
      </c>
      <c r="G8" t="s">
        <v>106</v>
      </c>
      <c r="H8" t="s">
        <v>11</v>
      </c>
      <c r="I8" t="str">
        <f>_xlfn.XLOOKUP(Tabla1[[#This Row],[Dependencia]],Tabla2[Dependencia],Tabla2[Clasificación],"XXX",0)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12">
        <v>46274</v>
      </c>
      <c r="B9" t="s">
        <v>68</v>
      </c>
      <c r="C9" t="s">
        <v>107</v>
      </c>
      <c r="D9" t="s">
        <v>108</v>
      </c>
      <c r="E9" t="s">
        <v>38</v>
      </c>
      <c r="F9" t="s">
        <v>38</v>
      </c>
      <c r="G9" t="s">
        <v>87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2">
        <v>46274</v>
      </c>
      <c r="B10" t="s">
        <v>68</v>
      </c>
      <c r="C10" t="s">
        <v>109</v>
      </c>
      <c r="D10" t="s">
        <v>12</v>
      </c>
      <c r="E10" t="s">
        <v>10</v>
      </c>
      <c r="F10" t="s">
        <v>10</v>
      </c>
      <c r="G10" t="s">
        <v>110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2">
        <v>46274</v>
      </c>
      <c r="B11" t="s">
        <v>71</v>
      </c>
      <c r="C11" t="s">
        <v>111</v>
      </c>
      <c r="D11" t="s">
        <v>9</v>
      </c>
      <c r="E11" t="s">
        <v>14</v>
      </c>
      <c r="F11" t="s">
        <v>97</v>
      </c>
      <c r="G11" t="s">
        <v>98</v>
      </c>
      <c r="H11" t="s">
        <v>11</v>
      </c>
      <c r="I11" t="str">
        <f>_xlfn.XLOOKUP(Tabla1[[#This Row],[Dependencia]],Tabla2[Dependencia],Tabla2[Clasificación],"XXX",0)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25">
      <c r="A12" s="12">
        <v>46274</v>
      </c>
      <c r="B12" t="s">
        <v>71</v>
      </c>
      <c r="C12" t="s">
        <v>112</v>
      </c>
      <c r="D12" t="s">
        <v>13</v>
      </c>
      <c r="E12" t="s">
        <v>14</v>
      </c>
      <c r="F12" t="s">
        <v>14</v>
      </c>
      <c r="G12" t="s">
        <v>93</v>
      </c>
      <c r="H12" t="s">
        <v>74</v>
      </c>
      <c r="I12" t="str">
        <f>_xlfn.XLOOKUP(Tabla1[[#This Row],[Dependencia]],Tabla2[Dependencia],Tabla2[Clasificación],"XXX",0)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12">
        <v>46274</v>
      </c>
      <c r="B13" t="s">
        <v>71</v>
      </c>
      <c r="C13" t="s">
        <v>113</v>
      </c>
      <c r="D13" t="s">
        <v>12</v>
      </c>
      <c r="E13" t="s">
        <v>23</v>
      </c>
      <c r="F13" t="s">
        <v>23</v>
      </c>
      <c r="G13" t="s">
        <v>114</v>
      </c>
      <c r="H13" t="s">
        <v>74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2">
        <v>46274</v>
      </c>
      <c r="B14" t="s">
        <v>71</v>
      </c>
      <c r="C14" t="s">
        <v>115</v>
      </c>
      <c r="D14" t="s">
        <v>12</v>
      </c>
      <c r="E14" t="s">
        <v>26</v>
      </c>
      <c r="F14" t="s">
        <v>116</v>
      </c>
      <c r="G14" t="s">
        <v>117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2">
        <v>46274</v>
      </c>
      <c r="B15" t="s">
        <v>71</v>
      </c>
      <c r="C15" t="s">
        <v>118</v>
      </c>
      <c r="D15" t="s">
        <v>12</v>
      </c>
      <c r="E15" t="s">
        <v>14</v>
      </c>
      <c r="F15" t="s">
        <v>119</v>
      </c>
      <c r="G15" t="s">
        <v>120</v>
      </c>
      <c r="H15" t="s">
        <v>11</v>
      </c>
      <c r="I15" t="str">
        <f>_xlfn.XLOOKUP(Tabla1[[#This Row],[Dependencia]],Tabla2[Dependencia],Tabla2[Clasificación],"XXX",0)</f>
        <v>Presidencia de la República</v>
      </c>
      <c r="J15" t="str">
        <f>_xlfn.XLOOKUP(Tabla1[[#This Row],[Dependencia]],Tabla3[Dependencia],Tabla3[Nivel],"Otros",0)</f>
        <v>Otros</v>
      </c>
    </row>
    <row r="16" spans="1:10" x14ac:dyDescent="0.25">
      <c r="A16" s="12">
        <v>46274</v>
      </c>
      <c r="B16" t="s">
        <v>71</v>
      </c>
      <c r="C16" t="s">
        <v>121</v>
      </c>
      <c r="D16" t="s">
        <v>12</v>
      </c>
      <c r="E16" t="s">
        <v>16</v>
      </c>
      <c r="F16" t="s">
        <v>16</v>
      </c>
      <c r="G16" t="s">
        <v>122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x14ac:dyDescent="0.25">
      <c r="A17" s="12">
        <v>46274</v>
      </c>
      <c r="B17" t="s">
        <v>67</v>
      </c>
      <c r="C17" t="s">
        <v>123</v>
      </c>
      <c r="D17" t="s">
        <v>12</v>
      </c>
      <c r="E17" t="s">
        <v>22</v>
      </c>
      <c r="F17" t="s">
        <v>22</v>
      </c>
      <c r="G17" t="s">
        <v>93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2">
        <v>46274</v>
      </c>
      <c r="B18" t="s">
        <v>67</v>
      </c>
      <c r="C18" t="s">
        <v>124</v>
      </c>
      <c r="D18" t="s">
        <v>9</v>
      </c>
      <c r="E18" t="s">
        <v>47</v>
      </c>
      <c r="F18" t="s">
        <v>2</v>
      </c>
      <c r="G18" t="s">
        <v>125</v>
      </c>
      <c r="H18" t="s">
        <v>74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2">
        <v>46274</v>
      </c>
      <c r="B19" t="s">
        <v>67</v>
      </c>
      <c r="C19" t="s">
        <v>126</v>
      </c>
      <c r="D19" t="s">
        <v>12</v>
      </c>
      <c r="E19" t="s">
        <v>10</v>
      </c>
      <c r="F19" t="s">
        <v>10</v>
      </c>
      <c r="G19" t="s">
        <v>127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2">
        <v>46274</v>
      </c>
      <c r="B20" t="s">
        <v>67</v>
      </c>
      <c r="C20" t="s">
        <v>128</v>
      </c>
      <c r="D20" t="s">
        <v>13</v>
      </c>
      <c r="E20" t="s">
        <v>14</v>
      </c>
      <c r="F20" t="s">
        <v>14</v>
      </c>
      <c r="G20" t="s">
        <v>129</v>
      </c>
      <c r="H20" t="s">
        <v>11</v>
      </c>
      <c r="I20" t="str">
        <f>_xlfn.XLOOKUP(Tabla1[[#This Row],[Dependencia]],Tabla2[Dependencia],Tabla2[Clasificación],"XXX",0)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25">
      <c r="A21" s="12">
        <v>46274</v>
      </c>
      <c r="B21" t="s">
        <v>67</v>
      </c>
      <c r="C21" t="s">
        <v>130</v>
      </c>
      <c r="D21" t="s">
        <v>12</v>
      </c>
      <c r="E21" t="s">
        <v>14</v>
      </c>
      <c r="F21" t="s">
        <v>14</v>
      </c>
      <c r="G21" t="s">
        <v>131</v>
      </c>
      <c r="H21" t="s">
        <v>70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12">
        <v>46274</v>
      </c>
      <c r="B22" t="s">
        <v>67</v>
      </c>
      <c r="C22" t="s">
        <v>132</v>
      </c>
      <c r="D22" t="s">
        <v>12</v>
      </c>
      <c r="E22" t="s">
        <v>10</v>
      </c>
      <c r="F22" t="s">
        <v>10</v>
      </c>
      <c r="G22" t="s">
        <v>133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2">
        <v>46274</v>
      </c>
      <c r="B23" t="s">
        <v>77</v>
      </c>
      <c r="C23" t="s">
        <v>134</v>
      </c>
      <c r="D23" t="s">
        <v>13</v>
      </c>
      <c r="E23" t="s">
        <v>14</v>
      </c>
      <c r="F23" t="s">
        <v>97</v>
      </c>
      <c r="G23" t="s">
        <v>98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12">
        <v>46274</v>
      </c>
      <c r="B24" t="s">
        <v>77</v>
      </c>
      <c r="C24" t="s">
        <v>135</v>
      </c>
      <c r="D24" t="s">
        <v>12</v>
      </c>
      <c r="E24" t="s">
        <v>61</v>
      </c>
      <c r="F24" t="s">
        <v>136</v>
      </c>
      <c r="G24" t="s">
        <v>137</v>
      </c>
      <c r="H24" t="s">
        <v>70</v>
      </c>
      <c r="I24" t="str">
        <f>_xlfn.XLOOKUP(Tabla1[[#This Row],[Dependencia]],Tabla2[Dependencia],Tabla2[Clasificación],"XXX",0)</f>
        <v>Sucesión gubernamental</v>
      </c>
      <c r="J24" t="str">
        <f>_xlfn.XLOOKUP(Tabla1[[#This Row],[Dependencia]],Tabla3[Dependencia],Tabla3[Nivel],"Otros",0)</f>
        <v>Otros</v>
      </c>
    </row>
    <row r="25" spans="1:10" x14ac:dyDescent="0.25">
      <c r="A25" s="12">
        <v>46274</v>
      </c>
      <c r="B25" t="s">
        <v>77</v>
      </c>
      <c r="C25" t="s">
        <v>138</v>
      </c>
      <c r="D25" t="s">
        <v>12</v>
      </c>
      <c r="E25" t="s">
        <v>22</v>
      </c>
      <c r="F25" t="s">
        <v>22</v>
      </c>
      <c r="G25" t="s">
        <v>93</v>
      </c>
      <c r="H25" t="s">
        <v>74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2">
        <v>46274</v>
      </c>
      <c r="B26" t="s">
        <v>77</v>
      </c>
      <c r="C26" t="s">
        <v>139</v>
      </c>
      <c r="D26" t="s">
        <v>9</v>
      </c>
      <c r="E26" t="s">
        <v>14</v>
      </c>
      <c r="F26" t="s">
        <v>14</v>
      </c>
      <c r="G26" t="s">
        <v>140</v>
      </c>
      <c r="H26" t="s">
        <v>70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12">
        <v>46274</v>
      </c>
      <c r="B27" t="s">
        <v>77</v>
      </c>
      <c r="C27" t="s">
        <v>141</v>
      </c>
      <c r="D27" t="s">
        <v>12</v>
      </c>
      <c r="E27" t="s">
        <v>23</v>
      </c>
      <c r="F27" t="s">
        <v>23</v>
      </c>
      <c r="G27" t="s">
        <v>142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12">
        <v>46274</v>
      </c>
      <c r="B28" t="s">
        <v>80</v>
      </c>
      <c r="C28" t="s">
        <v>143</v>
      </c>
      <c r="D28" t="s">
        <v>13</v>
      </c>
      <c r="E28" t="s">
        <v>14</v>
      </c>
      <c r="F28" t="s">
        <v>119</v>
      </c>
      <c r="G28" t="s">
        <v>120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12">
        <v>46274</v>
      </c>
      <c r="B29" t="s">
        <v>80</v>
      </c>
      <c r="C29" t="s">
        <v>144</v>
      </c>
      <c r="D29" t="s">
        <v>12</v>
      </c>
      <c r="E29" t="s">
        <v>16</v>
      </c>
      <c r="F29" t="s">
        <v>81</v>
      </c>
      <c r="G29" t="s">
        <v>145</v>
      </c>
      <c r="H29" t="s">
        <v>11</v>
      </c>
      <c r="I29" t="str">
        <f>_xlfn.XLOOKUP(Tabla1[[#This Row],[Dependencia]],Tabla2[Dependencia],Tabla2[Clasificación],"XXX",0)</f>
        <v>Alcaldías</v>
      </c>
      <c r="J29" t="str">
        <f>_xlfn.XLOOKUP(Tabla1[[#This Row],[Dependencia]],Tabla3[Dependencia],Tabla3[Nivel],"Otros",0)</f>
        <v>Otros</v>
      </c>
    </row>
    <row r="30" spans="1:10" x14ac:dyDescent="0.25">
      <c r="A30" s="12">
        <v>46274</v>
      </c>
      <c r="B30" t="s">
        <v>80</v>
      </c>
      <c r="C30" t="s">
        <v>146</v>
      </c>
      <c r="D30" t="s">
        <v>12</v>
      </c>
      <c r="E30" t="s">
        <v>16</v>
      </c>
      <c r="F30" t="s">
        <v>16</v>
      </c>
      <c r="G30" t="s">
        <v>147</v>
      </c>
      <c r="H30" t="s">
        <v>11</v>
      </c>
      <c r="I30" t="str">
        <f>_xlfn.XLOOKUP(Tabla1[[#This Row],[Dependencia]],Tabla2[Dependencia],Tabla2[Clasificación],"XXX",0)</f>
        <v>Alcaldías</v>
      </c>
      <c r="J30" t="str">
        <f>_xlfn.XLOOKUP(Tabla1[[#This Row],[Dependencia]],Tabla3[Dependencia],Tabla3[Nivel],"Otros",0)</f>
        <v>Otros</v>
      </c>
    </row>
    <row r="31" spans="1:10" x14ac:dyDescent="0.25">
      <c r="A31" s="12">
        <v>46274</v>
      </c>
      <c r="B31" t="s">
        <v>80</v>
      </c>
      <c r="C31" t="s">
        <v>148</v>
      </c>
      <c r="D31" t="s">
        <v>12</v>
      </c>
      <c r="E31" t="s">
        <v>16</v>
      </c>
      <c r="F31" t="s">
        <v>81</v>
      </c>
      <c r="G31" t="s">
        <v>85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x14ac:dyDescent="0.25">
      <c r="A32" s="12">
        <v>46274</v>
      </c>
      <c r="B32" t="s">
        <v>80</v>
      </c>
      <c r="C32" t="s">
        <v>149</v>
      </c>
      <c r="D32" t="s">
        <v>108</v>
      </c>
      <c r="E32" t="s">
        <v>23</v>
      </c>
      <c r="F32" t="s">
        <v>2</v>
      </c>
      <c r="G32" t="s">
        <v>114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12">
        <v>46274</v>
      </c>
      <c r="B33" t="s">
        <v>80</v>
      </c>
      <c r="C33" t="s">
        <v>150</v>
      </c>
      <c r="D33" t="s">
        <v>12</v>
      </c>
      <c r="E33" t="s">
        <v>36</v>
      </c>
      <c r="F33" t="s">
        <v>2</v>
      </c>
      <c r="G33" t="s">
        <v>95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2">
        <v>46274</v>
      </c>
      <c r="B34" t="s">
        <v>80</v>
      </c>
      <c r="C34" t="s">
        <v>151</v>
      </c>
      <c r="D34" t="s">
        <v>12</v>
      </c>
      <c r="E34" t="s">
        <v>10</v>
      </c>
      <c r="F34" t="s">
        <v>10</v>
      </c>
      <c r="G34" t="s">
        <v>152</v>
      </c>
      <c r="H34" t="s">
        <v>70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x14ac:dyDescent="0.25">
      <c r="A35" s="12">
        <v>46274</v>
      </c>
      <c r="B35" t="s">
        <v>80</v>
      </c>
      <c r="C35" t="s">
        <v>153</v>
      </c>
      <c r="D35" t="s">
        <v>12</v>
      </c>
      <c r="E35" t="s">
        <v>52</v>
      </c>
      <c r="F35" t="s">
        <v>52</v>
      </c>
      <c r="G35" t="s">
        <v>154</v>
      </c>
      <c r="H35" t="s">
        <v>70</v>
      </c>
      <c r="I35" t="str">
        <f>_xlfn.XLOOKUP(Tabla1[[#This Row],[Dependencia]],Tabla2[Dependencia],Tabla2[Clasificación],"XXX",0)</f>
        <v>Partidos</v>
      </c>
      <c r="J35" t="str">
        <f>_xlfn.XLOOKUP(Tabla1[[#This Row],[Dependencia]],Tabla3[Dependencia],Tabla3[Nivel],"Otros",0)</f>
        <v>Otros</v>
      </c>
    </row>
    <row r="36" spans="1:10" x14ac:dyDescent="0.25">
      <c r="A36" s="12">
        <v>46274</v>
      </c>
      <c r="B36" t="s">
        <v>80</v>
      </c>
      <c r="C36" t="s">
        <v>155</v>
      </c>
      <c r="D36" t="s">
        <v>12</v>
      </c>
      <c r="E36" t="s">
        <v>59</v>
      </c>
      <c r="F36" t="s">
        <v>59</v>
      </c>
      <c r="G36" t="s">
        <v>84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12">
        <v>46274</v>
      </c>
      <c r="B37" t="s">
        <v>73</v>
      </c>
      <c r="C37" t="s">
        <v>156</v>
      </c>
      <c r="D37" t="s">
        <v>12</v>
      </c>
      <c r="E37" t="s">
        <v>157</v>
      </c>
      <c r="F37" t="s">
        <v>157</v>
      </c>
      <c r="G37" t="s">
        <v>158</v>
      </c>
      <c r="H37" t="s">
        <v>11</v>
      </c>
      <c r="I37" t="str">
        <f>_xlfn.XLOOKUP(Tabla1[[#This Row],[Dependencia]],Tabla2[Dependencia],Tabla2[Clasificación],"XXX",0)</f>
        <v>XXX</v>
      </c>
      <c r="J37" t="str">
        <f>_xlfn.XLOOKUP(Tabla1[[#This Row],[Dependencia]],Tabla3[Dependencia],Tabla3[Nivel],"Otros",0)</f>
        <v>Otros</v>
      </c>
    </row>
    <row r="38" spans="1:10" x14ac:dyDescent="0.25">
      <c r="A38" s="12">
        <v>46274</v>
      </c>
      <c r="B38" t="s">
        <v>73</v>
      </c>
      <c r="C38" t="s">
        <v>159</v>
      </c>
      <c r="D38" t="s">
        <v>12</v>
      </c>
      <c r="E38" t="s">
        <v>10</v>
      </c>
      <c r="F38" t="s">
        <v>10</v>
      </c>
      <c r="G38" t="s">
        <v>160</v>
      </c>
      <c r="H38" t="s">
        <v>70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12">
        <v>46274</v>
      </c>
      <c r="B39" t="s">
        <v>73</v>
      </c>
      <c r="C39" t="s">
        <v>161</v>
      </c>
      <c r="D39" t="s">
        <v>12</v>
      </c>
      <c r="E39" t="s">
        <v>10</v>
      </c>
      <c r="F39" t="s">
        <v>10</v>
      </c>
      <c r="G39" t="s">
        <v>162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12">
        <v>46274</v>
      </c>
      <c r="B40" t="s">
        <v>73</v>
      </c>
      <c r="C40" t="s">
        <v>163</v>
      </c>
      <c r="D40" t="s">
        <v>12</v>
      </c>
      <c r="E40" t="s">
        <v>10</v>
      </c>
      <c r="F40" t="s">
        <v>10</v>
      </c>
      <c r="G40" t="s">
        <v>72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12">
        <v>46274</v>
      </c>
      <c r="B41" t="s">
        <v>73</v>
      </c>
      <c r="C41" t="s">
        <v>164</v>
      </c>
      <c r="D41" t="s">
        <v>9</v>
      </c>
      <c r="E41" t="s">
        <v>10</v>
      </c>
      <c r="F41" t="s">
        <v>10</v>
      </c>
      <c r="G41" t="s">
        <v>72</v>
      </c>
      <c r="H41" t="s">
        <v>74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12">
        <v>46274</v>
      </c>
      <c r="B42" t="s">
        <v>73</v>
      </c>
      <c r="C42" t="s">
        <v>165</v>
      </c>
      <c r="D42" t="s">
        <v>12</v>
      </c>
      <c r="E42" t="s">
        <v>36</v>
      </c>
      <c r="F42" t="s">
        <v>2</v>
      </c>
      <c r="G42" t="s">
        <v>166</v>
      </c>
      <c r="H42" t="s">
        <v>74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12">
        <v>46274</v>
      </c>
      <c r="B43" t="s">
        <v>73</v>
      </c>
      <c r="C43" t="s">
        <v>167</v>
      </c>
      <c r="D43" t="s">
        <v>13</v>
      </c>
      <c r="E43" t="s">
        <v>16</v>
      </c>
      <c r="F43" t="s">
        <v>81</v>
      </c>
      <c r="G43" t="s">
        <v>168</v>
      </c>
      <c r="H43" t="s">
        <v>70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x14ac:dyDescent="0.25">
      <c r="A44" s="12">
        <v>46274</v>
      </c>
      <c r="B44" t="s">
        <v>79</v>
      </c>
      <c r="C44" t="s">
        <v>169</v>
      </c>
      <c r="D44" t="s">
        <v>12</v>
      </c>
      <c r="E44" t="s">
        <v>36</v>
      </c>
      <c r="F44" t="s">
        <v>2</v>
      </c>
      <c r="G44" t="s">
        <v>166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2">
        <v>46274</v>
      </c>
      <c r="B45" t="s">
        <v>79</v>
      </c>
      <c r="C45" t="s">
        <v>170</v>
      </c>
      <c r="D45" t="s">
        <v>12</v>
      </c>
      <c r="E45" t="s">
        <v>10</v>
      </c>
      <c r="F45" t="s">
        <v>10</v>
      </c>
      <c r="G45" t="s">
        <v>171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x14ac:dyDescent="0.25">
      <c r="A46" s="12">
        <v>46274</v>
      </c>
      <c r="B46" t="s">
        <v>79</v>
      </c>
      <c r="C46" t="s">
        <v>172</v>
      </c>
      <c r="D46" t="s">
        <v>12</v>
      </c>
      <c r="E46" t="s">
        <v>24</v>
      </c>
      <c r="F46" t="s">
        <v>24</v>
      </c>
      <c r="G46" t="s">
        <v>173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Gobernador</v>
      </c>
    </row>
    <row r="47" spans="1:10" x14ac:dyDescent="0.25">
      <c r="A47" s="12">
        <v>46274</v>
      </c>
      <c r="B47" t="s">
        <v>79</v>
      </c>
      <c r="C47" t="s">
        <v>174</v>
      </c>
      <c r="D47" t="s">
        <v>12</v>
      </c>
      <c r="E47" t="s">
        <v>23</v>
      </c>
      <c r="F47" t="s">
        <v>2</v>
      </c>
      <c r="G47" t="s">
        <v>142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2">
        <v>46274</v>
      </c>
      <c r="B48" t="s">
        <v>79</v>
      </c>
      <c r="C48" t="s">
        <v>175</v>
      </c>
      <c r="D48" t="s">
        <v>12</v>
      </c>
      <c r="E48" t="s">
        <v>16</v>
      </c>
      <c r="F48" t="s">
        <v>81</v>
      </c>
      <c r="G48" t="s">
        <v>176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12">
        <v>46274</v>
      </c>
      <c r="B49" t="s">
        <v>79</v>
      </c>
      <c r="C49" t="s">
        <v>177</v>
      </c>
      <c r="D49" t="s">
        <v>13</v>
      </c>
      <c r="E49" t="s">
        <v>16</v>
      </c>
      <c r="F49" t="s">
        <v>81</v>
      </c>
      <c r="G49" t="s">
        <v>178</v>
      </c>
      <c r="H49" t="s">
        <v>74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12">
        <v>46274</v>
      </c>
      <c r="B50" t="s">
        <v>79</v>
      </c>
      <c r="C50" t="s">
        <v>179</v>
      </c>
      <c r="D50" t="s">
        <v>180</v>
      </c>
      <c r="E50" t="s">
        <v>24</v>
      </c>
      <c r="F50" t="s">
        <v>24</v>
      </c>
      <c r="G50" t="s">
        <v>181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x14ac:dyDescent="0.25">
      <c r="A51" s="12">
        <v>46274</v>
      </c>
      <c r="B51" t="s">
        <v>79</v>
      </c>
      <c r="C51" t="s">
        <v>182</v>
      </c>
      <c r="D51" t="s">
        <v>12</v>
      </c>
      <c r="E51" t="s">
        <v>10</v>
      </c>
      <c r="F51" t="s">
        <v>10</v>
      </c>
      <c r="G51" t="s">
        <v>183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x14ac:dyDescent="0.25">
      <c r="A52" s="12">
        <v>46274</v>
      </c>
      <c r="B52" t="s">
        <v>79</v>
      </c>
      <c r="C52" t="s">
        <v>90</v>
      </c>
      <c r="D52" t="s">
        <v>83</v>
      </c>
      <c r="E52" t="s">
        <v>10</v>
      </c>
      <c r="F52" t="s">
        <v>10</v>
      </c>
      <c r="G52" t="s">
        <v>86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12">
        <v>46274</v>
      </c>
      <c r="B53" t="s">
        <v>76</v>
      </c>
      <c r="C53" t="s">
        <v>184</v>
      </c>
      <c r="D53" t="s">
        <v>13</v>
      </c>
      <c r="E53" t="s">
        <v>14</v>
      </c>
      <c r="F53" t="s">
        <v>97</v>
      </c>
      <c r="G53" t="s">
        <v>98</v>
      </c>
      <c r="H53" t="s">
        <v>11</v>
      </c>
      <c r="I53" t="str">
        <f>_xlfn.XLOOKUP(Tabla1[[#This Row],[Dependencia]],Tabla2[Dependencia],Tabla2[Clasificación],"XXX",0)</f>
        <v>Presidencia de la República</v>
      </c>
      <c r="J53" t="str">
        <f>_xlfn.XLOOKUP(Tabla1[[#This Row],[Dependencia]],Tabla3[Dependencia],Tabla3[Nivel],"Otros",0)</f>
        <v>Otros</v>
      </c>
    </row>
    <row r="54" spans="1:10" x14ac:dyDescent="0.25">
      <c r="A54" s="12">
        <v>46274</v>
      </c>
      <c r="B54" t="s">
        <v>76</v>
      </c>
      <c r="C54" t="s">
        <v>174</v>
      </c>
      <c r="D54" t="s">
        <v>12</v>
      </c>
      <c r="E54" t="s">
        <v>23</v>
      </c>
      <c r="F54" t="s">
        <v>2</v>
      </c>
      <c r="G54" t="s">
        <v>142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12">
        <v>46274</v>
      </c>
      <c r="B55" t="s">
        <v>76</v>
      </c>
      <c r="C55" t="s">
        <v>185</v>
      </c>
      <c r="D55" t="s">
        <v>12</v>
      </c>
      <c r="E55" t="s">
        <v>22</v>
      </c>
      <c r="F55" t="s">
        <v>22</v>
      </c>
      <c r="G55" t="s">
        <v>186</v>
      </c>
      <c r="H55" t="s">
        <v>70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2">
        <v>46274</v>
      </c>
      <c r="B56" t="s">
        <v>76</v>
      </c>
      <c r="C56" t="s">
        <v>187</v>
      </c>
      <c r="D56" t="s">
        <v>83</v>
      </c>
      <c r="E56" t="s">
        <v>38</v>
      </c>
      <c r="F56" t="s">
        <v>38</v>
      </c>
      <c r="G56" t="s">
        <v>82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2">
        <v>46274</v>
      </c>
      <c r="B57" t="s">
        <v>76</v>
      </c>
      <c r="C57" t="s">
        <v>188</v>
      </c>
      <c r="D57" t="s">
        <v>12</v>
      </c>
      <c r="E57" t="s">
        <v>35</v>
      </c>
      <c r="F57" t="s">
        <v>35</v>
      </c>
      <c r="G57" t="s">
        <v>181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12">
        <v>46274</v>
      </c>
      <c r="B58" t="s">
        <v>76</v>
      </c>
      <c r="C58" t="s">
        <v>189</v>
      </c>
      <c r="D58" t="s">
        <v>12</v>
      </c>
      <c r="E58" t="s">
        <v>26</v>
      </c>
      <c r="F58" t="s">
        <v>2</v>
      </c>
      <c r="G58" t="s">
        <v>91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2">
        <v>46274</v>
      </c>
      <c r="B59" t="s">
        <v>76</v>
      </c>
      <c r="C59" t="s">
        <v>190</v>
      </c>
      <c r="D59" t="s">
        <v>83</v>
      </c>
      <c r="E59" t="s">
        <v>16</v>
      </c>
      <c r="F59" t="s">
        <v>16</v>
      </c>
      <c r="G59" t="s">
        <v>191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12">
        <v>46274</v>
      </c>
      <c r="B60" t="s">
        <v>75</v>
      </c>
      <c r="C60" t="s">
        <v>192</v>
      </c>
      <c r="D60" t="s">
        <v>13</v>
      </c>
      <c r="E60" t="s">
        <v>60</v>
      </c>
      <c r="F60" t="s">
        <v>60</v>
      </c>
      <c r="G60" t="s">
        <v>193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x14ac:dyDescent="0.25">
      <c r="A61" s="12">
        <v>46274</v>
      </c>
      <c r="B61" t="s">
        <v>75</v>
      </c>
      <c r="C61" t="s">
        <v>194</v>
      </c>
      <c r="D61" t="s">
        <v>9</v>
      </c>
      <c r="E61" t="s">
        <v>14</v>
      </c>
      <c r="F61" t="s">
        <v>14</v>
      </c>
      <c r="G61" t="s">
        <v>195</v>
      </c>
      <c r="H61" t="s">
        <v>11</v>
      </c>
      <c r="I61" t="str">
        <f>_xlfn.XLOOKUP(Tabla1[[#This Row],[Dependencia]],Tabla2[Dependencia],Tabla2[Clasificación],"XXX",0)</f>
        <v>Presidencia de la República</v>
      </c>
      <c r="J61" t="str">
        <f>_xlfn.XLOOKUP(Tabla1[[#This Row],[Dependencia]],Tabla3[Dependencia],Tabla3[Nivel],"Otros",0)</f>
        <v>Otros</v>
      </c>
    </row>
    <row r="62" spans="1:10" x14ac:dyDescent="0.25">
      <c r="A62" s="12">
        <v>46274</v>
      </c>
      <c r="B62" t="s">
        <v>75</v>
      </c>
      <c r="C62" t="s">
        <v>196</v>
      </c>
      <c r="D62" t="s">
        <v>12</v>
      </c>
      <c r="E62" t="s">
        <v>10</v>
      </c>
      <c r="F62" t="s">
        <v>10</v>
      </c>
      <c r="G62" t="s">
        <v>197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12">
        <v>46274</v>
      </c>
      <c r="B63" t="s">
        <v>75</v>
      </c>
      <c r="C63" t="s">
        <v>198</v>
      </c>
      <c r="D63" t="s">
        <v>199</v>
      </c>
      <c r="E63" t="s">
        <v>61</v>
      </c>
      <c r="F63" t="s">
        <v>136</v>
      </c>
      <c r="G63" t="s">
        <v>137</v>
      </c>
      <c r="H63" t="s">
        <v>70</v>
      </c>
      <c r="I63" t="str">
        <f>_xlfn.XLOOKUP(Tabla1[[#This Row],[Dependencia]],Tabla2[Dependencia],Tabla2[Clasificación],"XXX",0)</f>
        <v>Sucesión gubernamental</v>
      </c>
      <c r="J63" t="str">
        <f>_xlfn.XLOOKUP(Tabla1[[#This Row],[Dependencia]],Tabla3[Dependencia],Tabla3[Nivel],"Otros",0)</f>
        <v>Otros</v>
      </c>
    </row>
    <row r="64" spans="1:10" x14ac:dyDescent="0.25">
      <c r="A64" s="12">
        <v>46274</v>
      </c>
      <c r="B64" t="s">
        <v>75</v>
      </c>
      <c r="C64" t="s">
        <v>200</v>
      </c>
      <c r="D64" t="s">
        <v>12</v>
      </c>
      <c r="E64" t="s">
        <v>22</v>
      </c>
      <c r="F64" t="s">
        <v>22</v>
      </c>
      <c r="G64" t="s">
        <v>93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2">
        <v>46274</v>
      </c>
      <c r="B65" t="s">
        <v>75</v>
      </c>
      <c r="C65" t="s">
        <v>201</v>
      </c>
      <c r="D65" t="s">
        <v>12</v>
      </c>
      <c r="E65" t="s">
        <v>14</v>
      </c>
      <c r="F65" t="s">
        <v>97</v>
      </c>
      <c r="G65" t="s">
        <v>98</v>
      </c>
      <c r="H65" t="s">
        <v>11</v>
      </c>
      <c r="I65" t="str">
        <f>_xlfn.XLOOKUP(Tabla1[[#This Row],[Dependencia]],Tabla2[Dependencia],Tabla2[Clasificación],"XXX",0)</f>
        <v>Presidencia de la República</v>
      </c>
      <c r="J65" t="str">
        <f>_xlfn.XLOOKUP(Tabla1[[#This Row],[Dependencia]],Tabla3[Dependencia],Tabla3[Nivel],"Otros",0)</f>
        <v>Otros</v>
      </c>
    </row>
    <row r="66" spans="1:10" x14ac:dyDescent="0.25">
      <c r="A66" s="12">
        <v>46274</v>
      </c>
      <c r="B66" t="s">
        <v>75</v>
      </c>
      <c r="C66" t="s">
        <v>202</v>
      </c>
      <c r="D66" t="s">
        <v>12</v>
      </c>
      <c r="E66" t="s">
        <v>24</v>
      </c>
      <c r="F66" t="s">
        <v>24</v>
      </c>
      <c r="G66" t="s">
        <v>88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Gobernador</v>
      </c>
    </row>
    <row r="67" spans="1:10" x14ac:dyDescent="0.25">
      <c r="A67" s="12">
        <v>46274</v>
      </c>
      <c r="B67" t="s">
        <v>75</v>
      </c>
      <c r="C67" t="s">
        <v>203</v>
      </c>
      <c r="D67" t="s">
        <v>12</v>
      </c>
      <c r="E67" t="s">
        <v>23</v>
      </c>
      <c r="F67" t="s">
        <v>2</v>
      </c>
      <c r="G67" t="s">
        <v>142</v>
      </c>
      <c r="H67" t="s">
        <v>11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2026-09-10T01:02:42Z</dcterms:modified>
</cp:coreProperties>
</file>