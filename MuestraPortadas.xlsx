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B2C9122A-58C2-4552-B872-40B809FED4F0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I2" i="1"/>
  <c r="J2" i="1"/>
</calcChain>
</file>

<file path=xl/sharedStrings.xml><?xml version="1.0" encoding="utf-8"?>
<sst xmlns="http://schemas.openxmlformats.org/spreadsheetml/2006/main" count="580" uniqueCount="184">
  <si>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</si>
  <si>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</si>
  <si>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</si>
  <si>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</si>
  <si>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</si>
  <si>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</si>
  <si>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</si>
  <si>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</si>
  <si>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</si>
  <si>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</si>
  <si>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</si>
  <si>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</si>
  <si>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</si>
  <si>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</si>
  <si>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</si>
  <si>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</si>
  <si>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</si>
  <si>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</si>
  <si>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</si>
  <si>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</si>
  <si>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</si>
  <si>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</si>
  <si>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</si>
  <si>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</si>
  <si>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</si>
  <si>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</si>
  <si>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</si>
  <si>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</si>
  <si>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</si>
  <si>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</si>
  <si>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</si>
  <si>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</si>
  <si>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</si>
  <si>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</si>
  <si>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</si>
  <si>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</si>
  <si>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</si>
  <si>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</si>
  <si>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</si>
  <si>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</si>
  <si>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</si>
  <si>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</si>
  <si>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</si>
  <si>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</si>
  <si>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</si>
  <si>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</si>
  <si>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</si>
  <si>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</si>
  <si>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</si>
  <si>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</si>
  <si>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</si>
  <si>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</si>
  <si>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</si>
  <si>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</si>
  <si>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</si>
  <si>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</si>
  <si>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</si>
  <si>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</si>
  <si>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</si>
  <si>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</si>
  <si>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</si>
  <si>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</si>
  <si>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</si>
  <si>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</si>
  <si>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</si>
  <si>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</si>
  <si>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</si>
  <si>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</si>
  <si>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</si>
  <si>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</si>
  <si>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</si>
  <si>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</si>
  <si>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</si>
  <si>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Deportes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</si>
  <si>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</si>
  <si>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</si>
  <si>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</si>
  <si>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</si>
  <si>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</si>
  <si>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</si>
  <si>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</si>
  <si>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</si>
  <si>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Usa el puente peatonal</t>
  </si>
  <si>
    <t>Editorial</t>
  </si>
  <si>
    <t>Positiva</t>
  </si>
  <si>
    <t>Aumento Tarifa De Transporte</t>
  </si>
  <si>
    <t>Iniciativa</t>
  </si>
  <si>
    <t>Mundial De Futbol</t>
  </si>
  <si>
    <t>Sitmah</t>
  </si>
  <si>
    <t>La Jornada Hidalgo</t>
  </si>
  <si>
    <t>Huracán Priscilla</t>
  </si>
  <si>
    <t>Alianzas Electorales</t>
  </si>
  <si>
    <t>alcalde</t>
  </si>
  <si>
    <t>Gusano barrenador</t>
  </si>
  <si>
    <t>Coespo</t>
  </si>
  <si>
    <t>Prevención De Embarazo Adolescente</t>
  </si>
  <si>
    <t>Máquina del tiempo</t>
  </si>
  <si>
    <t>Entrega De Apoyos</t>
  </si>
  <si>
    <t>Aumenta el precio del jitomate en 126%: Inegi</t>
  </si>
  <si>
    <t>Señalan comerciantes nuevo deterioro en piso</t>
  </si>
  <si>
    <t>Rehabilitación De Mercados</t>
  </si>
  <si>
    <t>Dicen no a la veda taurina</t>
  </si>
  <si>
    <t>Tauromaquia</t>
  </si>
  <si>
    <t>Crece la presencia de mariposa monarca</t>
  </si>
  <si>
    <t>Coesbioh</t>
  </si>
  <si>
    <t>Conservación Biodiversidad</t>
  </si>
  <si>
    <t>Desalojan a comerciantes de Plaza Constitución</t>
  </si>
  <si>
    <t>Ambulantaje</t>
  </si>
  <si>
    <t>Hidalgo obtiene alta calificación con HR Ratings</t>
  </si>
  <si>
    <t>Calificación crediticia</t>
  </si>
  <si>
    <t>Retiran a comerciantes</t>
  </si>
  <si>
    <t>Inclusión mediante la música</t>
  </si>
  <si>
    <t>Morena descarta ruptura con PVEM</t>
  </si>
  <si>
    <t>Buscan resolver violencia escolar</t>
  </si>
  <si>
    <t>Violencia Escolar</t>
  </si>
  <si>
    <t>Criterio</t>
  </si>
  <si>
    <t>Pachuca factura con los Rayados</t>
  </si>
  <si>
    <t>NOCHE DE LUCHA  IMPERDIBLE P13 3</t>
  </si>
  <si>
    <t>GANAN DOS ALCALDES MÁS QUE MENCHACA</t>
  </si>
  <si>
    <t>Tabulador salarial</t>
  </si>
  <si>
    <t>Protestan para exigir consulta indígena sobre la tauromaquia</t>
  </si>
  <si>
    <t>Retiran puestos ambulantes de plaza constitución</t>
  </si>
  <si>
    <t>Concesionarios esperan alza en el pasaje entre 12 y 12.50 pesos</t>
  </si>
  <si>
    <t>Exigen justicia para Iván; dicen que el caso no tiene avances</t>
  </si>
  <si>
    <t>Exigen esclarecer homicidio</t>
  </si>
  <si>
    <t>Adiós concesionarios; estado tomará control del sistema Tuzobús</t>
  </si>
  <si>
    <t>Modernización Tuzobús</t>
  </si>
  <si>
    <t>Proponen eliminar una sindicatura y regidores</t>
  </si>
  <si>
    <t>Plan B</t>
  </si>
  <si>
    <t>Cmabio en la SSPP era parte de un plan: Reyes</t>
  </si>
  <si>
    <t>Nombramientos</t>
  </si>
  <si>
    <t>Ponga fin a la ansiedad financiera</t>
  </si>
  <si>
    <t>El estado se ubica entre los que más disminuyen el embarazo infantil</t>
  </si>
  <si>
    <t>Piden no cancelar corridas; va nueva ley</t>
  </si>
  <si>
    <t>El Verde mete presión a Morena y exige ""respeto"" a las encuestas</t>
  </si>
  <si>
    <t>González Iñárritu y Tom Cruise agitan Las Vegas con Digger</t>
  </si>
  <si>
    <t>Congreso propondrá endurecer penas a choferes homicidas</t>
  </si>
  <si>
    <t>Ratifican positiva calificación crediticia</t>
  </si>
  <si>
    <t>Fracking, hasta tener evaluación soberana</t>
  </si>
  <si>
    <t>Fracking</t>
  </si>
  <si>
    <t>Comunidad sale a las calles contra iniciativa antitaurina</t>
  </si>
  <si>
    <t>El Clima ha dejado de ser una variable predecible para convertirse en un adversario</t>
  </si>
  <si>
    <t>HR Ratings reonoce a Hidalgo por su disciplina financiera y eleva su perspectiva de estable a positiva</t>
  </si>
  <si>
    <t>Plaza Constitución será liberada de vendedores ambulantes este jueves: Jorge Reyes</t>
  </si>
  <si>
    <t>Amaga chofer de transporte público con agredir con machete a automovilista</t>
  </si>
  <si>
    <t>Pelea transportistas</t>
  </si>
  <si>
    <t>Taurinos marchan en contra de prohibir la fiesta brava en Hidalgo</t>
  </si>
  <si>
    <t>Atiende gobierno derrumbe en carretera tianguistengo-Yatipán</t>
  </si>
  <si>
    <t>Sipdus</t>
  </si>
  <si>
    <t>Derrumbe Carretero</t>
  </si>
  <si>
    <t>EXHORTA REGLAMENTOS DE HUEJUTLAA COMERCIOS A REGULARIZAR ADEUDOS.</t>
  </si>
  <si>
    <t>Actualización de reglamentos</t>
  </si>
  <si>
    <t>Sin respuesta de rebombeo en Tepeco</t>
  </si>
  <si>
    <t>Agua</t>
  </si>
  <si>
    <t>Abasto De Agua</t>
  </si>
  <si>
    <t>Huejutla se suma al Mundial Social</t>
  </si>
  <si>
    <t>HR Ratings ratifica a Hidalgo con alta calificación</t>
  </si>
  <si>
    <t>Desalojo nocturno en Plaza Constitución</t>
  </si>
  <si>
    <t>Hidalgo frena el embarazo infantil</t>
  </si>
  <si>
    <t>Penas más duras contra choferes</t>
  </si>
  <si>
    <t>Corridas sin muerte</t>
  </si>
  <si>
    <t>ALerta ganadera</t>
  </si>
  <si>
    <t>Taurinos exigen consulta indígena antes de prohibir corridas de toros en Hidalgo</t>
  </si>
  <si>
    <t>Cintillo</t>
  </si>
  <si>
    <t>DIF Tula busca ampliar hasta 40% su cobertura y recaudación sin aumentar costos</t>
  </si>
  <si>
    <t>Más de 100 familias beneficiadas en Programa Hogares en Transformación</t>
  </si>
  <si>
    <t>HR Ratings ratifica a Hidalgo con alta calificación y eleva su perspectiva de estable a positiva</t>
  </si>
  <si>
    <t>Tezontepec, Pachuca, Tlahuelilpan, Tlaxcoapan, Ajacuba y Tula, entre los municipios que estrenarán cancha de Futbol 5</t>
  </si>
  <si>
    <t>Cristhian Martínez impulsa la mejora de infraestructura con presupuesto participativo en la colonia Iturbe</t>
  </si>
  <si>
    <t>¡Última oportunidad Tula-Tepeji!</t>
  </si>
  <si>
    <t>Infonavit</t>
  </si>
  <si>
    <t>Plan Nacional De Vivienda</t>
  </si>
  <si>
    <t>ochoHR Ratings ratifica a Hidalgo con su alta calificación y eleva su perspectiva de estable a positiva</t>
  </si>
  <si>
    <t>Este jueves vacunación contra sarampión en Parque Hidalgo</t>
  </si>
  <si>
    <t>Sarampión</t>
  </si>
  <si>
    <t>Refuerzan acciones de salud pública ante el Mundial Fifa 2026</t>
  </si>
  <si>
    <t>Firman convenio para proyectos deportivos comunitarios</t>
  </si>
  <si>
    <t>Firma De Convenio</t>
  </si>
  <si>
    <t>Elevan la perspectiva de Hidalgo de ""Estable"" a ""Positiva""</t>
  </si>
  <si>
    <t>La Fiesta Brava es un acto de crueldad animal: Avelino Tovar</t>
  </si>
  <si>
    <t>GLPVEM</t>
  </si>
  <si>
    <t>En momentos que padecemos asesinatos y desapariciones de miles de mexicanos, el diputado Avelino del partido Verde, se preocupa más por el sufrimiento de los toros</t>
  </si>
  <si>
    <t>Trabajador atrapado en mina de Sinaloa sería hidalguense</t>
  </si>
  <si>
    <t>Rescate de persona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</si>
</sst>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topLeftCell="A50" workbookViewId="0">
      <selection activeCell="A59" sqref="A59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71</v>
      </c>
    </row>
    <row r="2" spans="1:10" x14ac:dyDescent="0.35">
      <c r="A2" s="5">
        <v>46128</v>
      </c>
      <c r="B2" t="s">
        <v>80</v>
      </c>
      <c r="C2" s="6" t="s">
        <v>98</v>
      </c>
      <c r="D2" t="s">
        <v>13</v>
      </c>
      <c r="E2" t="s">
        <v>10</v>
      </c>
      <c r="F2" t="s">
        <v>10</v>
      </c>
      <c r="G2" t="s">
        <v>68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46128</v>
      </c>
      <c r="B3" t="s">
        <v>80</v>
      </c>
      <c r="C3" s="6" t="s">
        <v>99</v>
      </c>
      <c r="D3" t="s">
        <v>12</v>
      </c>
      <c r="E3" t="s">
        <v>17</v>
      </c>
      <c r="F3" t="s">
        <v>17</v>
      </c>
      <c r="G3" t="s">
        <v>100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46128</v>
      </c>
      <c r="B4" t="s">
        <v>80</v>
      </c>
      <c r="C4" s="6" t="s">
        <v>101</v>
      </c>
      <c r="D4" t="s">
        <v>12</v>
      </c>
      <c r="E4" t="s">
        <v>36</v>
      </c>
      <c r="F4" t="s">
        <v>36</v>
      </c>
      <c r="G4" t="s">
        <v>102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46128</v>
      </c>
      <c r="B5" t="s">
        <v>80</v>
      </c>
      <c r="C5" s="6" t="s">
        <v>103</v>
      </c>
      <c r="D5" t="s">
        <v>12</v>
      </c>
      <c r="E5" t="s">
        <v>21</v>
      </c>
      <c r="F5" t="s">
        <v>104</v>
      </c>
      <c r="G5" t="s">
        <v>105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5">
        <v>46128</v>
      </c>
      <c r="B6" t="s">
        <v>80</v>
      </c>
      <c r="C6" s="6" t="s">
        <v>106</v>
      </c>
      <c r="D6" t="s">
        <v>9</v>
      </c>
      <c r="E6" t="s">
        <v>17</v>
      </c>
      <c r="F6" t="s">
        <v>17</v>
      </c>
      <c r="G6" t="s">
        <v>107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46128</v>
      </c>
      <c r="B7" t="s">
        <v>69</v>
      </c>
      <c r="C7" s="6" t="s">
        <v>108</v>
      </c>
      <c r="D7" t="s">
        <v>13</v>
      </c>
      <c r="E7" t="s">
        <v>42</v>
      </c>
      <c r="F7" t="s">
        <v>42</v>
      </c>
      <c r="G7" t="s">
        <v>109</v>
      </c>
      <c r="H7" t="s">
        <v>84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46128</v>
      </c>
      <c r="B8" t="s">
        <v>69</v>
      </c>
      <c r="C8" s="6" t="s">
        <v>110</v>
      </c>
      <c r="D8" t="s">
        <v>9</v>
      </c>
      <c r="E8" t="s">
        <v>17</v>
      </c>
      <c r="F8" t="s">
        <v>17</v>
      </c>
      <c r="G8" t="s">
        <v>107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46128</v>
      </c>
      <c r="B9" t="s">
        <v>69</v>
      </c>
      <c r="C9" s="6" t="s">
        <v>111</v>
      </c>
      <c r="D9" t="s">
        <v>112</v>
      </c>
      <c r="E9" t="s">
        <v>19</v>
      </c>
      <c r="F9" t="s">
        <v>2</v>
      </c>
      <c r="G9" t="s">
        <v>91</v>
      </c>
      <c r="H9" t="s">
        <v>11</v>
      </c>
      <c r="I9" t="str">
        <f>_xlfn.XLOOKUP(Tabla1[[#This Row],[Dependencia]],Tabla2[Dependencia],Tabla2[Clasificación],"No indexado")</f>
        <v>Partidos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46128</v>
      </c>
      <c r="B10" t="s">
        <v>69</v>
      </c>
      <c r="C10" s="6" t="s">
        <v>113</v>
      </c>
      <c r="D10" t="s">
        <v>12</v>
      </c>
      <c r="E10" t="s">
        <v>36</v>
      </c>
      <c r="F10" t="s">
        <v>36</v>
      </c>
      <c r="G10" t="s">
        <v>114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46128</v>
      </c>
      <c r="B11" t="s">
        <v>115</v>
      </c>
      <c r="C11" s="6" t="s">
        <v>116</v>
      </c>
      <c r="D11" t="s">
        <v>12</v>
      </c>
      <c r="E11" t="s">
        <v>10</v>
      </c>
      <c r="F11" t="s">
        <v>10</v>
      </c>
      <c r="G11" t="s">
        <v>73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46128</v>
      </c>
      <c r="B12" t="s">
        <v>115</v>
      </c>
      <c r="C12" s="6" t="s">
        <v>117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46128</v>
      </c>
      <c r="B13" t="s">
        <v>115</v>
      </c>
      <c r="C13" s="6" t="s">
        <v>118</v>
      </c>
      <c r="D13" t="s">
        <v>13</v>
      </c>
      <c r="E13" t="s">
        <v>17</v>
      </c>
      <c r="F13" t="s">
        <v>17</v>
      </c>
      <c r="G13" t="s">
        <v>119</v>
      </c>
      <c r="H13" t="s">
        <v>16</v>
      </c>
      <c r="I13" t="str">
        <f>_xlfn.XLOOKUP(Tabla1[[#This Row],[Dependencia]],Tabla2[Dependencia],Tabla2[Clasificación],"No indexado")</f>
        <v>Alcaldías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46128</v>
      </c>
      <c r="B14" t="s">
        <v>115</v>
      </c>
      <c r="C14" s="6" t="s">
        <v>120</v>
      </c>
      <c r="D14" t="s">
        <v>12</v>
      </c>
      <c r="E14" t="s">
        <v>10</v>
      </c>
      <c r="F14" t="s">
        <v>10</v>
      </c>
      <c r="G14" t="s">
        <v>102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46128</v>
      </c>
      <c r="B15" t="s">
        <v>115</v>
      </c>
      <c r="C15" s="6" t="s">
        <v>121</v>
      </c>
      <c r="D15" t="s">
        <v>9</v>
      </c>
      <c r="E15" t="s">
        <v>17</v>
      </c>
      <c r="F15" t="s">
        <v>17</v>
      </c>
      <c r="G15" t="s">
        <v>107</v>
      </c>
      <c r="H15" t="s">
        <v>11</v>
      </c>
      <c r="I15" t="str">
        <f>_xlfn.XLOOKUP(Tabla1[[#This Row],[Dependencia]],Tabla2[Dependencia],Tabla2[Clasificación],"No indexado")</f>
        <v>Alcaldías</v>
      </c>
      <c r="J15" t="str">
        <f>_xlfn.XLOOKUP(Tabla1[[#This Row],[Dependencia]],Tabla3[Dependencia],Tabla3[Nivel],"otros",0)</f>
        <v>otros</v>
      </c>
    </row>
    <row r="16" spans="1:10" ht="29" x14ac:dyDescent="0.35">
      <c r="A16" s="5">
        <v>46128</v>
      </c>
      <c r="B16" t="s">
        <v>115</v>
      </c>
      <c r="C16" s="6" t="s">
        <v>122</v>
      </c>
      <c r="D16" t="s">
        <v>12</v>
      </c>
      <c r="E16" t="s">
        <v>29</v>
      </c>
      <c r="F16" t="s">
        <v>29</v>
      </c>
      <c r="G16" t="s">
        <v>85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46128</v>
      </c>
      <c r="B17" t="s">
        <v>115</v>
      </c>
      <c r="C17" s="6" t="s">
        <v>123</v>
      </c>
      <c r="D17" t="s">
        <v>12</v>
      </c>
      <c r="E17" t="s">
        <v>18</v>
      </c>
      <c r="F17" t="s">
        <v>18</v>
      </c>
      <c r="G17" t="s">
        <v>124</v>
      </c>
      <c r="H17" t="s">
        <v>16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5">
        <v>46128</v>
      </c>
      <c r="B18" t="s">
        <v>74</v>
      </c>
      <c r="C18" s="6" t="s">
        <v>125</v>
      </c>
      <c r="D18" t="s">
        <v>13</v>
      </c>
      <c r="E18" t="s">
        <v>29</v>
      </c>
      <c r="F18" t="s">
        <v>88</v>
      </c>
      <c r="G18" t="s">
        <v>126</v>
      </c>
      <c r="H18" t="s">
        <v>84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5">
        <v>46128</v>
      </c>
      <c r="B19" t="s">
        <v>74</v>
      </c>
      <c r="C19" s="6" t="s">
        <v>127</v>
      </c>
      <c r="D19" t="s">
        <v>12</v>
      </c>
      <c r="E19" t="s">
        <v>36</v>
      </c>
      <c r="F19" t="s">
        <v>36</v>
      </c>
      <c r="G19" t="s">
        <v>128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46128</v>
      </c>
      <c r="B20" t="s">
        <v>74</v>
      </c>
      <c r="C20" s="6" t="s">
        <v>129</v>
      </c>
      <c r="D20" t="s">
        <v>12</v>
      </c>
      <c r="E20" t="s">
        <v>17</v>
      </c>
      <c r="F20" t="s">
        <v>92</v>
      </c>
      <c r="G20" t="s">
        <v>130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46128</v>
      </c>
      <c r="B21" t="s">
        <v>74</v>
      </c>
      <c r="C21" s="6" t="s">
        <v>131</v>
      </c>
      <c r="D21" t="s">
        <v>12</v>
      </c>
      <c r="E21" t="s">
        <v>10</v>
      </c>
      <c r="F21" t="s">
        <v>10</v>
      </c>
      <c r="G21" t="s">
        <v>68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29" x14ac:dyDescent="0.35">
      <c r="A22" s="5">
        <v>46128</v>
      </c>
      <c r="B22" t="s">
        <v>74</v>
      </c>
      <c r="C22" s="6" t="s">
        <v>132</v>
      </c>
      <c r="D22" t="s">
        <v>12</v>
      </c>
      <c r="E22" t="s">
        <v>24</v>
      </c>
      <c r="F22" t="s">
        <v>94</v>
      </c>
      <c r="G22" t="s">
        <v>95</v>
      </c>
      <c r="H22" t="s">
        <v>84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46128</v>
      </c>
      <c r="B23" t="s">
        <v>74</v>
      </c>
      <c r="C23" s="6" t="s">
        <v>133</v>
      </c>
      <c r="D23" t="s">
        <v>9</v>
      </c>
      <c r="E23" t="s">
        <v>10</v>
      </c>
      <c r="F23" t="s">
        <v>10</v>
      </c>
      <c r="G23" t="s">
        <v>102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46128</v>
      </c>
      <c r="B24" t="s">
        <v>74</v>
      </c>
      <c r="C24" s="6" t="s">
        <v>134</v>
      </c>
      <c r="D24" t="s">
        <v>12</v>
      </c>
      <c r="E24" t="s">
        <v>10</v>
      </c>
      <c r="F24" t="s">
        <v>10</v>
      </c>
      <c r="G24" t="s">
        <v>68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46128</v>
      </c>
      <c r="B25" t="s">
        <v>74</v>
      </c>
      <c r="C25" s="6" t="s">
        <v>135</v>
      </c>
      <c r="D25" t="s">
        <v>12</v>
      </c>
      <c r="E25" t="s">
        <v>10</v>
      </c>
      <c r="F25" t="s">
        <v>10</v>
      </c>
      <c r="G25" t="s">
        <v>68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46128</v>
      </c>
      <c r="B26" t="s">
        <v>89</v>
      </c>
      <c r="C26" s="6" t="s">
        <v>136</v>
      </c>
      <c r="D26" t="s">
        <v>13</v>
      </c>
      <c r="E26" t="s">
        <v>36</v>
      </c>
      <c r="F26" t="s">
        <v>36</v>
      </c>
      <c r="G26" t="s">
        <v>86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46128</v>
      </c>
      <c r="B27" t="s">
        <v>89</v>
      </c>
      <c r="C27" s="6" t="s">
        <v>137</v>
      </c>
      <c r="D27" t="s">
        <v>12</v>
      </c>
      <c r="E27" t="s">
        <v>42</v>
      </c>
      <c r="F27" t="s">
        <v>42</v>
      </c>
      <c r="G27" t="s">
        <v>109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5">
        <v>46128</v>
      </c>
      <c r="B28" t="s">
        <v>89</v>
      </c>
      <c r="C28" s="6" t="s">
        <v>138</v>
      </c>
      <c r="D28" t="s">
        <v>12</v>
      </c>
      <c r="E28" t="s">
        <v>14</v>
      </c>
      <c r="F28" t="s">
        <v>14</v>
      </c>
      <c r="G28" t="s">
        <v>139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46128</v>
      </c>
      <c r="B29" t="s">
        <v>89</v>
      </c>
      <c r="C29" s="6" t="s">
        <v>140</v>
      </c>
      <c r="D29" t="s">
        <v>9</v>
      </c>
      <c r="E29" t="s">
        <v>36</v>
      </c>
      <c r="F29" t="s">
        <v>36</v>
      </c>
      <c r="G29" t="s">
        <v>102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29" x14ac:dyDescent="0.35">
      <c r="A30" s="5">
        <v>46128</v>
      </c>
      <c r="B30" t="s">
        <v>89</v>
      </c>
      <c r="C30" s="6" t="s">
        <v>141</v>
      </c>
      <c r="D30" t="s">
        <v>12</v>
      </c>
      <c r="E30" t="s">
        <v>41</v>
      </c>
      <c r="F30" t="s">
        <v>41</v>
      </c>
      <c r="G30" t="s">
        <v>90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46128</v>
      </c>
      <c r="B31" t="s">
        <v>70</v>
      </c>
      <c r="C31" s="6" t="s">
        <v>142</v>
      </c>
      <c r="D31" t="s">
        <v>13</v>
      </c>
      <c r="E31" t="s">
        <v>42</v>
      </c>
      <c r="F31" t="s">
        <v>42</v>
      </c>
      <c r="G31" t="s">
        <v>109</v>
      </c>
      <c r="H31" t="s">
        <v>84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46128</v>
      </c>
      <c r="B32" t="s">
        <v>70</v>
      </c>
      <c r="C32" s="6" t="s">
        <v>143</v>
      </c>
      <c r="D32" t="s">
        <v>12</v>
      </c>
      <c r="E32" t="s">
        <v>17</v>
      </c>
      <c r="F32" t="s">
        <v>17</v>
      </c>
      <c r="G32" t="s">
        <v>107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46128</v>
      </c>
      <c r="B33" t="s">
        <v>70</v>
      </c>
      <c r="C33" s="6" t="s">
        <v>144</v>
      </c>
      <c r="D33" t="s">
        <v>12</v>
      </c>
      <c r="E33" t="s">
        <v>29</v>
      </c>
      <c r="F33" t="s">
        <v>29</v>
      </c>
      <c r="G33" t="s">
        <v>145</v>
      </c>
      <c r="H33" t="s">
        <v>16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5">
        <v>46128</v>
      </c>
      <c r="B34" t="s">
        <v>70</v>
      </c>
      <c r="C34" s="6" t="s">
        <v>146</v>
      </c>
      <c r="D34" t="s">
        <v>12</v>
      </c>
      <c r="E34" t="s">
        <v>36</v>
      </c>
      <c r="F34" t="s">
        <v>36</v>
      </c>
      <c r="G34" t="s">
        <v>102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46128</v>
      </c>
      <c r="B35" t="s">
        <v>79</v>
      </c>
      <c r="C35" s="6" t="s">
        <v>147</v>
      </c>
      <c r="D35" t="s">
        <v>13</v>
      </c>
      <c r="E35" t="s">
        <v>148</v>
      </c>
      <c r="F35" t="s">
        <v>148</v>
      </c>
      <c r="G35" t="s">
        <v>149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46128</v>
      </c>
      <c r="B36" t="s">
        <v>79</v>
      </c>
      <c r="C36" s="6" t="s">
        <v>150</v>
      </c>
      <c r="D36" t="s">
        <v>12</v>
      </c>
      <c r="E36" t="s">
        <v>17</v>
      </c>
      <c r="F36" t="s">
        <v>17</v>
      </c>
      <c r="G36" t="s">
        <v>151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46128</v>
      </c>
      <c r="B37" t="s">
        <v>79</v>
      </c>
      <c r="C37" s="6" t="s">
        <v>152</v>
      </c>
      <c r="D37" t="s">
        <v>12</v>
      </c>
      <c r="E37" t="s">
        <v>17</v>
      </c>
      <c r="F37" t="s">
        <v>153</v>
      </c>
      <c r="G37" t="s">
        <v>154</v>
      </c>
      <c r="H37" t="s">
        <v>16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46128</v>
      </c>
      <c r="B38" t="s">
        <v>79</v>
      </c>
      <c r="C38" s="6" t="s">
        <v>155</v>
      </c>
      <c r="D38" t="s">
        <v>12</v>
      </c>
      <c r="E38" t="s">
        <v>17</v>
      </c>
      <c r="F38" t="s">
        <v>17</v>
      </c>
      <c r="G38" t="s">
        <v>87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46128</v>
      </c>
      <c r="B39" t="s">
        <v>79</v>
      </c>
      <c r="C39" s="6" t="s">
        <v>156</v>
      </c>
      <c r="D39" t="s">
        <v>12</v>
      </c>
      <c r="E39" t="s">
        <v>42</v>
      </c>
      <c r="F39" t="s">
        <v>42</v>
      </c>
      <c r="G39" t="s">
        <v>109</v>
      </c>
      <c r="H39" t="s">
        <v>84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5">
        <v>46128</v>
      </c>
      <c r="B40" t="s">
        <v>81</v>
      </c>
      <c r="C40" s="6" t="s">
        <v>157</v>
      </c>
      <c r="D40" t="s">
        <v>13</v>
      </c>
      <c r="E40" t="s">
        <v>17</v>
      </c>
      <c r="F40" t="s">
        <v>17</v>
      </c>
      <c r="G40" t="s">
        <v>107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46128</v>
      </c>
      <c r="B41" t="s">
        <v>81</v>
      </c>
      <c r="C41" s="6" t="s">
        <v>158</v>
      </c>
      <c r="D41" t="s">
        <v>12</v>
      </c>
      <c r="E41" t="s">
        <v>24</v>
      </c>
      <c r="F41" t="s">
        <v>94</v>
      </c>
      <c r="G41" t="s">
        <v>95</v>
      </c>
      <c r="H41" t="s">
        <v>84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46128</v>
      </c>
      <c r="B42" t="s">
        <v>81</v>
      </c>
      <c r="C42" s="6" t="s">
        <v>159</v>
      </c>
      <c r="D42" t="s">
        <v>12</v>
      </c>
      <c r="E42" t="s">
        <v>36</v>
      </c>
      <c r="F42" t="s">
        <v>36</v>
      </c>
      <c r="G42" t="s">
        <v>86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46128</v>
      </c>
      <c r="B43" t="s">
        <v>81</v>
      </c>
      <c r="C43" s="6" t="s">
        <v>160</v>
      </c>
      <c r="D43" t="s">
        <v>9</v>
      </c>
      <c r="E43" t="s">
        <v>10</v>
      </c>
      <c r="F43" t="s">
        <v>10</v>
      </c>
      <c r="G43" t="s">
        <v>102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46128</v>
      </c>
      <c r="B44" t="s">
        <v>81</v>
      </c>
      <c r="C44" s="6" t="s">
        <v>161</v>
      </c>
      <c r="D44" t="s">
        <v>12</v>
      </c>
      <c r="E44" t="s">
        <v>56</v>
      </c>
      <c r="F44" t="s">
        <v>56</v>
      </c>
      <c r="G44" t="s">
        <v>93</v>
      </c>
      <c r="H44" t="s">
        <v>16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ht="29" x14ac:dyDescent="0.35">
      <c r="A45" s="5">
        <v>46128</v>
      </c>
      <c r="B45" t="s">
        <v>77</v>
      </c>
      <c r="C45" s="6" t="s">
        <v>162</v>
      </c>
      <c r="D45" t="s">
        <v>163</v>
      </c>
      <c r="E45" t="s">
        <v>10</v>
      </c>
      <c r="F45" t="s">
        <v>10</v>
      </c>
      <c r="G45" t="s">
        <v>102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ht="29" x14ac:dyDescent="0.35">
      <c r="A46" s="5">
        <v>46128</v>
      </c>
      <c r="B46" t="s">
        <v>77</v>
      </c>
      <c r="C46" s="6" t="s">
        <v>164</v>
      </c>
      <c r="D46" t="s">
        <v>12</v>
      </c>
      <c r="E46" t="s">
        <v>17</v>
      </c>
      <c r="F46" t="s">
        <v>17</v>
      </c>
      <c r="G46" t="s">
        <v>68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29" x14ac:dyDescent="0.35">
      <c r="A47" s="5">
        <v>46128</v>
      </c>
      <c r="B47" t="s">
        <v>77</v>
      </c>
      <c r="C47" s="6" t="s">
        <v>165</v>
      </c>
      <c r="D47" t="s">
        <v>12</v>
      </c>
      <c r="E47" t="s">
        <v>17</v>
      </c>
      <c r="F47" t="s">
        <v>17</v>
      </c>
      <c r="G47" t="s">
        <v>97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46128</v>
      </c>
      <c r="B48" t="s">
        <v>77</v>
      </c>
      <c r="C48" s="6" t="s">
        <v>166</v>
      </c>
      <c r="D48" t="s">
        <v>13</v>
      </c>
      <c r="E48" t="s">
        <v>42</v>
      </c>
      <c r="F48" t="s">
        <v>42</v>
      </c>
      <c r="G48" t="s">
        <v>109</v>
      </c>
      <c r="H48" t="s">
        <v>84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46128</v>
      </c>
      <c r="B49" t="s">
        <v>77</v>
      </c>
      <c r="C49" s="6" t="s">
        <v>167</v>
      </c>
      <c r="D49" t="s">
        <v>12</v>
      </c>
      <c r="E49" t="s">
        <v>17</v>
      </c>
      <c r="F49" t="s">
        <v>17</v>
      </c>
      <c r="G49" t="s">
        <v>87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46128</v>
      </c>
      <c r="B50" t="s">
        <v>77</v>
      </c>
      <c r="C50" s="6" t="s">
        <v>168</v>
      </c>
      <c r="D50" t="s">
        <v>12</v>
      </c>
      <c r="E50" t="s">
        <v>17</v>
      </c>
      <c r="F50" t="s">
        <v>17</v>
      </c>
      <c r="G50" t="s">
        <v>68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46128</v>
      </c>
      <c r="B51" t="s">
        <v>77</v>
      </c>
      <c r="C51" s="6" t="s">
        <v>169</v>
      </c>
      <c r="D51" t="s">
        <v>12</v>
      </c>
      <c r="E51" t="s">
        <v>14</v>
      </c>
      <c r="F51" t="s">
        <v>170</v>
      </c>
      <c r="G51" t="s">
        <v>171</v>
      </c>
      <c r="H51" t="s">
        <v>11</v>
      </c>
      <c r="I51" t="str">
        <f>_xlfn.XLOOKUP(Tabla1[[#This Row],[Dependencia]],Tabla2[Dependencia],Tabla2[Clasificación],"No indexado")</f>
        <v>Presidencia de la República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46128</v>
      </c>
      <c r="B52" t="s">
        <v>28</v>
      </c>
      <c r="C52" s="6" t="s">
        <v>172</v>
      </c>
      <c r="D52" t="s">
        <v>13</v>
      </c>
      <c r="E52" t="s">
        <v>42</v>
      </c>
      <c r="F52" t="s">
        <v>42</v>
      </c>
      <c r="G52" t="s">
        <v>109</v>
      </c>
      <c r="H52" t="s">
        <v>84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46128</v>
      </c>
      <c r="B53" t="s">
        <v>28</v>
      </c>
      <c r="C53" s="6" t="s">
        <v>173</v>
      </c>
      <c r="D53" t="s">
        <v>75</v>
      </c>
      <c r="E53" t="s">
        <v>17</v>
      </c>
      <c r="F53" t="s">
        <v>17</v>
      </c>
      <c r="G53" t="s">
        <v>174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46128</v>
      </c>
      <c r="B54" t="s">
        <v>28</v>
      </c>
      <c r="C54" s="6" t="s">
        <v>175</v>
      </c>
      <c r="D54" t="s">
        <v>12</v>
      </c>
      <c r="E54" t="s">
        <v>17</v>
      </c>
      <c r="F54" t="s">
        <v>17</v>
      </c>
      <c r="G54" t="s">
        <v>87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46128</v>
      </c>
      <c r="B55" t="s">
        <v>28</v>
      </c>
      <c r="C55" s="6" t="s">
        <v>176</v>
      </c>
      <c r="D55" t="s">
        <v>12</v>
      </c>
      <c r="E55" t="s">
        <v>27</v>
      </c>
      <c r="F55" t="s">
        <v>2</v>
      </c>
      <c r="G55" t="s">
        <v>177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46128</v>
      </c>
      <c r="B56" t="s">
        <v>28</v>
      </c>
      <c r="C56" s="6" t="s">
        <v>96</v>
      </c>
      <c r="D56" t="s">
        <v>75</v>
      </c>
      <c r="E56" t="s">
        <v>10</v>
      </c>
      <c r="F56" t="s">
        <v>10</v>
      </c>
      <c r="G56" t="s">
        <v>75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46128</v>
      </c>
      <c r="B57" t="s">
        <v>28</v>
      </c>
      <c r="C57" s="6" t="s">
        <v>82</v>
      </c>
      <c r="D57" t="s">
        <v>75</v>
      </c>
      <c r="E57" t="s">
        <v>17</v>
      </c>
      <c r="F57" t="s">
        <v>17</v>
      </c>
      <c r="G57" t="s">
        <v>76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5">
        <v>46128</v>
      </c>
      <c r="B58" t="s">
        <v>78</v>
      </c>
      <c r="C58" s="6" t="s">
        <v>178</v>
      </c>
      <c r="D58" t="s">
        <v>13</v>
      </c>
      <c r="E58" t="s">
        <v>42</v>
      </c>
      <c r="F58" t="s">
        <v>42</v>
      </c>
      <c r="G58" t="s">
        <v>109</v>
      </c>
      <c r="H58" t="s">
        <v>84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35">
      <c r="A59" s="5">
        <v>46128</v>
      </c>
      <c r="B59" t="s">
        <v>78</v>
      </c>
      <c r="C59" s="6" t="s">
        <v>179</v>
      </c>
      <c r="D59" t="s">
        <v>12</v>
      </c>
      <c r="E59" t="s">
        <v>36</v>
      </c>
      <c r="F59" t="s">
        <v>180</v>
      </c>
      <c r="G59" t="s">
        <v>102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43.5" x14ac:dyDescent="0.35">
      <c r="A60" s="5">
        <v>46128</v>
      </c>
      <c r="B60" t="s">
        <v>78</v>
      </c>
      <c r="C60" s="6" t="s">
        <v>181</v>
      </c>
      <c r="D60" t="s">
        <v>83</v>
      </c>
      <c r="E60" t="s">
        <v>36</v>
      </c>
      <c r="F60" t="s">
        <v>180</v>
      </c>
      <c r="G60" t="s">
        <v>102</v>
      </c>
      <c r="H60" t="s">
        <v>16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46128</v>
      </c>
      <c r="B61" t="s">
        <v>78</v>
      </c>
      <c r="C61" s="6" t="s">
        <v>182</v>
      </c>
      <c r="D61" t="s">
        <v>12</v>
      </c>
      <c r="E61" t="s">
        <v>10</v>
      </c>
      <c r="F61" t="s">
        <v>10</v>
      </c>
      <c r="G61" t="s">
        <v>183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32</v>
      </c>
      <c r="D1" s="8" t="s">
        <v>4</v>
      </c>
      <c r="E1" t="s">
        <v>71</v>
      </c>
    </row>
    <row r="2" spans="1:5" x14ac:dyDescent="0.35">
      <c r="A2" t="s">
        <v>64</v>
      </c>
      <c r="B2" t="s">
        <v>65</v>
      </c>
      <c r="D2" s="10" t="s">
        <v>20</v>
      </c>
      <c r="E2" t="s">
        <v>72</v>
      </c>
    </row>
    <row r="3" spans="1:5" x14ac:dyDescent="0.35">
      <c r="A3" t="s">
        <v>17</v>
      </c>
      <c r="B3" t="s">
        <v>33</v>
      </c>
      <c r="D3" s="9" t="s">
        <v>35</v>
      </c>
      <c r="E3" t="s">
        <v>72</v>
      </c>
    </row>
    <row r="4" spans="1:5" x14ac:dyDescent="0.35">
      <c r="A4" t="s">
        <v>20</v>
      </c>
      <c r="B4" t="s">
        <v>34</v>
      </c>
      <c r="D4" s="9" t="s">
        <v>37</v>
      </c>
      <c r="E4" t="s">
        <v>72</v>
      </c>
    </row>
    <row r="5" spans="1:5" x14ac:dyDescent="0.35">
      <c r="A5" t="s">
        <v>63</v>
      </c>
      <c r="B5" t="s">
        <v>10</v>
      </c>
      <c r="D5" s="10" t="s">
        <v>30</v>
      </c>
      <c r="E5" t="s">
        <v>72</v>
      </c>
    </row>
    <row r="6" spans="1:5" x14ac:dyDescent="0.35">
      <c r="A6" t="s">
        <v>35</v>
      </c>
      <c r="B6" t="s">
        <v>34</v>
      </c>
      <c r="D6" s="10" t="s">
        <v>38</v>
      </c>
      <c r="E6" t="s">
        <v>72</v>
      </c>
    </row>
    <row r="7" spans="1:5" x14ac:dyDescent="0.35">
      <c r="A7" t="s">
        <v>36</v>
      </c>
      <c r="B7" t="s">
        <v>10</v>
      </c>
      <c r="D7" s="9" t="s">
        <v>39</v>
      </c>
      <c r="E7" t="s">
        <v>72</v>
      </c>
    </row>
    <row r="8" spans="1:5" x14ac:dyDescent="0.35">
      <c r="A8" t="s">
        <v>37</v>
      </c>
      <c r="B8" t="s">
        <v>34</v>
      </c>
      <c r="D8" s="9" t="s">
        <v>39</v>
      </c>
      <c r="E8" t="s">
        <v>72</v>
      </c>
    </row>
    <row r="9" spans="1:5" x14ac:dyDescent="0.35">
      <c r="A9" t="s">
        <v>30</v>
      </c>
      <c r="B9" t="s">
        <v>34</v>
      </c>
      <c r="D9" s="9" t="s">
        <v>40</v>
      </c>
      <c r="E9" t="s">
        <v>72</v>
      </c>
    </row>
    <row r="10" spans="1:5" x14ac:dyDescent="0.3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38</v>
      </c>
      <c r="B11" t="s">
        <v>34</v>
      </c>
      <c r="D11" s="9" t="s">
        <v>41</v>
      </c>
      <c r="E11" t="s">
        <v>72</v>
      </c>
    </row>
    <row r="12" spans="1:5" x14ac:dyDescent="0.35">
      <c r="A12" t="s">
        <v>39</v>
      </c>
      <c r="B12" t="s">
        <v>34</v>
      </c>
      <c r="D12" s="10" t="s">
        <v>42</v>
      </c>
      <c r="E12" t="s">
        <v>72</v>
      </c>
    </row>
    <row r="13" spans="1:5" x14ac:dyDescent="0.35">
      <c r="A13" t="s">
        <v>39</v>
      </c>
      <c r="B13" t="s">
        <v>34</v>
      </c>
      <c r="D13" s="10" t="s">
        <v>42</v>
      </c>
      <c r="E13" t="s">
        <v>72</v>
      </c>
    </row>
    <row r="14" spans="1:5" x14ac:dyDescent="0.35">
      <c r="A14" t="s">
        <v>66</v>
      </c>
      <c r="B14" t="s">
        <v>47</v>
      </c>
      <c r="D14" s="9" t="s">
        <v>22</v>
      </c>
      <c r="E14" t="s">
        <v>72</v>
      </c>
    </row>
    <row r="15" spans="1:5" x14ac:dyDescent="0.35">
      <c r="A15" t="s">
        <v>40</v>
      </c>
      <c r="B15" t="s">
        <v>34</v>
      </c>
      <c r="D15" s="10" t="s">
        <v>18</v>
      </c>
      <c r="E15" t="s">
        <v>72</v>
      </c>
    </row>
    <row r="16" spans="1:5" x14ac:dyDescent="0.35">
      <c r="A16" t="s">
        <v>25</v>
      </c>
      <c r="B16" t="s">
        <v>34</v>
      </c>
      <c r="D16" s="9" t="s">
        <v>50</v>
      </c>
      <c r="E16" t="s">
        <v>72</v>
      </c>
    </row>
    <row r="17" spans="1:5" x14ac:dyDescent="0.35">
      <c r="A17" t="s">
        <v>41</v>
      </c>
      <c r="B17" t="s">
        <v>34</v>
      </c>
      <c r="D17" s="9" t="s">
        <v>56</v>
      </c>
      <c r="E17" t="s">
        <v>72</v>
      </c>
    </row>
    <row r="18" spans="1:5" x14ac:dyDescent="0.35">
      <c r="A18" t="s">
        <v>42</v>
      </c>
      <c r="B18" t="s">
        <v>34</v>
      </c>
      <c r="D18" s="9" t="s">
        <v>57</v>
      </c>
      <c r="E18" t="s">
        <v>72</v>
      </c>
    </row>
    <row r="19" spans="1:5" x14ac:dyDescent="0.35">
      <c r="A19" t="s">
        <v>43</v>
      </c>
      <c r="B19" t="s">
        <v>10</v>
      </c>
      <c r="D19" s="9" t="s">
        <v>24</v>
      </c>
      <c r="E19" t="s">
        <v>72</v>
      </c>
    </row>
    <row r="20" spans="1:5" x14ac:dyDescent="0.35">
      <c r="A20" t="s">
        <v>44</v>
      </c>
      <c r="B20" t="s">
        <v>45</v>
      </c>
      <c r="D20" s="10" t="s">
        <v>21</v>
      </c>
      <c r="E20" t="s">
        <v>72</v>
      </c>
    </row>
    <row r="21" spans="1:5" x14ac:dyDescent="0.35">
      <c r="A21" t="s">
        <v>46</v>
      </c>
      <c r="B21" t="s">
        <v>47</v>
      </c>
      <c r="D21" s="9" t="s">
        <v>29</v>
      </c>
      <c r="E21" t="s">
        <v>72</v>
      </c>
    </row>
    <row r="22" spans="1:5" x14ac:dyDescent="0.35">
      <c r="A22" t="s">
        <v>19</v>
      </c>
      <c r="B22" t="s">
        <v>47</v>
      </c>
      <c r="D22" s="10" t="s">
        <v>27</v>
      </c>
      <c r="E22" t="s">
        <v>72</v>
      </c>
    </row>
    <row r="23" spans="1:5" x14ac:dyDescent="0.35">
      <c r="A23" t="s">
        <v>22</v>
      </c>
      <c r="B23" t="s">
        <v>34</v>
      </c>
      <c r="D23" s="9" t="s">
        <v>58</v>
      </c>
      <c r="E23" t="s">
        <v>72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72</v>
      </c>
    </row>
    <row r="25" spans="1:5" x14ac:dyDescent="0.35">
      <c r="A25" t="s">
        <v>48</v>
      </c>
      <c r="B25" t="s">
        <v>47</v>
      </c>
      <c r="D25" s="10" t="s">
        <v>23</v>
      </c>
      <c r="E25" t="s">
        <v>72</v>
      </c>
    </row>
    <row r="26" spans="1:5" x14ac:dyDescent="0.35">
      <c r="A26" t="s">
        <v>49</v>
      </c>
      <c r="B26" t="s">
        <v>47</v>
      </c>
      <c r="D26" s="9" t="s">
        <v>59</v>
      </c>
      <c r="E26" t="s">
        <v>72</v>
      </c>
    </row>
    <row r="27" spans="1:5" x14ac:dyDescent="0.35">
      <c r="A27" t="s">
        <v>67</v>
      </c>
      <c r="B27" t="s">
        <v>47</v>
      </c>
      <c r="D27" s="11" t="s">
        <v>31</v>
      </c>
      <c r="E27" t="s">
        <v>72</v>
      </c>
    </row>
    <row r="28" spans="1:5" x14ac:dyDescent="0.35">
      <c r="A28" t="s">
        <v>18</v>
      </c>
      <c r="B28" t="s">
        <v>34</v>
      </c>
    </row>
    <row r="29" spans="1:5" x14ac:dyDescent="0.35">
      <c r="A29" t="s">
        <v>50</v>
      </c>
      <c r="B29" t="s">
        <v>34</v>
      </c>
    </row>
    <row r="30" spans="1:5" x14ac:dyDescent="0.35">
      <c r="A30" t="s">
        <v>51</v>
      </c>
      <c r="B30" t="s">
        <v>47</v>
      </c>
    </row>
    <row r="31" spans="1:5" x14ac:dyDescent="0.35">
      <c r="A31" t="s">
        <v>14</v>
      </c>
      <c r="B31" t="s">
        <v>52</v>
      </c>
    </row>
    <row r="32" spans="1:5" x14ac:dyDescent="0.35">
      <c r="A32" t="s">
        <v>53</v>
      </c>
      <c r="B32" t="s">
        <v>47</v>
      </c>
    </row>
    <row r="33" spans="1:2" x14ac:dyDescent="0.35">
      <c r="A33" t="s">
        <v>54</v>
      </c>
      <c r="B33" t="s">
        <v>47</v>
      </c>
    </row>
    <row r="34" spans="1:2" x14ac:dyDescent="0.35">
      <c r="A34" t="s">
        <v>55</v>
      </c>
      <c r="B34" t="s">
        <v>47</v>
      </c>
    </row>
    <row r="35" spans="1:2" x14ac:dyDescent="0.35">
      <c r="A35" t="s">
        <v>56</v>
      </c>
      <c r="B35" t="s">
        <v>34</v>
      </c>
    </row>
    <row r="36" spans="1:2" x14ac:dyDescent="0.35">
      <c r="A36" t="s">
        <v>57</v>
      </c>
      <c r="B36" t="s">
        <v>34</v>
      </c>
    </row>
    <row r="37" spans="1:2" x14ac:dyDescent="0.35">
      <c r="A37" t="s">
        <v>24</v>
      </c>
      <c r="B37" t="s">
        <v>34</v>
      </c>
    </row>
    <row r="38" spans="1:2" x14ac:dyDescent="0.35">
      <c r="A38" t="s">
        <v>21</v>
      </c>
      <c r="B38" t="s">
        <v>34</v>
      </c>
    </row>
    <row r="39" spans="1:2" x14ac:dyDescent="0.35">
      <c r="A39" t="s">
        <v>29</v>
      </c>
      <c r="B39" t="s">
        <v>34</v>
      </c>
    </row>
    <row r="40" spans="1:2" x14ac:dyDescent="0.35">
      <c r="A40" t="s">
        <v>27</v>
      </c>
      <c r="B40" t="s">
        <v>34</v>
      </c>
    </row>
    <row r="41" spans="1:2" x14ac:dyDescent="0.35">
      <c r="A41" t="s">
        <v>58</v>
      </c>
      <c r="B41" t="s">
        <v>34</v>
      </c>
    </row>
    <row r="42" spans="1:2" x14ac:dyDescent="0.35">
      <c r="A42" t="s">
        <v>15</v>
      </c>
      <c r="B42" t="s">
        <v>34</v>
      </c>
    </row>
    <row r="43" spans="1:2" x14ac:dyDescent="0.35">
      <c r="A43" t="s">
        <v>23</v>
      </c>
      <c r="B43" t="s">
        <v>34</v>
      </c>
    </row>
    <row r="44" spans="1:2" x14ac:dyDescent="0.35">
      <c r="A44" t="s">
        <v>59</v>
      </c>
      <c r="B44" t="s">
        <v>34</v>
      </c>
    </row>
    <row r="45" spans="1:2" x14ac:dyDescent="0.35">
      <c r="A45" t="s">
        <v>60</v>
      </c>
      <c r="B45" t="s">
        <v>10</v>
      </c>
    </row>
    <row r="46" spans="1:2" x14ac:dyDescent="0.35">
      <c r="A46" t="s">
        <v>61</v>
      </c>
      <c r="B46" t="s">
        <v>10</v>
      </c>
    </row>
    <row r="47" spans="1:2" x14ac:dyDescent="0.35">
      <c r="A47" t="s">
        <v>31</v>
      </c>
      <c r="B47" t="s">
        <v>34</v>
      </c>
    </row>
    <row r="48" spans="1:2" x14ac:dyDescent="0.3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2026-04-16T21:16:55Z</dcterms:modified>
</cp:coreProperties>
</file>