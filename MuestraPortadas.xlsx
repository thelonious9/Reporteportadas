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B384CC73-5C6D-47B8-9538-E950CFCC18B1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I2" i="1"/>
  <c r="J2" i="1"/>
</calcChain>
</file>

<file path=xl/sharedStrings.xml><?xml version="1.0" encoding="utf-8"?>
<sst xmlns="http://schemas.openxmlformats.org/spreadsheetml/2006/main" count="545" uniqueCount="177">
  <si>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</si>
  <si>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</si>
  <si>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</si>
  <si>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</si>
  <si>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</si>
  <si>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</si>
  <si>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</si>
  <si>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</si>
  <si>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</si>
  <si>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</si>
  <si>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</si>
  <si>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</si>
  <si>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</si>
  <si>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</si>
  <si>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</si>
  <si>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</si>
  <si>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</si>
  <si>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</si>
  <si>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</si>
  <si>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</si>
  <si>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</si>
  <si>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</si>
  <si>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</si>
  <si>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</si>
  <si>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</si>
  <si>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</si>
  <si>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</si>
  <si>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</si>
  <si>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</si>
  <si>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</si>
  <si>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</si>
  <si>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</si>
  <si>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</si>
  <si>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</si>
  <si>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</si>
  <si>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</si>
  <si>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</si>
  <si>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</si>
  <si>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</si>
  <si>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</si>
  <si>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</si>
  <si>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</si>
  <si>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</si>
  <si>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</si>
  <si>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</si>
  <si>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</si>
  <si>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</si>
  <si>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</si>
  <si>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</si>
  <si>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</si>
  <si>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</si>
  <si>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</si>
  <si>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</si>
  <si>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</si>
  <si>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</si>
  <si>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</si>
  <si>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</si>
  <si>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</si>
  <si>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</si>
  <si>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</si>
  <si>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</si>
  <si>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</si>
  <si>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</si>
  <si>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</si>
  <si>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</si>
  <si>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</si>
  <si>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</si>
  <si>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</si>
  <si>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</si>
  <si>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</si>
  <si>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</si>
  <si>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</si>
  <si>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</si>
  <si>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Zunoticia</t>
  </si>
  <si>
    <t>Effetá</t>
  </si>
  <si>
    <t>El Universal Hidalgo</t>
  </si>
  <si>
    <t>Síntesis</t>
  </si>
  <si>
    <t>Plaza Juárez</t>
  </si>
  <si>
    <t>Temas varios</t>
  </si>
  <si>
    <t>Pachuca Brilla</t>
  </si>
  <si>
    <t>Afectaciones Por Lluvias</t>
  </si>
  <si>
    <t>Criterio</t>
  </si>
  <si>
    <t>Tauromaquia</t>
  </si>
  <si>
    <t>La Jornada Hidalgo</t>
  </si>
  <si>
    <t>Editorial</t>
  </si>
  <si>
    <t>Crece número de vasectomías en Pachuca</t>
  </si>
  <si>
    <t>IMSS</t>
  </si>
  <si>
    <t>Planificación familiar</t>
  </si>
  <si>
    <t>Viviendas en riesgo latente por derrumbes</t>
  </si>
  <si>
    <t>Atlas de Riesgos</t>
  </si>
  <si>
    <t>Basura, una crisis que asfixia a México</t>
  </si>
  <si>
    <t>Medio ambiente</t>
  </si>
  <si>
    <t>Disposición de basura</t>
  </si>
  <si>
    <t>Andy renuncia a su cargo; quiere ser diputado</t>
  </si>
  <si>
    <t>Candidaturas</t>
  </si>
  <si>
    <t>Mujeres boleadoras desafían estereotipos</t>
  </si>
  <si>
    <t>Investigan fraude de notarios al falsificar escrituras de predios</t>
  </si>
  <si>
    <t>Exalcalde</t>
  </si>
  <si>
    <t>Fraude</t>
  </si>
  <si>
    <t>Recorridos de prueba</t>
  </si>
  <si>
    <t>Sitmah</t>
  </si>
  <si>
    <t>Modernización Tuzobús</t>
  </si>
  <si>
    <t>Reporta capturas Gabinete de Seguridad</t>
  </si>
  <si>
    <t>Reunión Gabinete De Seguridad</t>
  </si>
  <si>
    <t>Nuevas canchas en Hidalgo</t>
  </si>
  <si>
    <t>OCSAD</t>
  </si>
  <si>
    <t>Mañanera de Hidalgo</t>
  </si>
  <si>
    <t>Reubicarán casi 3 mil viviendas</t>
  </si>
  <si>
    <t>ELLAS SÍ: TUCITAS SON BICAMPEONAS</t>
  </si>
  <si>
    <t>LA BELLA AIROSA  HUELE A MUNDIAL</t>
  </si>
  <si>
    <t>ROSAURA: CRÓNICA DE UN FEMINICIDIO</t>
  </si>
  <si>
    <t>Vinculación feminicida</t>
  </si>
  <si>
    <t>Ambulantes usan los elevadores del Tuzobús para vender</t>
  </si>
  <si>
    <t>Elevadores Tuzobús</t>
  </si>
  <si>
    <t>PC llama a prevenirse ante lluvias  y ciclones</t>
  </si>
  <si>
    <t>PC</t>
  </si>
  <si>
    <t>Alerta Meteorológica</t>
  </si>
  <si>
    <t>Renuevan hasta 10 mil licencias para comercios, señala Sedeco</t>
  </si>
  <si>
    <t>Apertura de establecimientos comerciales</t>
  </si>
  <si>
    <t>ATROPELLADO, VOLCADURA Y HUMO,  ASÍ OPERÓ ESTE LUNES EL TUZOBÚS</t>
  </si>
  <si>
    <t>Deficiencias Tuzobús</t>
  </si>
  <si>
    <t>Ciudadanos reprueban estado de calles, avenidas y carreteras</t>
  </si>
  <si>
    <t>Infraestructura en mal estado</t>
  </si>
  <si>
    <t>Pese a reduccion de 36% detectan 122 casos de madre adolescentes en 2025</t>
  </si>
  <si>
    <t>Embarazo adolescente</t>
  </si>
  <si>
    <t>Construyen 27 canchas para promover el deporte</t>
  </si>
  <si>
    <t>Requieren reubicación más de 2,800 personas</t>
  </si>
  <si>
    <t>Cierran Zócalo a la CNTE y se instala en Cinco de Mayo</t>
  </si>
  <si>
    <t>Paro nacional</t>
  </si>
  <si>
    <t>Taddei pinta su raya: el INE no puede bajar a los narcocandidatos</t>
  </si>
  <si>
    <t>Iniciativa</t>
  </si>
  <si>
    <t>EU frena a viajeros de tres países africanos</t>
  </si>
  <si>
    <t>Vigilancia Epidemiológica</t>
  </si>
  <si>
    <t>Hugol. El 78 , desastre para el equipo, pero éxito personal</t>
  </si>
  <si>
    <t>Tendrán que ser reubicadas tras daños por lluvias 2.8 mil viviendas</t>
  </si>
  <si>
    <t>El Niño traerá sequía, lluvias severas y calor extremo, advierte PC</t>
  </si>
  <si>
    <t>Andy López deja cargo en Morena; va por diputación</t>
  </si>
  <si>
    <t>Accidente deja dos lesionados y daño a la estructura del Tuzobús</t>
  </si>
  <si>
    <t>Carril confinado</t>
  </si>
  <si>
    <t>Cruz Azul no es solamente un equipo campeón. Es una referencia económica y social para miles de  familias (…) Cuando la cooperativa se hundía en conflictos internos, el deterioro se sentía mucho más allá  de una cancha de futbol”.</t>
  </si>
  <si>
    <t>Cruz Azul</t>
  </si>
  <si>
    <t>Avanza al 25% rehabilitación de Avenida Madero; prevén adelantar entrega</t>
  </si>
  <si>
    <t>Sipdus</t>
  </si>
  <si>
    <t>Rehabilitación Vial</t>
  </si>
  <si>
    <t>Lleva Hidalgo murales mundialistas a 17 municipios</t>
  </si>
  <si>
    <t>Mundial De Futbol</t>
  </si>
  <si>
    <t>Vinculan a presunto feminicida de Dulce</t>
  </si>
  <si>
    <t>Contraloría da de baja a 359 proveedores por irregularidades</t>
  </si>
  <si>
    <t>Padrón de proveedores</t>
  </si>
  <si>
    <t>Destruye rayo una cruz de la parroquia principal de Real del Monte</t>
  </si>
  <si>
    <t>Hidalgo está listo para vivir la gran fiesta del futbol</t>
  </si>
  <si>
    <t>Bloquearon carretera por falta de servicio de electricidad</t>
  </si>
  <si>
    <t>CFE</t>
  </si>
  <si>
    <t>Falta de servicios públicos</t>
  </si>
  <si>
    <t>PC llama a reforzar medidas ante temporada de ciclones</t>
  </si>
  <si>
    <t>Retienen y amarran a electricistas por los constantes apagones</t>
  </si>
  <si>
    <t>Retención de funcionarios</t>
  </si>
  <si>
    <t>Familias huejutlenses celebraron la décima del Cruz Azul</t>
  </si>
  <si>
    <t>Depura Contraloría padrón de proveedores</t>
  </si>
  <si>
    <t>Contraloría da de baja a 359 proveedores irregulares en Hidalgo</t>
  </si>
  <si>
    <t>Prohíban la tauromaquia en Hidalgo, pide Kate del Castillo</t>
  </si>
  <si>
    <t>115 grupos de Segurichat ayudan a detener a 52</t>
  </si>
  <si>
    <t>Segurichat</t>
  </si>
  <si>
    <t>Por feminicidio, a proceso</t>
  </si>
  <si>
    <t>Hidalgo tendrá 27 canchas rumbo al Mundial</t>
  </si>
  <si>
    <t>Protección Civil llama a reforzar medidas preventivas ante temporada de ciclones y lluvias intensas</t>
  </si>
  <si>
    <t>Gobierno de hidalgo invierte 7.6 mdp en escuelas de Chapantongo y Alfajayucan</t>
  </si>
  <si>
    <t>Infraestructura escolar</t>
  </si>
  <si>
    <t>Figuras de Sudáfrica estarán en Hidalgo por el Mundial</t>
  </si>
  <si>
    <t>Asegura policía de Pachuca a presunto distribuidor de droga</t>
  </si>
  <si>
    <t>Policía municipal</t>
  </si>
  <si>
    <t>Combate Al Narcomenudeo</t>
  </si>
  <si>
    <t>Gabinete de Seguridad captura a 28 personas señaladas por actos delictivos</t>
  </si>
  <si>
    <t>Detienen a 28 personas por actos delictivos</t>
  </si>
  <si>
    <t>En 2026, fenómeno "El Niño" será más severo</t>
  </si>
  <si>
    <t>La Felipe Ángeles se convierte en un infierno para los conductores que van hacia el centro de Pachuca, pues quedan atrapados sin moverse por el embotelamiento que sufren cada dia; el confinamiento para el Tuzobus es un absurdo, cuando de hecho ni siquiera hay unidades que circulen ...</t>
  </si>
  <si>
    <t>Construirá gobierno federal 27 canchas deportivas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</si>
</sst>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6" totalsRowShown="0" headerRowDxfId="5" headerRowBorderDxfId="4">
  <autoFilter ref="A1:J56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6"/>
  <sheetViews>
    <sheetView tabSelected="1" workbookViewId="0">
      <selection activeCell="H9" sqref="H9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25">
      <c r="A2" s="5">
        <v>46168</v>
      </c>
      <c r="B2" t="s">
        <v>69</v>
      </c>
      <c r="C2" s="6" t="s">
        <v>85</v>
      </c>
      <c r="D2" t="s">
        <v>12</v>
      </c>
      <c r="E2" t="s">
        <v>14</v>
      </c>
      <c r="F2" t="s">
        <v>86</v>
      </c>
      <c r="G2" t="s">
        <v>87</v>
      </c>
      <c r="H2" t="s">
        <v>11</v>
      </c>
      <c r="I2" t="str">
        <f>_xlfn.XLOOKUP(Tabla1[[#This Row],[Dependencia]],Tabla2[Dependencia],Tabla2[Clasificación],"No indexado")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46168</v>
      </c>
      <c r="B3" t="s">
        <v>69</v>
      </c>
      <c r="C3" s="6" t="s">
        <v>88</v>
      </c>
      <c r="D3" t="s">
        <v>9</v>
      </c>
      <c r="E3" t="s">
        <v>16</v>
      </c>
      <c r="F3" t="s">
        <v>16</v>
      </c>
      <c r="G3" t="s">
        <v>89</v>
      </c>
      <c r="H3" t="s">
        <v>11</v>
      </c>
      <c r="I3" t="str">
        <f>_xlfn.XLOOKUP(Tabla1[[#This Row],[Dependencia]],Tabla2[Dependencia],Tabla2[Clasificación],"No indexado")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46168</v>
      </c>
      <c r="B4" t="s">
        <v>69</v>
      </c>
      <c r="C4" s="6" t="s">
        <v>90</v>
      </c>
      <c r="D4" t="s">
        <v>13</v>
      </c>
      <c r="E4" t="s">
        <v>14</v>
      </c>
      <c r="F4" t="s">
        <v>91</v>
      </c>
      <c r="G4" t="s">
        <v>92</v>
      </c>
      <c r="H4" t="s">
        <v>11</v>
      </c>
      <c r="I4" t="str">
        <f>_xlfn.XLOOKUP(Tabla1[[#This Row],[Dependencia]],Tabla2[Dependencia],Tabla2[Clasificación],"No indexado")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46168</v>
      </c>
      <c r="B5" t="s">
        <v>69</v>
      </c>
      <c r="C5" s="6" t="s">
        <v>93</v>
      </c>
      <c r="D5" t="s">
        <v>12</v>
      </c>
      <c r="E5" t="s">
        <v>18</v>
      </c>
      <c r="F5" t="s">
        <v>18</v>
      </c>
      <c r="G5" t="s">
        <v>94</v>
      </c>
      <c r="H5" t="s">
        <v>11</v>
      </c>
      <c r="I5" t="str">
        <f>_xlfn.XLOOKUP(Tabla1[[#This Row],[Dependencia]],Tabla2[Dependencia],Tabla2[Clasificación],"No indexado")</f>
        <v>Partidos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46168</v>
      </c>
      <c r="B6" t="s">
        <v>69</v>
      </c>
      <c r="C6" s="6" t="s">
        <v>95</v>
      </c>
      <c r="D6" t="s">
        <v>12</v>
      </c>
      <c r="E6" t="s">
        <v>10</v>
      </c>
      <c r="F6" t="s">
        <v>10</v>
      </c>
      <c r="G6" t="s">
        <v>78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ht="30" x14ac:dyDescent="0.25">
      <c r="A7" s="5">
        <v>46168</v>
      </c>
      <c r="B7" t="s">
        <v>75</v>
      </c>
      <c r="C7" s="6" t="s">
        <v>96</v>
      </c>
      <c r="D7" t="s">
        <v>13</v>
      </c>
      <c r="E7" t="s">
        <v>16</v>
      </c>
      <c r="F7" t="s">
        <v>97</v>
      </c>
      <c r="G7" t="s">
        <v>98</v>
      </c>
      <c r="H7" t="s">
        <v>72</v>
      </c>
      <c r="I7" t="str">
        <f>_xlfn.XLOOKUP(Tabla1[[#This Row],[Dependencia]],Tabla2[Dependencia],Tabla2[Clasificación],"No indexado")</f>
        <v>Alcaldías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46168</v>
      </c>
      <c r="B8" t="s">
        <v>75</v>
      </c>
      <c r="C8" s="6" t="s">
        <v>99</v>
      </c>
      <c r="D8" t="s">
        <v>9</v>
      </c>
      <c r="E8" t="s">
        <v>27</v>
      </c>
      <c r="F8" t="s">
        <v>100</v>
      </c>
      <c r="G8" t="s">
        <v>101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5">
        <v>46168</v>
      </c>
      <c r="B9" t="s">
        <v>75</v>
      </c>
      <c r="C9" s="6" t="s">
        <v>102</v>
      </c>
      <c r="D9" t="s">
        <v>12</v>
      </c>
      <c r="E9" t="s">
        <v>24</v>
      </c>
      <c r="F9" t="s">
        <v>24</v>
      </c>
      <c r="G9" t="s">
        <v>103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25">
      <c r="A10" s="5">
        <v>46168</v>
      </c>
      <c r="B10" t="s">
        <v>75</v>
      </c>
      <c r="C10" s="6" t="s">
        <v>104</v>
      </c>
      <c r="D10" t="s">
        <v>12</v>
      </c>
      <c r="E10" t="s">
        <v>105</v>
      </c>
      <c r="F10" t="s">
        <v>105</v>
      </c>
      <c r="G10" t="s">
        <v>106</v>
      </c>
      <c r="H10" t="s">
        <v>11</v>
      </c>
      <c r="I10" t="str">
        <f>_xlfn.XLOOKUP(Tabla1[[#This Row],[Dependencia]],Tabla2[Dependencia],Tabla2[Clasificación],"No indexado")</f>
        <v>No indexado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46168</v>
      </c>
      <c r="B11" t="s">
        <v>75</v>
      </c>
      <c r="C11" s="6" t="s">
        <v>107</v>
      </c>
      <c r="D11" t="s">
        <v>12</v>
      </c>
      <c r="E11" t="s">
        <v>105</v>
      </c>
      <c r="F11" t="s">
        <v>105</v>
      </c>
      <c r="G11" t="s">
        <v>106</v>
      </c>
      <c r="H11" t="s">
        <v>11</v>
      </c>
      <c r="I11" t="str">
        <f>_xlfn.XLOOKUP(Tabla1[[#This Row],[Dependencia]],Tabla2[Dependencia],Tabla2[Clasificación],"No indexado")</f>
        <v>No indexado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46168</v>
      </c>
      <c r="B12" t="s">
        <v>81</v>
      </c>
      <c r="C12" s="6" t="s">
        <v>108</v>
      </c>
      <c r="D12" t="s">
        <v>12</v>
      </c>
      <c r="E12" t="s">
        <v>10</v>
      </c>
      <c r="F12" t="s">
        <v>10</v>
      </c>
      <c r="G12" t="s">
        <v>71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46168</v>
      </c>
      <c r="B13" t="s">
        <v>81</v>
      </c>
      <c r="C13" s="6" t="s">
        <v>109</v>
      </c>
      <c r="D13" t="s">
        <v>12</v>
      </c>
      <c r="E13" t="s">
        <v>10</v>
      </c>
      <c r="F13" t="s">
        <v>10</v>
      </c>
      <c r="G13" t="s">
        <v>71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46168</v>
      </c>
      <c r="B14" t="s">
        <v>81</v>
      </c>
      <c r="C14" s="6" t="s">
        <v>110</v>
      </c>
      <c r="D14" t="s">
        <v>13</v>
      </c>
      <c r="E14" t="s">
        <v>17</v>
      </c>
      <c r="F14" t="s">
        <v>17</v>
      </c>
      <c r="G14" t="s">
        <v>111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ht="30" x14ac:dyDescent="0.25">
      <c r="A15" s="5">
        <v>46168</v>
      </c>
      <c r="B15" t="s">
        <v>81</v>
      </c>
      <c r="C15" s="6" t="s">
        <v>112</v>
      </c>
      <c r="D15" t="s">
        <v>9</v>
      </c>
      <c r="E15" t="s">
        <v>27</v>
      </c>
      <c r="F15" t="s">
        <v>100</v>
      </c>
      <c r="G15" t="s">
        <v>113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5">
        <v>46168</v>
      </c>
      <c r="B16" t="s">
        <v>81</v>
      </c>
      <c r="C16" s="6" t="s">
        <v>114</v>
      </c>
      <c r="D16" t="s">
        <v>12</v>
      </c>
      <c r="E16" t="s">
        <v>23</v>
      </c>
      <c r="F16" t="s">
        <v>115</v>
      </c>
      <c r="G16" t="s">
        <v>116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5">
        <v>46168</v>
      </c>
      <c r="B17" t="s">
        <v>81</v>
      </c>
      <c r="C17" s="6" t="s">
        <v>117</v>
      </c>
      <c r="D17" t="s">
        <v>12</v>
      </c>
      <c r="E17" t="s">
        <v>16</v>
      </c>
      <c r="F17" t="s">
        <v>16</v>
      </c>
      <c r="G17" t="s">
        <v>118</v>
      </c>
      <c r="H17" t="s">
        <v>11</v>
      </c>
      <c r="I17" t="str">
        <f>_xlfn.XLOOKUP(Tabla1[[#This Row],[Dependencia]],Tabla2[Dependencia],Tabla2[Clasificación],"No indexado")</f>
        <v>Alcaldías</v>
      </c>
      <c r="J17" t="str">
        <f>_xlfn.XLOOKUP(Tabla1[[#This Row],[Dependencia]],Tabla3[Dependencia],Tabla3[Nivel],"otros",0)</f>
        <v>otros</v>
      </c>
    </row>
    <row r="18" spans="1:10" ht="30" x14ac:dyDescent="0.25">
      <c r="A18" s="5">
        <v>46168</v>
      </c>
      <c r="B18" t="s">
        <v>81</v>
      </c>
      <c r="C18" s="6" t="s">
        <v>119</v>
      </c>
      <c r="D18" t="s">
        <v>12</v>
      </c>
      <c r="E18" t="s">
        <v>27</v>
      </c>
      <c r="F18" t="s">
        <v>100</v>
      </c>
      <c r="G18" t="s">
        <v>120</v>
      </c>
      <c r="H18" t="s">
        <v>72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ht="30" x14ac:dyDescent="0.25">
      <c r="A19" s="5">
        <v>46168</v>
      </c>
      <c r="B19" t="s">
        <v>68</v>
      </c>
      <c r="C19" s="6" t="s">
        <v>121</v>
      </c>
      <c r="D19" t="s">
        <v>13</v>
      </c>
      <c r="E19" t="s">
        <v>39</v>
      </c>
      <c r="F19" t="s">
        <v>39</v>
      </c>
      <c r="G19" t="s">
        <v>122</v>
      </c>
      <c r="H19" t="s">
        <v>72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5">
        <v>46168</v>
      </c>
      <c r="B20" t="s">
        <v>68</v>
      </c>
      <c r="C20" s="6" t="s">
        <v>123</v>
      </c>
      <c r="D20" t="s">
        <v>12</v>
      </c>
      <c r="E20" t="s">
        <v>14</v>
      </c>
      <c r="F20" t="s">
        <v>14</v>
      </c>
      <c r="G20" t="s">
        <v>124</v>
      </c>
      <c r="H20" t="s">
        <v>11</v>
      </c>
      <c r="I20" t="str">
        <f>_xlfn.XLOOKUP(Tabla1[[#This Row],[Dependencia]],Tabla2[Dependencia],Tabla2[Clasificación],"No indexado")</f>
        <v>Presidencia de la República</v>
      </c>
      <c r="J20" t="str">
        <f>_xlfn.XLOOKUP(Tabla1[[#This Row],[Dependencia]],Tabla3[Dependencia],Tabla3[Nivel],"otros",0)</f>
        <v>otros</v>
      </c>
    </row>
    <row r="21" spans="1:10" x14ac:dyDescent="0.25">
      <c r="A21" s="5">
        <v>46168</v>
      </c>
      <c r="B21" t="s">
        <v>68</v>
      </c>
      <c r="C21" s="6" t="s">
        <v>125</v>
      </c>
      <c r="D21" t="s">
        <v>12</v>
      </c>
      <c r="E21" t="s">
        <v>105</v>
      </c>
      <c r="F21" t="s">
        <v>105</v>
      </c>
      <c r="G21" t="s">
        <v>106</v>
      </c>
      <c r="H21" t="s">
        <v>11</v>
      </c>
      <c r="I21" t="str">
        <f>_xlfn.XLOOKUP(Tabla1[[#This Row],[Dependencia]],Tabla2[Dependencia],Tabla2[Clasificación],"No indexado")</f>
        <v>No indexado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46168</v>
      </c>
      <c r="B22" t="s">
        <v>68</v>
      </c>
      <c r="C22" s="6" t="s">
        <v>126</v>
      </c>
      <c r="D22" t="s">
        <v>12</v>
      </c>
      <c r="E22" t="s">
        <v>105</v>
      </c>
      <c r="F22" t="s">
        <v>105</v>
      </c>
      <c r="G22" t="s">
        <v>106</v>
      </c>
      <c r="H22" t="s">
        <v>11</v>
      </c>
      <c r="I22" t="str">
        <f>_xlfn.XLOOKUP(Tabla1[[#This Row],[Dependencia]],Tabla2[Dependencia],Tabla2[Clasificación],"No indexado")</f>
        <v>No indexado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46168</v>
      </c>
      <c r="B23" t="s">
        <v>68</v>
      </c>
      <c r="C23" s="6" t="s">
        <v>127</v>
      </c>
      <c r="D23" t="s">
        <v>9</v>
      </c>
      <c r="E23" t="s">
        <v>14</v>
      </c>
      <c r="F23" t="s">
        <v>14</v>
      </c>
      <c r="G23" t="s">
        <v>128</v>
      </c>
      <c r="H23" t="s">
        <v>72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ht="30" x14ac:dyDescent="0.25">
      <c r="A24" s="5">
        <v>46168</v>
      </c>
      <c r="B24" t="s">
        <v>68</v>
      </c>
      <c r="C24" s="6" t="s">
        <v>129</v>
      </c>
      <c r="D24" t="s">
        <v>12</v>
      </c>
      <c r="E24" t="s">
        <v>10</v>
      </c>
      <c r="F24" t="s">
        <v>10</v>
      </c>
      <c r="G24" t="s">
        <v>130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46168</v>
      </c>
      <c r="B25" t="s">
        <v>68</v>
      </c>
      <c r="C25" s="6" t="s">
        <v>131</v>
      </c>
      <c r="D25" t="s">
        <v>12</v>
      </c>
      <c r="E25" t="s">
        <v>10</v>
      </c>
      <c r="F25" t="s">
        <v>10</v>
      </c>
      <c r="G25" t="s">
        <v>132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5">
        <v>46168</v>
      </c>
      <c r="B26" t="s">
        <v>68</v>
      </c>
      <c r="C26" s="6" t="s">
        <v>133</v>
      </c>
      <c r="D26" t="s">
        <v>12</v>
      </c>
      <c r="E26" t="s">
        <v>10</v>
      </c>
      <c r="F26" t="s">
        <v>10</v>
      </c>
      <c r="G26" t="s">
        <v>71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46168</v>
      </c>
      <c r="B27" t="s">
        <v>83</v>
      </c>
      <c r="C27" s="6" t="s">
        <v>134</v>
      </c>
      <c r="D27" t="s">
        <v>12</v>
      </c>
      <c r="E27" t="s">
        <v>105</v>
      </c>
      <c r="F27" t="s">
        <v>105</v>
      </c>
      <c r="G27" t="s">
        <v>106</v>
      </c>
      <c r="H27" t="s">
        <v>11</v>
      </c>
      <c r="I27" t="str">
        <f>_xlfn.XLOOKUP(Tabla1[[#This Row],[Dependencia]],Tabla2[Dependencia],Tabla2[Clasificación],"No indexado")</f>
        <v>No indexado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46168</v>
      </c>
      <c r="B28" t="s">
        <v>83</v>
      </c>
      <c r="C28" s="6" t="s">
        <v>135</v>
      </c>
      <c r="D28" t="s">
        <v>13</v>
      </c>
      <c r="E28" t="s">
        <v>23</v>
      </c>
      <c r="F28" t="s">
        <v>115</v>
      </c>
      <c r="G28" t="s">
        <v>116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x14ac:dyDescent="0.25">
      <c r="A29" s="5">
        <v>46168</v>
      </c>
      <c r="B29" t="s">
        <v>83</v>
      </c>
      <c r="C29" s="6" t="s">
        <v>136</v>
      </c>
      <c r="D29" t="s">
        <v>12</v>
      </c>
      <c r="E29" t="s">
        <v>18</v>
      </c>
      <c r="F29" t="s">
        <v>18</v>
      </c>
      <c r="G29" t="s">
        <v>94</v>
      </c>
      <c r="H29" t="s">
        <v>11</v>
      </c>
      <c r="I29" t="str">
        <f>_xlfn.XLOOKUP(Tabla1[[#This Row],[Dependencia]],Tabla2[Dependencia],Tabla2[Clasificación],"No indexado")</f>
        <v>Partidos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46168</v>
      </c>
      <c r="B30" t="s">
        <v>83</v>
      </c>
      <c r="C30" s="6" t="s">
        <v>137</v>
      </c>
      <c r="D30" t="s">
        <v>9</v>
      </c>
      <c r="E30" t="s">
        <v>27</v>
      </c>
      <c r="F30" t="s">
        <v>100</v>
      </c>
      <c r="G30" t="s">
        <v>138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75" x14ac:dyDescent="0.25">
      <c r="A31" s="5">
        <v>46168</v>
      </c>
      <c r="B31" t="s">
        <v>83</v>
      </c>
      <c r="C31" s="6" t="s">
        <v>139</v>
      </c>
      <c r="D31" t="s">
        <v>12</v>
      </c>
      <c r="E31" t="s">
        <v>10</v>
      </c>
      <c r="F31" t="s">
        <v>10</v>
      </c>
      <c r="G31" t="s">
        <v>140</v>
      </c>
      <c r="H31" t="s">
        <v>11</v>
      </c>
      <c r="I31" t="str">
        <f>_xlfn.XLOOKUP(Tabla1[[#This Row],[Dependencia]],Tabla2[Dependencia],Tabla2[Clasificación],"No indexado")</f>
        <v>Otros</v>
      </c>
      <c r="J31" t="str">
        <f>_xlfn.XLOOKUP(Tabla1[[#This Row],[Dependencia]],Tabla3[Dependencia],Tabla3[Nivel],"otros",0)</f>
        <v>otros</v>
      </c>
    </row>
    <row r="32" spans="1:10" ht="30" x14ac:dyDescent="0.25">
      <c r="A32" s="5">
        <v>46168</v>
      </c>
      <c r="B32" t="s">
        <v>76</v>
      </c>
      <c r="C32" s="6" t="s">
        <v>141</v>
      </c>
      <c r="D32" t="s">
        <v>13</v>
      </c>
      <c r="E32" t="s">
        <v>142</v>
      </c>
      <c r="F32" t="s">
        <v>142</v>
      </c>
      <c r="G32" t="s">
        <v>143</v>
      </c>
      <c r="H32" t="s">
        <v>70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x14ac:dyDescent="0.25">
      <c r="A33" s="5">
        <v>46168</v>
      </c>
      <c r="B33" t="s">
        <v>76</v>
      </c>
      <c r="C33" s="6" t="s">
        <v>144</v>
      </c>
      <c r="D33" t="s">
        <v>12</v>
      </c>
      <c r="E33" t="s">
        <v>29</v>
      </c>
      <c r="F33" t="s">
        <v>29</v>
      </c>
      <c r="G33" t="s">
        <v>145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5">
        <v>46168</v>
      </c>
      <c r="B34" t="s">
        <v>76</v>
      </c>
      <c r="C34" s="6" t="s">
        <v>146</v>
      </c>
      <c r="D34" t="s">
        <v>12</v>
      </c>
      <c r="E34" t="s">
        <v>17</v>
      </c>
      <c r="F34" t="s">
        <v>17</v>
      </c>
      <c r="G34" t="s">
        <v>111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46168</v>
      </c>
      <c r="B35" t="s">
        <v>76</v>
      </c>
      <c r="C35" s="6" t="s">
        <v>147</v>
      </c>
      <c r="D35" t="s">
        <v>12</v>
      </c>
      <c r="E35" t="s">
        <v>35</v>
      </c>
      <c r="F35" t="s">
        <v>35</v>
      </c>
      <c r="G35" t="s">
        <v>148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5">
        <v>46168</v>
      </c>
      <c r="B36" t="s">
        <v>76</v>
      </c>
      <c r="C36" s="6" t="s">
        <v>149</v>
      </c>
      <c r="D36" t="s">
        <v>12</v>
      </c>
      <c r="E36" t="s">
        <v>10</v>
      </c>
      <c r="F36" t="s">
        <v>10</v>
      </c>
      <c r="G36" t="s">
        <v>80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x14ac:dyDescent="0.25">
      <c r="A37" s="5">
        <v>46168</v>
      </c>
      <c r="B37" t="s">
        <v>73</v>
      </c>
      <c r="C37" s="6" t="s">
        <v>150</v>
      </c>
      <c r="D37" t="s">
        <v>9</v>
      </c>
      <c r="E37" t="s">
        <v>29</v>
      </c>
      <c r="F37" t="s">
        <v>29</v>
      </c>
      <c r="G37" t="s">
        <v>145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5">
        <v>46168</v>
      </c>
      <c r="B38" t="s">
        <v>73</v>
      </c>
      <c r="C38" s="6" t="s">
        <v>151</v>
      </c>
      <c r="D38" t="s">
        <v>12</v>
      </c>
      <c r="E38" t="s">
        <v>14</v>
      </c>
      <c r="F38" t="s">
        <v>152</v>
      </c>
      <c r="G38" t="s">
        <v>153</v>
      </c>
      <c r="H38" t="s">
        <v>72</v>
      </c>
      <c r="I38" t="str">
        <f>_xlfn.XLOOKUP(Tabla1[[#This Row],[Dependencia]],Tabla2[Dependencia],Tabla2[Clasificación],"No indexado")</f>
        <v>Presidencia de la República</v>
      </c>
      <c r="J38" t="str">
        <f>_xlfn.XLOOKUP(Tabla1[[#This Row],[Dependencia]],Tabla3[Dependencia],Tabla3[Nivel],"otros",0)</f>
        <v>otros</v>
      </c>
    </row>
    <row r="39" spans="1:10" ht="30" x14ac:dyDescent="0.25">
      <c r="A39" s="5">
        <v>46168</v>
      </c>
      <c r="B39" t="s">
        <v>73</v>
      </c>
      <c r="C39" s="6" t="s">
        <v>154</v>
      </c>
      <c r="D39" t="s">
        <v>12</v>
      </c>
      <c r="E39" t="s">
        <v>23</v>
      </c>
      <c r="F39" t="s">
        <v>115</v>
      </c>
      <c r="G39" t="s">
        <v>116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5">
        <v>46168</v>
      </c>
      <c r="B40" t="s">
        <v>73</v>
      </c>
      <c r="C40" s="6" t="s">
        <v>155</v>
      </c>
      <c r="D40" t="s">
        <v>13</v>
      </c>
      <c r="E40" t="s">
        <v>14</v>
      </c>
      <c r="F40" t="s">
        <v>152</v>
      </c>
      <c r="G40" t="s">
        <v>156</v>
      </c>
      <c r="H40" t="s">
        <v>11</v>
      </c>
      <c r="I40" t="str">
        <f>_xlfn.XLOOKUP(Tabla1[[#This Row],[Dependencia]],Tabla2[Dependencia],Tabla2[Clasificación],"No indexado")</f>
        <v>Presidencia de la República</v>
      </c>
      <c r="J40" t="str">
        <f>_xlfn.XLOOKUP(Tabla1[[#This Row],[Dependencia]],Tabla3[Dependencia],Tabla3[Nivel],"otros",0)</f>
        <v>otros</v>
      </c>
    </row>
    <row r="41" spans="1:10" ht="30" x14ac:dyDescent="0.25">
      <c r="A41" s="5">
        <v>46168</v>
      </c>
      <c r="B41" t="s">
        <v>73</v>
      </c>
      <c r="C41" s="6" t="s">
        <v>157</v>
      </c>
      <c r="D41" t="s">
        <v>12</v>
      </c>
      <c r="E41" t="s">
        <v>10</v>
      </c>
      <c r="F41" t="s">
        <v>10</v>
      </c>
      <c r="G41" t="s">
        <v>71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46168</v>
      </c>
      <c r="B42" t="s">
        <v>73</v>
      </c>
      <c r="C42" s="6" t="s">
        <v>158</v>
      </c>
      <c r="D42" t="s">
        <v>12</v>
      </c>
      <c r="E42" t="s">
        <v>35</v>
      </c>
      <c r="F42" t="s">
        <v>35</v>
      </c>
      <c r="G42" t="s">
        <v>148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5">
        <v>46168</v>
      </c>
      <c r="B43" t="s">
        <v>74</v>
      </c>
      <c r="C43" s="6" t="s">
        <v>159</v>
      </c>
      <c r="D43" t="s">
        <v>13</v>
      </c>
      <c r="E43" t="s">
        <v>35</v>
      </c>
      <c r="F43" t="s">
        <v>35</v>
      </c>
      <c r="G43" t="s">
        <v>148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5">
        <v>46168</v>
      </c>
      <c r="B44" t="s">
        <v>74</v>
      </c>
      <c r="C44" s="6" t="s">
        <v>160</v>
      </c>
      <c r="D44" t="s">
        <v>9</v>
      </c>
      <c r="E44" t="s">
        <v>34</v>
      </c>
      <c r="F44" t="s">
        <v>34</v>
      </c>
      <c r="G44" t="s">
        <v>82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46168</v>
      </c>
      <c r="B45" t="s">
        <v>74</v>
      </c>
      <c r="C45" s="6" t="s">
        <v>161</v>
      </c>
      <c r="D45" t="s">
        <v>12</v>
      </c>
      <c r="E45" t="s">
        <v>16</v>
      </c>
      <c r="F45" t="s">
        <v>16</v>
      </c>
      <c r="G45" t="s">
        <v>162</v>
      </c>
      <c r="H45" t="s">
        <v>70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x14ac:dyDescent="0.25">
      <c r="A46" s="5">
        <v>46168</v>
      </c>
      <c r="B46" t="s">
        <v>74</v>
      </c>
      <c r="C46" s="6" t="s">
        <v>163</v>
      </c>
      <c r="D46" t="s">
        <v>12</v>
      </c>
      <c r="E46" t="s">
        <v>17</v>
      </c>
      <c r="F46" t="s">
        <v>17</v>
      </c>
      <c r="G46" t="s">
        <v>111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5">
        <v>46168</v>
      </c>
      <c r="B47" t="s">
        <v>74</v>
      </c>
      <c r="C47" s="6" t="s">
        <v>164</v>
      </c>
      <c r="D47" t="s">
        <v>12</v>
      </c>
      <c r="E47" t="s">
        <v>105</v>
      </c>
      <c r="F47" t="s">
        <v>105</v>
      </c>
      <c r="G47" t="s">
        <v>106</v>
      </c>
      <c r="H47" t="s">
        <v>11</v>
      </c>
      <c r="I47" t="str">
        <f>_xlfn.XLOOKUP(Tabla1[[#This Row],[Dependencia]],Tabla2[Dependencia],Tabla2[Clasificación],"No indexado")</f>
        <v>No indexado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46168</v>
      </c>
      <c r="B48" t="s">
        <v>79</v>
      </c>
      <c r="C48" s="6" t="s">
        <v>165</v>
      </c>
      <c r="D48" t="s">
        <v>13</v>
      </c>
      <c r="E48" t="s">
        <v>23</v>
      </c>
      <c r="F48" t="s">
        <v>115</v>
      </c>
      <c r="G48" t="s">
        <v>116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5">
        <v>46168</v>
      </c>
      <c r="B49" t="s">
        <v>79</v>
      </c>
      <c r="C49" s="6" t="s">
        <v>166</v>
      </c>
      <c r="D49" t="s">
        <v>12</v>
      </c>
      <c r="E49" t="s">
        <v>26</v>
      </c>
      <c r="F49" t="s">
        <v>26</v>
      </c>
      <c r="G49" t="s">
        <v>167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25">
      <c r="A50" s="5">
        <v>46168</v>
      </c>
      <c r="B50" t="s">
        <v>79</v>
      </c>
      <c r="C50" s="6" t="s">
        <v>168</v>
      </c>
      <c r="D50" t="s">
        <v>12</v>
      </c>
      <c r="E50" t="s">
        <v>29</v>
      </c>
      <c r="F50" t="s">
        <v>29</v>
      </c>
      <c r="G50" t="s">
        <v>145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30" x14ac:dyDescent="0.25">
      <c r="A51" s="5">
        <v>46168</v>
      </c>
      <c r="B51" t="s">
        <v>79</v>
      </c>
      <c r="C51" s="6" t="s">
        <v>169</v>
      </c>
      <c r="D51" t="s">
        <v>12</v>
      </c>
      <c r="E51" t="s">
        <v>16</v>
      </c>
      <c r="F51" t="s">
        <v>170</v>
      </c>
      <c r="G51" t="s">
        <v>171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46168</v>
      </c>
      <c r="B52" t="s">
        <v>79</v>
      </c>
      <c r="C52" s="6" t="s">
        <v>172</v>
      </c>
      <c r="D52" t="s">
        <v>12</v>
      </c>
      <c r="E52" t="s">
        <v>24</v>
      </c>
      <c r="F52" t="s">
        <v>24</v>
      </c>
      <c r="G52" t="s">
        <v>103</v>
      </c>
      <c r="H52" t="s">
        <v>70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Gobernador</v>
      </c>
    </row>
    <row r="53" spans="1:10" x14ac:dyDescent="0.25">
      <c r="A53" s="5">
        <v>46168</v>
      </c>
      <c r="B53" t="s">
        <v>77</v>
      </c>
      <c r="C53" s="6" t="s">
        <v>173</v>
      </c>
      <c r="D53" t="s">
        <v>13</v>
      </c>
      <c r="E53" t="s">
        <v>24</v>
      </c>
      <c r="F53" t="s">
        <v>24</v>
      </c>
      <c r="G53" t="s">
        <v>103</v>
      </c>
      <c r="H53" t="s">
        <v>70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Gobernador</v>
      </c>
    </row>
    <row r="54" spans="1:10" x14ac:dyDescent="0.25">
      <c r="A54" s="5">
        <v>46168</v>
      </c>
      <c r="B54" t="s">
        <v>77</v>
      </c>
      <c r="C54" s="6" t="s">
        <v>174</v>
      </c>
      <c r="D54" t="s">
        <v>12</v>
      </c>
      <c r="E54" t="s">
        <v>23</v>
      </c>
      <c r="F54" t="s">
        <v>115</v>
      </c>
      <c r="G54" t="s">
        <v>116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90" x14ac:dyDescent="0.25">
      <c r="A55" s="5">
        <v>46168</v>
      </c>
      <c r="B55" t="s">
        <v>77</v>
      </c>
      <c r="C55" s="6" t="s">
        <v>175</v>
      </c>
      <c r="D55" t="s">
        <v>84</v>
      </c>
      <c r="E55" t="s">
        <v>27</v>
      </c>
      <c r="F55" t="s">
        <v>100</v>
      </c>
      <c r="G55" t="s">
        <v>138</v>
      </c>
      <c r="H55" t="s">
        <v>72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5">
        <v>46168</v>
      </c>
      <c r="B56" t="s">
        <v>77</v>
      </c>
      <c r="C56" s="6" t="s">
        <v>176</v>
      </c>
      <c r="D56" t="s">
        <v>12</v>
      </c>
      <c r="E56" t="s">
        <v>105</v>
      </c>
      <c r="F56" t="s">
        <v>105</v>
      </c>
      <c r="G56" t="s">
        <v>106</v>
      </c>
      <c r="H56" t="s">
        <v>11</v>
      </c>
      <c r="I56" t="str">
        <f>_xlfn.XLOOKUP(Tabla1[[#This Row],[Dependencia]],Tabla2[Dependencia],Tabla2[Clasificación],"No indexado")</f>
        <v>No indexado</v>
      </c>
      <c r="J56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66</v>
      </c>
    </row>
    <row r="2" spans="1:5" x14ac:dyDescent="0.25">
      <c r="A2" t="s">
        <v>62</v>
      </c>
      <c r="B2" t="s">
        <v>63</v>
      </c>
      <c r="D2" s="10" t="s">
        <v>19</v>
      </c>
      <c r="E2" t="s">
        <v>67</v>
      </c>
    </row>
    <row r="3" spans="1:5" x14ac:dyDescent="0.25">
      <c r="A3" t="s">
        <v>16</v>
      </c>
      <c r="B3" t="s">
        <v>31</v>
      </c>
      <c r="D3" s="9" t="s">
        <v>33</v>
      </c>
      <c r="E3" t="s">
        <v>67</v>
      </c>
    </row>
    <row r="4" spans="1:5" x14ac:dyDescent="0.25">
      <c r="A4" t="s">
        <v>19</v>
      </c>
      <c r="B4" t="s">
        <v>32</v>
      </c>
      <c r="D4" s="9" t="s">
        <v>35</v>
      </c>
      <c r="E4" t="s">
        <v>67</v>
      </c>
    </row>
    <row r="5" spans="1:5" x14ac:dyDescent="0.25">
      <c r="A5" t="s">
        <v>61</v>
      </c>
      <c r="B5" t="s">
        <v>10</v>
      </c>
      <c r="D5" s="10" t="s">
        <v>28</v>
      </c>
      <c r="E5" t="s">
        <v>67</v>
      </c>
    </row>
    <row r="6" spans="1:5" x14ac:dyDescent="0.25">
      <c r="A6" t="s">
        <v>33</v>
      </c>
      <c r="B6" t="s">
        <v>32</v>
      </c>
      <c r="D6" s="10" t="s">
        <v>36</v>
      </c>
      <c r="E6" t="s">
        <v>67</v>
      </c>
    </row>
    <row r="7" spans="1:5" x14ac:dyDescent="0.25">
      <c r="A7" t="s">
        <v>34</v>
      </c>
      <c r="B7" t="s">
        <v>10</v>
      </c>
      <c r="D7" s="9" t="s">
        <v>37</v>
      </c>
      <c r="E7" t="s">
        <v>67</v>
      </c>
    </row>
    <row r="8" spans="1:5" x14ac:dyDescent="0.25">
      <c r="A8" t="s">
        <v>35</v>
      </c>
      <c r="B8" t="s">
        <v>32</v>
      </c>
      <c r="D8" s="9" t="s">
        <v>37</v>
      </c>
      <c r="E8" t="s">
        <v>67</v>
      </c>
    </row>
    <row r="9" spans="1:5" x14ac:dyDescent="0.25">
      <c r="A9" t="s">
        <v>28</v>
      </c>
      <c r="B9" t="s">
        <v>32</v>
      </c>
      <c r="D9" s="9" t="s">
        <v>38</v>
      </c>
      <c r="E9" t="s">
        <v>67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2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2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2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2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2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2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2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2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2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2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2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2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2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2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2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48</v>
      </c>
      <c r="B29" t="s">
        <v>32</v>
      </c>
    </row>
    <row r="30" spans="1:5" x14ac:dyDescent="0.25">
      <c r="A30" t="s">
        <v>49</v>
      </c>
      <c r="B30" t="s">
        <v>45</v>
      </c>
    </row>
    <row r="31" spans="1:5" x14ac:dyDescent="0.25">
      <c r="A31" t="s">
        <v>14</v>
      </c>
      <c r="B31" t="s">
        <v>50</v>
      </c>
    </row>
    <row r="32" spans="1:5" x14ac:dyDescent="0.25">
      <c r="A32" t="s">
        <v>51</v>
      </c>
      <c r="B32" t="s">
        <v>45</v>
      </c>
    </row>
    <row r="33" spans="1:2" x14ac:dyDescent="0.25">
      <c r="A33" t="s">
        <v>52</v>
      </c>
      <c r="B33" t="s">
        <v>45</v>
      </c>
    </row>
    <row r="34" spans="1:2" x14ac:dyDescent="0.25">
      <c r="A34" t="s">
        <v>53</v>
      </c>
      <c r="B34" t="s">
        <v>45</v>
      </c>
    </row>
    <row r="35" spans="1:2" x14ac:dyDescent="0.25">
      <c r="A35" t="s">
        <v>54</v>
      </c>
      <c r="B35" t="s">
        <v>32</v>
      </c>
    </row>
    <row r="36" spans="1:2" x14ac:dyDescent="0.25">
      <c r="A36" t="s">
        <v>55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56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57</v>
      </c>
      <c r="B44" t="s">
        <v>32</v>
      </c>
    </row>
    <row r="45" spans="1:2" x14ac:dyDescent="0.25">
      <c r="A45" t="s">
        <v>58</v>
      </c>
      <c r="B45" t="s">
        <v>10</v>
      </c>
    </row>
    <row r="46" spans="1:2" x14ac:dyDescent="0.25">
      <c r="A46" t="s">
        <v>59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2026-05-26T15:27:32Z</dcterms:modified>
</cp:coreProperties>
</file>