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CBCD2B29-470B-4564-88A5-593CC3FC5F89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I2" i="1"/>
  <c r="J2" i="1"/>
</calcChain>
</file>

<file path=xl/sharedStrings.xml><?xml version="1.0" encoding="utf-8"?>
<sst xmlns="http://schemas.openxmlformats.org/spreadsheetml/2006/main" count="544" uniqueCount="180">
  <si>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</si>
  <si>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</si>
  <si>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</si>
  <si>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</si>
  <si>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</si>
  <si>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</si>
  <si>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</si>
  <si>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</si>
  <si>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</si>
  <si>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</si>
  <si>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</si>
  <si>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</si>
  <si>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</si>
  <si>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</si>
  <si>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</si>
  <si>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</si>
  <si>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</si>
  <si>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</si>
  <si>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</si>
  <si>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</si>
  <si>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</si>
  <si>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</si>
  <si>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</si>
  <si>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</si>
  <si>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</si>
  <si>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</si>
  <si>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</si>
  <si>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</si>
  <si>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</si>
  <si>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</si>
  <si>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</si>
  <si>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</si>
  <si>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</si>
  <si>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</si>
  <si>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</si>
  <si>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</si>
  <si>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</si>
  <si>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</si>
  <si>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</si>
  <si>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</si>
  <si>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</si>
  <si>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</si>
  <si>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</si>
  <si>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</si>
  <si>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</si>
  <si>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</si>
  <si>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</si>
  <si>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</si>
  <si>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</si>
  <si>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</si>
  <si>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</si>
  <si>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</si>
  <si>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</si>
  <si>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</si>
  <si>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</si>
  <si>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</si>
  <si>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</si>
  <si>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</si>
  <si>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</si>
  <si>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</si>
  <si>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</si>
  <si>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</si>
  <si>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</si>
  <si>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</si>
  <si>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</si>
  <si>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</si>
  <si>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</si>
  <si>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</si>
  <si>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</si>
  <si>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</si>
  <si>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</si>
  <si>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</si>
  <si>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Pachuca Brilla</t>
  </si>
  <si>
    <t>Temas varios</t>
  </si>
  <si>
    <t>Deportes</t>
  </si>
  <si>
    <t>Publicidad</t>
  </si>
  <si>
    <t>Videovigilancia</t>
  </si>
  <si>
    <t>Sipdus</t>
  </si>
  <si>
    <t>Criterio</t>
  </si>
  <si>
    <t>Marfeca</t>
  </si>
  <si>
    <t>Cintillo</t>
  </si>
  <si>
    <t>Positiva</t>
  </si>
  <si>
    <t>Bienestar Animal</t>
  </si>
  <si>
    <t>Síntesis</t>
  </si>
  <si>
    <t>Policía municipal</t>
  </si>
  <si>
    <t>Milenio Hidalgo</t>
  </si>
  <si>
    <t>ayuda Humanitaria</t>
  </si>
  <si>
    <t>Canta por tu perro</t>
  </si>
  <si>
    <t>Proespa</t>
  </si>
  <si>
    <t>Detención de policía</t>
  </si>
  <si>
    <t>Índice De Actividad Industrial</t>
  </si>
  <si>
    <t>Temas internacionales</t>
  </si>
  <si>
    <t>Universidades</t>
  </si>
  <si>
    <t>Día de los pueblos indígenas</t>
  </si>
  <si>
    <t>Pavimentación hidráulica</t>
  </si>
  <si>
    <t>Más tecnología, más cobertura</t>
  </si>
  <si>
    <t>El SAT busca que deudores se pongan al día</t>
  </si>
  <si>
    <t>Recaudación</t>
  </si>
  <si>
    <t>Van 16 eclipses solares alrededor del mundo</t>
  </si>
  <si>
    <t>Piden solucionar obra de drenaje inconcluso</t>
  </si>
  <si>
    <t>Obra inconclusa</t>
  </si>
  <si>
    <t>Leyenda de Pachuca: el origen de la Bella Airosa</t>
  </si>
  <si>
    <t>Jóvenes buscan reducir estímulos al ver videos</t>
  </si>
  <si>
    <t>Denuncian derribo de árboles en Pachuca</t>
  </si>
  <si>
    <t>OEEH</t>
  </si>
  <si>
    <t>Deforestación</t>
  </si>
  <si>
    <t>Obra del tren Aifa-Pachuca detona la economía</t>
  </si>
  <si>
    <t>SICT</t>
  </si>
  <si>
    <t>Tren AIFA</t>
  </si>
  <si>
    <t>Pide la Canacintra dejar de consultar obras federales</t>
  </si>
  <si>
    <t>Proyectos Federales</t>
  </si>
  <si>
    <t>Crecen en 400% los fraudes</t>
  </si>
  <si>
    <t>Prevención de fraudes laborales</t>
  </si>
  <si>
    <t>Hidalgo lidera el crecimiento industrial</t>
  </si>
  <si>
    <t>Reportan sequía 12 municipios</t>
  </si>
  <si>
    <t>Sequía</t>
  </si>
  <si>
    <t>Tres pruebas para resurgir</t>
  </si>
  <si>
    <t>Xavi toma la oranje</t>
  </si>
  <si>
    <t>Diputados acumulan 125 ausencias justificadas</t>
  </si>
  <si>
    <t>Inasistencia</t>
  </si>
  <si>
    <t>Posponen la resolución por la designación de contralor</t>
  </si>
  <si>
    <t>Órganos de control Interno</t>
  </si>
  <si>
    <t>Tres ayuntamientos reciben donación de agentes caninos</t>
  </si>
  <si>
    <t>Unidad canina</t>
  </si>
  <si>
    <t>Descarta que haya corrupción en l as corporaciones de seguridad locales</t>
  </si>
  <si>
    <t>Recibieron San Agustín Tlaxiaca y Huazalingo financiamiento</t>
  </si>
  <si>
    <t>Financiamiento municipios</t>
  </si>
  <si>
    <t>La inversión privada asciende a 125 mmdp</t>
  </si>
  <si>
    <t>Atracción De Inversiones</t>
  </si>
  <si>
    <t>Androides, la apuesta de automotrices</t>
  </si>
  <si>
    <t>Sin control de confianza, encargado del C2 detenido</t>
  </si>
  <si>
    <t>Alcalde</t>
  </si>
  <si>
    <t>Pausa TEPJF la revisión de nombramiento en el TEEH</t>
  </si>
  <si>
    <t>Órgano Interno de Control</t>
  </si>
  <si>
    <t>Multan a participantes en elección de Cuautepec</t>
  </si>
  <si>
    <t>Multas Partidos</t>
  </si>
  <si>
    <t>El gobernador Julio Menchaca inauguró el encuentro Momentum: Expo Industrial Hidalgo 2026</t>
  </si>
  <si>
    <t>Fotonota</t>
  </si>
  <si>
    <t>Expo industrial</t>
  </si>
  <si>
    <t>Más de 1500 parteras tradicionales son homenajeadas en encuentro comunitario</t>
  </si>
  <si>
    <t>EU aprovecha el sismo, se mete a Colombia y lo suma al Escudo de las Américas</t>
  </si>
  <si>
    <t>Ayuda a cuentagotas, miles de manos, poca maquinaria...</t>
  </si>
  <si>
    <t>Hidalgo, líder en crecimiento industrial: Julio Menchaca</t>
  </si>
  <si>
    <t>Secretaria admite sequía de inversiones en Tulancingo</t>
  </si>
  <si>
    <t>Mancilla y Ávila juegan a los empujones en el patio del Senado</t>
  </si>
  <si>
    <t>Enfrentamiento</t>
  </si>
  <si>
    <t>Gobernador objeta versión de refinería pirata en Tizayuca</t>
  </si>
  <si>
    <t>Combate Al Huachicol</t>
  </si>
  <si>
    <t>Recuperar lo público no significa regresar al pasado ni pensar que todo debe depender del gobierno.  Significa algo mucho más básico: garantizar que existan espacios, servicios y oportunidades que ninguna  persona pierda simplemente porque no puede pagarlos ”</t>
  </si>
  <si>
    <t>Recuperación De Espacios Públicos</t>
  </si>
  <si>
    <t>Centro clandestino de huachicol en Tizayuca operaba como industria química</t>
  </si>
  <si>
    <t>Inaugura Menchaca Momentum Expo Industrial; reúne a 60 empresas</t>
  </si>
  <si>
    <t>Anuncian rehabilitación de calles en Huazalingo y San Agustín Tlaxiaca</t>
  </si>
  <si>
    <t>Recibe Jorge Reyes 770 solicitudes en jornada de atención en San Antonio</t>
  </si>
  <si>
    <t>Atención a la ciudadanía</t>
  </si>
  <si>
    <t>Mineral de la Reforma plantea sanciones por no retirar escombros de la vía pública</t>
  </si>
  <si>
    <t>Limpieza Urbana</t>
  </si>
  <si>
    <t>Camioneta del Ejército invade carril confinado, hay 2 policontundidos</t>
  </si>
  <si>
    <t>Ejército</t>
  </si>
  <si>
    <t>Carril confinado</t>
  </si>
  <si>
    <t>Docente de la UTMZ estudiará posgrado en España</t>
  </si>
  <si>
    <t>Movilidad Académica</t>
  </si>
  <si>
    <t>Hidalgo, líder en crecimiento industrial: Menchaca</t>
  </si>
  <si>
    <t>Jorge Reyes encabeza jornada de atención ciudadana en San Antonio</t>
  </si>
  <si>
    <t>Arranca pavimentación hidráulica de la calle Hidalgo en San Isidro El Tanque</t>
  </si>
  <si>
    <t>Fortalece Hidalgo acciones para la prevención, diagnóstico y tratamiento del cáncer en las mujeres</t>
  </si>
  <si>
    <t>Prevención cáncer de mama</t>
  </si>
  <si>
    <t>Gobierno de México invertirá 2 mil 277 millones de pesos en la carretera Pachuca-Huejutla</t>
  </si>
  <si>
    <t>Carretera Huejutla</t>
  </si>
  <si>
    <t>Camino a casa seguro</t>
  </si>
  <si>
    <t>Impacta unidad de Sedena a Transporte Metropolitano; dos lesionados</t>
  </si>
  <si>
    <t>Sitmah</t>
  </si>
  <si>
    <t>Detienen por narcomenudeo a cinco personas en Pachuca</t>
  </si>
  <si>
    <t>Combate Al Narcomenudeo</t>
  </si>
  <si>
    <t>Estudiantes de UTVAM obtienen certificación internacional en diseño mecánico</t>
  </si>
  <si>
    <t>Certificación</t>
  </si>
  <si>
    <t>Plaza Juárez</t>
  </si>
  <si>
    <t>Invertirán 2 mil 277 mdp en la carretera Pachuca-Huejutla</t>
  </si>
  <si>
    <t>Aseguran 7 mil litros de hidrocarburo ilegal en Tula</t>
  </si>
  <si>
    <t>Los Topos mexicanos de Tlatelolco no viajarán a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</si>
</sst>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6" totalsRowShown="0" headerRowDxfId="5" headerRowBorderDxfId="4">
  <autoFilter ref="A1:J56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6"/>
  <sheetViews>
    <sheetView tabSelected="1" workbookViewId="0"/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46247</v>
      </c>
      <c r="B2" t="s">
        <v>67</v>
      </c>
      <c r="C2" s="5" t="s">
        <v>96</v>
      </c>
      <c r="D2" t="s">
        <v>12</v>
      </c>
      <c r="E2" t="s">
        <v>14</v>
      </c>
      <c r="F2" t="s">
        <v>14</v>
      </c>
      <c r="G2" t="s">
        <v>97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46247</v>
      </c>
      <c r="B3" t="s">
        <v>67</v>
      </c>
      <c r="C3" s="5" t="s">
        <v>98</v>
      </c>
      <c r="D3" t="s">
        <v>9</v>
      </c>
      <c r="E3" t="s">
        <v>10</v>
      </c>
      <c r="F3" t="s">
        <v>10</v>
      </c>
      <c r="G3" t="s">
        <v>73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11">
        <v>46247</v>
      </c>
      <c r="B4" t="s">
        <v>67</v>
      </c>
      <c r="C4" s="5" t="s">
        <v>99</v>
      </c>
      <c r="D4" t="s">
        <v>13</v>
      </c>
      <c r="E4" t="s">
        <v>77</v>
      </c>
      <c r="F4" t="s">
        <v>77</v>
      </c>
      <c r="G4" t="s">
        <v>100</v>
      </c>
      <c r="H4" t="s">
        <v>70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11">
        <v>46247</v>
      </c>
      <c r="B5" t="s">
        <v>67</v>
      </c>
      <c r="C5" s="5" t="s">
        <v>101</v>
      </c>
      <c r="D5" t="s">
        <v>12</v>
      </c>
      <c r="E5" t="s">
        <v>10</v>
      </c>
      <c r="F5" t="s">
        <v>10</v>
      </c>
      <c r="G5" t="s">
        <v>73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46247</v>
      </c>
      <c r="B6" t="s">
        <v>67</v>
      </c>
      <c r="C6" s="5" t="s">
        <v>102</v>
      </c>
      <c r="D6" t="s">
        <v>12</v>
      </c>
      <c r="E6" t="s">
        <v>10</v>
      </c>
      <c r="F6" t="s">
        <v>10</v>
      </c>
      <c r="G6" t="s">
        <v>73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46247</v>
      </c>
      <c r="B7" t="s">
        <v>71</v>
      </c>
      <c r="C7" s="5" t="s">
        <v>103</v>
      </c>
      <c r="D7" t="s">
        <v>9</v>
      </c>
      <c r="E7" t="s">
        <v>29</v>
      </c>
      <c r="F7" t="s">
        <v>104</v>
      </c>
      <c r="G7" t="s">
        <v>105</v>
      </c>
      <c r="H7" t="s">
        <v>70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11">
        <v>46247</v>
      </c>
      <c r="B8" t="s">
        <v>71</v>
      </c>
      <c r="C8" s="5" t="s">
        <v>106</v>
      </c>
      <c r="D8" t="s">
        <v>12</v>
      </c>
      <c r="E8" t="s">
        <v>14</v>
      </c>
      <c r="F8" t="s">
        <v>107</v>
      </c>
      <c r="G8" t="s">
        <v>108</v>
      </c>
      <c r="H8" t="s">
        <v>81</v>
      </c>
      <c r="I8" t="str">
        <f>_xlfn.XLOOKUP(Tabla1[[#This Row],[Dependencia]],Tabla2[Dependencia],Tabla2[Clasificación],"XXX",0)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46247</v>
      </c>
      <c r="B9" t="s">
        <v>71</v>
      </c>
      <c r="C9" s="5" t="s">
        <v>109</v>
      </c>
      <c r="D9" t="s">
        <v>13</v>
      </c>
      <c r="E9" t="s">
        <v>14</v>
      </c>
      <c r="F9" t="s">
        <v>14</v>
      </c>
      <c r="G9" t="s">
        <v>110</v>
      </c>
      <c r="H9" t="s">
        <v>70</v>
      </c>
      <c r="I9" t="str">
        <f>_xlfn.XLOOKUP(Tabla1[[#This Row],[Dependencia]],Tabla2[Dependencia],Tabla2[Clasificación],"XXX",0)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35">
      <c r="A10" s="11">
        <v>46247</v>
      </c>
      <c r="B10" t="s">
        <v>71</v>
      </c>
      <c r="C10" s="5" t="s">
        <v>111</v>
      </c>
      <c r="D10" t="s">
        <v>12</v>
      </c>
      <c r="E10" t="s">
        <v>56</v>
      </c>
      <c r="F10" t="s">
        <v>2</v>
      </c>
      <c r="G10" t="s">
        <v>112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11">
        <v>46247</v>
      </c>
      <c r="B11" t="s">
        <v>71</v>
      </c>
      <c r="C11" s="5" t="s">
        <v>113</v>
      </c>
      <c r="D11" t="s">
        <v>12</v>
      </c>
      <c r="E11" t="s">
        <v>24</v>
      </c>
      <c r="F11" t="s">
        <v>24</v>
      </c>
      <c r="G11" t="s">
        <v>90</v>
      </c>
      <c r="H11" t="s">
        <v>81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Gobernador</v>
      </c>
    </row>
    <row r="12" spans="1:10" x14ac:dyDescent="0.35">
      <c r="A12" s="11">
        <v>46247</v>
      </c>
      <c r="B12" t="s">
        <v>71</v>
      </c>
      <c r="C12" s="5" t="s">
        <v>114</v>
      </c>
      <c r="D12" t="s">
        <v>12</v>
      </c>
      <c r="E12" t="s">
        <v>16</v>
      </c>
      <c r="F12" t="s">
        <v>16</v>
      </c>
      <c r="G12" t="s">
        <v>115</v>
      </c>
      <c r="H12" t="s">
        <v>11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x14ac:dyDescent="0.35">
      <c r="A13" s="11">
        <v>46247</v>
      </c>
      <c r="B13" t="s">
        <v>78</v>
      </c>
      <c r="C13" s="5" t="s">
        <v>116</v>
      </c>
      <c r="D13" t="s">
        <v>12</v>
      </c>
      <c r="E13" t="s">
        <v>10</v>
      </c>
      <c r="F13" t="s">
        <v>10</v>
      </c>
      <c r="G13" t="s">
        <v>74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46247</v>
      </c>
      <c r="B14" t="s">
        <v>78</v>
      </c>
      <c r="C14" s="5" t="s">
        <v>117</v>
      </c>
      <c r="D14" t="s">
        <v>12</v>
      </c>
      <c r="E14" t="s">
        <v>10</v>
      </c>
      <c r="F14" t="s">
        <v>10</v>
      </c>
      <c r="G14" t="s">
        <v>74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46247</v>
      </c>
      <c r="B15" t="s">
        <v>78</v>
      </c>
      <c r="C15" s="5" t="s">
        <v>118</v>
      </c>
      <c r="D15" t="s">
        <v>13</v>
      </c>
      <c r="E15" t="s">
        <v>33</v>
      </c>
      <c r="F15" t="s">
        <v>33</v>
      </c>
      <c r="G15" t="s">
        <v>119</v>
      </c>
      <c r="H15" t="s">
        <v>70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11">
        <v>46247</v>
      </c>
      <c r="B16" t="s">
        <v>78</v>
      </c>
      <c r="C16" s="5" t="s">
        <v>120</v>
      </c>
      <c r="D16" t="s">
        <v>12</v>
      </c>
      <c r="E16" t="s">
        <v>40</v>
      </c>
      <c r="F16" t="s">
        <v>40</v>
      </c>
      <c r="G16" t="s">
        <v>121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11">
        <v>46247</v>
      </c>
      <c r="B17" t="s">
        <v>78</v>
      </c>
      <c r="C17" s="5" t="s">
        <v>122</v>
      </c>
      <c r="D17" t="s">
        <v>9</v>
      </c>
      <c r="E17" t="s">
        <v>16</v>
      </c>
      <c r="F17" t="s">
        <v>16</v>
      </c>
      <c r="G17" t="s">
        <v>123</v>
      </c>
      <c r="H17" t="s">
        <v>11</v>
      </c>
      <c r="I17" t="str">
        <f>_xlfn.XLOOKUP(Tabla1[[#This Row],[Dependencia]],Tabla2[Dependencia],Tabla2[Clasificación],"XXX",0)</f>
        <v>Alcaldías</v>
      </c>
      <c r="J17" t="str">
        <f>_xlfn.XLOOKUP(Tabla1[[#This Row],[Dependencia]],Tabla3[Dependencia],Tabla3[Nivel],"Otros",0)</f>
        <v>Otros</v>
      </c>
    </row>
    <row r="18" spans="1:10" ht="29" x14ac:dyDescent="0.35">
      <c r="A18" s="11">
        <v>46247</v>
      </c>
      <c r="B18" t="s">
        <v>78</v>
      </c>
      <c r="C18" s="5" t="s">
        <v>124</v>
      </c>
      <c r="D18" t="s">
        <v>12</v>
      </c>
      <c r="E18" t="s">
        <v>24</v>
      </c>
      <c r="F18" t="s">
        <v>24</v>
      </c>
      <c r="G18" t="s">
        <v>89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Gobernador</v>
      </c>
    </row>
    <row r="19" spans="1:10" x14ac:dyDescent="0.35">
      <c r="A19" s="11">
        <v>46247</v>
      </c>
      <c r="B19" t="s">
        <v>78</v>
      </c>
      <c r="C19" s="5" t="s">
        <v>125</v>
      </c>
      <c r="D19" t="s">
        <v>12</v>
      </c>
      <c r="E19" t="s">
        <v>16</v>
      </c>
      <c r="F19" t="s">
        <v>16</v>
      </c>
      <c r="G19" t="s">
        <v>126</v>
      </c>
      <c r="H19" t="s">
        <v>11</v>
      </c>
      <c r="I19" t="str">
        <f>_xlfn.XLOOKUP(Tabla1[[#This Row],[Dependencia]],Tabla2[Dependencia],Tabla2[Clasificación],"XXX",0)</f>
        <v>Alcaldías</v>
      </c>
      <c r="J19" t="str">
        <f>_xlfn.XLOOKUP(Tabla1[[#This Row],[Dependencia]],Tabla3[Dependencia],Tabla3[Nivel],"Otros",0)</f>
        <v>Otros</v>
      </c>
    </row>
    <row r="20" spans="1:10" x14ac:dyDescent="0.35">
      <c r="A20" s="11">
        <v>46247</v>
      </c>
      <c r="B20" t="s">
        <v>85</v>
      </c>
      <c r="C20" s="5" t="s">
        <v>127</v>
      </c>
      <c r="D20" t="s">
        <v>13</v>
      </c>
      <c r="E20" t="s">
        <v>54</v>
      </c>
      <c r="F20" t="s">
        <v>54</v>
      </c>
      <c r="G20" t="s">
        <v>128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11">
        <v>46247</v>
      </c>
      <c r="B21" t="s">
        <v>85</v>
      </c>
      <c r="C21" s="5" t="s">
        <v>129</v>
      </c>
      <c r="D21" t="s">
        <v>12</v>
      </c>
      <c r="E21" t="s">
        <v>10</v>
      </c>
      <c r="F21" t="s">
        <v>10</v>
      </c>
      <c r="G21" t="s">
        <v>91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11">
        <v>46247</v>
      </c>
      <c r="B22" t="s">
        <v>85</v>
      </c>
      <c r="C22" s="5" t="s">
        <v>130</v>
      </c>
      <c r="D22" t="s">
        <v>12</v>
      </c>
      <c r="E22" t="s">
        <v>16</v>
      </c>
      <c r="F22" t="s">
        <v>131</v>
      </c>
      <c r="G22" t="s">
        <v>89</v>
      </c>
      <c r="H22" t="s">
        <v>11</v>
      </c>
      <c r="I22" t="str">
        <f>_xlfn.XLOOKUP(Tabla1[[#This Row],[Dependencia]],Tabla2[Dependencia],Tabla2[Clasificación],"XXX",0)</f>
        <v>Alcaldías</v>
      </c>
      <c r="J22" t="str">
        <f>_xlfn.XLOOKUP(Tabla1[[#This Row],[Dependencia]],Tabla3[Dependencia],Tabla3[Nivel],"Otros",0)</f>
        <v>Otros</v>
      </c>
    </row>
    <row r="23" spans="1:10" x14ac:dyDescent="0.35">
      <c r="A23" s="11">
        <v>46247</v>
      </c>
      <c r="B23" t="s">
        <v>85</v>
      </c>
      <c r="C23" s="5" t="s">
        <v>132</v>
      </c>
      <c r="D23" t="s">
        <v>12</v>
      </c>
      <c r="E23" t="s">
        <v>57</v>
      </c>
      <c r="F23" t="s">
        <v>57</v>
      </c>
      <c r="G23" t="s">
        <v>133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11">
        <v>46247</v>
      </c>
      <c r="B24" t="s">
        <v>85</v>
      </c>
      <c r="C24" s="5" t="s">
        <v>134</v>
      </c>
      <c r="D24" t="s">
        <v>12</v>
      </c>
      <c r="E24" t="s">
        <v>10</v>
      </c>
      <c r="F24" t="s">
        <v>10</v>
      </c>
      <c r="G24" t="s">
        <v>135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29" x14ac:dyDescent="0.35">
      <c r="A25" s="11">
        <v>46247</v>
      </c>
      <c r="B25" t="s">
        <v>85</v>
      </c>
      <c r="C25" s="5" t="s">
        <v>136</v>
      </c>
      <c r="D25" t="s">
        <v>137</v>
      </c>
      <c r="E25" t="s">
        <v>24</v>
      </c>
      <c r="F25" t="s">
        <v>24</v>
      </c>
      <c r="G25" t="s">
        <v>138</v>
      </c>
      <c r="H25" t="s">
        <v>81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Gobernador</v>
      </c>
    </row>
    <row r="26" spans="1:10" ht="29" x14ac:dyDescent="0.35">
      <c r="A26" s="11">
        <v>46247</v>
      </c>
      <c r="B26" t="s">
        <v>85</v>
      </c>
      <c r="C26" s="5" t="s">
        <v>139</v>
      </c>
      <c r="D26" t="s">
        <v>12</v>
      </c>
      <c r="E26" t="s">
        <v>28</v>
      </c>
      <c r="F26" t="s">
        <v>28</v>
      </c>
      <c r="G26" t="s">
        <v>93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ht="29" x14ac:dyDescent="0.35">
      <c r="A27" s="11">
        <v>46247</v>
      </c>
      <c r="B27" t="s">
        <v>85</v>
      </c>
      <c r="C27" s="5" t="s">
        <v>140</v>
      </c>
      <c r="D27" t="s">
        <v>12</v>
      </c>
      <c r="E27" t="s">
        <v>10</v>
      </c>
      <c r="F27" t="s">
        <v>10</v>
      </c>
      <c r="G27" t="s">
        <v>91</v>
      </c>
      <c r="H27" t="s">
        <v>70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11">
        <v>46247</v>
      </c>
      <c r="B28" t="s">
        <v>85</v>
      </c>
      <c r="C28" s="5" t="s">
        <v>141</v>
      </c>
      <c r="D28" t="s">
        <v>12</v>
      </c>
      <c r="E28" t="s">
        <v>10</v>
      </c>
      <c r="F28" t="s">
        <v>10</v>
      </c>
      <c r="G28" t="s">
        <v>86</v>
      </c>
      <c r="H28" t="s">
        <v>70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35">
      <c r="A29" s="11">
        <v>46247</v>
      </c>
      <c r="B29" t="s">
        <v>68</v>
      </c>
      <c r="C29" s="5" t="s">
        <v>142</v>
      </c>
      <c r="D29" t="s">
        <v>137</v>
      </c>
      <c r="E29" t="s">
        <v>24</v>
      </c>
      <c r="F29" t="s">
        <v>24</v>
      </c>
      <c r="G29" t="s">
        <v>90</v>
      </c>
      <c r="H29" t="s">
        <v>81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Gobernador</v>
      </c>
    </row>
    <row r="30" spans="1:10" x14ac:dyDescent="0.35">
      <c r="A30" s="11">
        <v>46247</v>
      </c>
      <c r="B30" t="s">
        <v>68</v>
      </c>
      <c r="C30" s="5" t="s">
        <v>143</v>
      </c>
      <c r="D30" t="s">
        <v>12</v>
      </c>
      <c r="E30" t="s">
        <v>16</v>
      </c>
      <c r="F30" t="s">
        <v>16</v>
      </c>
      <c r="G30" t="s">
        <v>128</v>
      </c>
      <c r="H30" t="s">
        <v>70</v>
      </c>
      <c r="I30" t="str">
        <f>_xlfn.XLOOKUP(Tabla1[[#This Row],[Dependencia]],Tabla2[Dependencia],Tabla2[Clasificación],"XXX",0)</f>
        <v>Alcaldías</v>
      </c>
      <c r="J30" t="str">
        <f>_xlfn.XLOOKUP(Tabla1[[#This Row],[Dependencia]],Tabla3[Dependencia],Tabla3[Nivel],"Otros",0)</f>
        <v>Otros</v>
      </c>
    </row>
    <row r="31" spans="1:10" x14ac:dyDescent="0.35">
      <c r="A31" s="11">
        <v>46247</v>
      </c>
      <c r="B31" t="s">
        <v>68</v>
      </c>
      <c r="C31" s="5" t="s">
        <v>144</v>
      </c>
      <c r="D31" t="s">
        <v>12</v>
      </c>
      <c r="E31" t="s">
        <v>10</v>
      </c>
      <c r="F31" t="s">
        <v>10</v>
      </c>
      <c r="G31" t="s">
        <v>145</v>
      </c>
      <c r="H31" t="s">
        <v>11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x14ac:dyDescent="0.35">
      <c r="A32" s="11">
        <v>46247</v>
      </c>
      <c r="B32" t="s">
        <v>68</v>
      </c>
      <c r="C32" s="5" t="s">
        <v>146</v>
      </c>
      <c r="D32" t="s">
        <v>13</v>
      </c>
      <c r="E32" t="s">
        <v>24</v>
      </c>
      <c r="F32" t="s">
        <v>24</v>
      </c>
      <c r="G32" t="s">
        <v>147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Gobernador</v>
      </c>
    </row>
    <row r="33" spans="1:10" ht="72.5" x14ac:dyDescent="0.35">
      <c r="A33" s="11">
        <v>46247</v>
      </c>
      <c r="B33" t="s">
        <v>68</v>
      </c>
      <c r="C33" s="5" t="s">
        <v>148</v>
      </c>
      <c r="D33" t="s">
        <v>12</v>
      </c>
      <c r="E33" t="s">
        <v>47</v>
      </c>
      <c r="F33" t="s">
        <v>2</v>
      </c>
      <c r="G33" t="s">
        <v>149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29" x14ac:dyDescent="0.35">
      <c r="A34" s="11">
        <v>46247</v>
      </c>
      <c r="B34" t="s">
        <v>83</v>
      </c>
      <c r="C34" s="5" t="s">
        <v>150</v>
      </c>
      <c r="D34" t="s">
        <v>12</v>
      </c>
      <c r="E34" t="s">
        <v>24</v>
      </c>
      <c r="F34" t="s">
        <v>24</v>
      </c>
      <c r="G34" t="s">
        <v>147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Gobernador</v>
      </c>
    </row>
    <row r="35" spans="1:10" ht="29" x14ac:dyDescent="0.35">
      <c r="A35" s="11">
        <v>46247</v>
      </c>
      <c r="B35" t="s">
        <v>83</v>
      </c>
      <c r="C35" s="5" t="s">
        <v>151</v>
      </c>
      <c r="D35" t="s">
        <v>12</v>
      </c>
      <c r="E35" t="s">
        <v>24</v>
      </c>
      <c r="F35" t="s">
        <v>24</v>
      </c>
      <c r="G35" t="s">
        <v>138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ht="29" x14ac:dyDescent="0.35">
      <c r="A36" s="11">
        <v>46247</v>
      </c>
      <c r="B36" t="s">
        <v>83</v>
      </c>
      <c r="C36" s="5" t="s">
        <v>152</v>
      </c>
      <c r="D36" t="s">
        <v>12</v>
      </c>
      <c r="E36" t="s">
        <v>33</v>
      </c>
      <c r="F36" t="s">
        <v>33</v>
      </c>
      <c r="G36" t="s">
        <v>126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29" x14ac:dyDescent="0.35">
      <c r="A37" s="11">
        <v>46247</v>
      </c>
      <c r="B37" t="s">
        <v>83</v>
      </c>
      <c r="C37" s="5" t="s">
        <v>153</v>
      </c>
      <c r="D37" t="s">
        <v>12</v>
      </c>
      <c r="E37" t="s">
        <v>16</v>
      </c>
      <c r="F37" t="s">
        <v>131</v>
      </c>
      <c r="G37" t="s">
        <v>154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ht="29" x14ac:dyDescent="0.35">
      <c r="A38" s="11">
        <v>46247</v>
      </c>
      <c r="B38" t="s">
        <v>83</v>
      </c>
      <c r="C38" s="5" t="s">
        <v>155</v>
      </c>
      <c r="D38" t="s">
        <v>12</v>
      </c>
      <c r="E38" t="s">
        <v>16</v>
      </c>
      <c r="F38" t="s">
        <v>131</v>
      </c>
      <c r="G38" t="s">
        <v>156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ht="29" x14ac:dyDescent="0.35">
      <c r="A39" s="11">
        <v>46247</v>
      </c>
      <c r="B39" t="s">
        <v>79</v>
      </c>
      <c r="C39" s="5" t="s">
        <v>157</v>
      </c>
      <c r="D39" t="s">
        <v>80</v>
      </c>
      <c r="E39" t="s">
        <v>14</v>
      </c>
      <c r="F39" t="s">
        <v>158</v>
      </c>
      <c r="G39" t="s">
        <v>159</v>
      </c>
      <c r="H39" t="s">
        <v>70</v>
      </c>
      <c r="I39" t="str">
        <f>_xlfn.XLOOKUP(Tabla1[[#This Row],[Dependencia]],Tabla2[Dependencia],Tabla2[Clasificación],"XXX",0)</f>
        <v>Presidencia de la República</v>
      </c>
      <c r="J39" t="str">
        <f>_xlfn.XLOOKUP(Tabla1[[#This Row],[Dependencia]],Tabla3[Dependencia],Tabla3[Nivel],"Otros",0)</f>
        <v>Otros</v>
      </c>
    </row>
    <row r="40" spans="1:10" x14ac:dyDescent="0.35">
      <c r="A40" s="11">
        <v>46247</v>
      </c>
      <c r="B40" t="s">
        <v>79</v>
      </c>
      <c r="C40" s="5" t="s">
        <v>160</v>
      </c>
      <c r="D40" t="s">
        <v>12</v>
      </c>
      <c r="E40" t="s">
        <v>26</v>
      </c>
      <c r="F40" t="s">
        <v>92</v>
      </c>
      <c r="G40" t="s">
        <v>161</v>
      </c>
      <c r="H40" t="s">
        <v>81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35">
      <c r="A41" s="11">
        <v>46247</v>
      </c>
      <c r="B41" t="s">
        <v>79</v>
      </c>
      <c r="C41" s="5" t="s">
        <v>162</v>
      </c>
      <c r="D41" t="s">
        <v>13</v>
      </c>
      <c r="E41" t="s">
        <v>24</v>
      </c>
      <c r="F41" t="s">
        <v>24</v>
      </c>
      <c r="G41" t="s">
        <v>90</v>
      </c>
      <c r="H41" t="s">
        <v>81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Gobernador</v>
      </c>
    </row>
    <row r="42" spans="1:10" ht="29" x14ac:dyDescent="0.35">
      <c r="A42" s="11">
        <v>46247</v>
      </c>
      <c r="B42" t="s">
        <v>79</v>
      </c>
      <c r="C42" s="5" t="s">
        <v>163</v>
      </c>
      <c r="D42" t="s">
        <v>12</v>
      </c>
      <c r="E42" t="s">
        <v>16</v>
      </c>
      <c r="F42" t="s">
        <v>131</v>
      </c>
      <c r="G42" t="s">
        <v>154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29" x14ac:dyDescent="0.35">
      <c r="A43" s="11">
        <v>46247</v>
      </c>
      <c r="B43" t="s">
        <v>79</v>
      </c>
      <c r="C43" s="5" t="s">
        <v>164</v>
      </c>
      <c r="D43" t="s">
        <v>12</v>
      </c>
      <c r="E43" t="s">
        <v>16</v>
      </c>
      <c r="F43" t="s">
        <v>16</v>
      </c>
      <c r="G43" t="s">
        <v>94</v>
      </c>
      <c r="H43" t="s">
        <v>11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ht="29" x14ac:dyDescent="0.35">
      <c r="A44" s="11">
        <v>46247</v>
      </c>
      <c r="B44" t="s">
        <v>79</v>
      </c>
      <c r="C44" s="5" t="s">
        <v>165</v>
      </c>
      <c r="D44" t="s">
        <v>12</v>
      </c>
      <c r="E44" t="s">
        <v>15</v>
      </c>
      <c r="F44" t="s">
        <v>15</v>
      </c>
      <c r="G44" t="s">
        <v>166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29" x14ac:dyDescent="0.35">
      <c r="A45" s="11">
        <v>46247</v>
      </c>
      <c r="B45" t="s">
        <v>79</v>
      </c>
      <c r="C45" s="5" t="s">
        <v>167</v>
      </c>
      <c r="D45" t="s">
        <v>12</v>
      </c>
      <c r="E45" t="s">
        <v>14</v>
      </c>
      <c r="F45" t="s">
        <v>14</v>
      </c>
      <c r="G45" t="s">
        <v>168</v>
      </c>
      <c r="H45" t="s">
        <v>11</v>
      </c>
      <c r="I45" t="str">
        <f>_xlfn.XLOOKUP(Tabla1[[#This Row],[Dependencia]],Tabla2[Dependencia],Tabla2[Clasificación],"XXX",0)</f>
        <v>Presidencia de la República</v>
      </c>
      <c r="J45" t="str">
        <f>_xlfn.XLOOKUP(Tabla1[[#This Row],[Dependencia]],Tabla3[Dependencia],Tabla3[Nivel],"Otros",0)</f>
        <v>Otros</v>
      </c>
    </row>
    <row r="46" spans="1:10" x14ac:dyDescent="0.35">
      <c r="A46" s="11">
        <v>46247</v>
      </c>
      <c r="B46" t="s">
        <v>79</v>
      </c>
      <c r="C46" s="5" t="s">
        <v>169</v>
      </c>
      <c r="D46" t="s">
        <v>75</v>
      </c>
      <c r="E46" t="s">
        <v>22</v>
      </c>
      <c r="F46" t="s">
        <v>22</v>
      </c>
      <c r="G46">
        <v>911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35">
      <c r="A47" s="11">
        <v>46247</v>
      </c>
      <c r="B47" t="s">
        <v>72</v>
      </c>
      <c r="C47" s="5" t="s">
        <v>142</v>
      </c>
      <c r="D47" t="s">
        <v>13</v>
      </c>
      <c r="E47" t="s">
        <v>24</v>
      </c>
      <c r="F47" t="s">
        <v>24</v>
      </c>
      <c r="G47" t="s">
        <v>90</v>
      </c>
      <c r="H47" t="s">
        <v>81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Gobernador</v>
      </c>
    </row>
    <row r="48" spans="1:10" ht="29" x14ac:dyDescent="0.35">
      <c r="A48" s="11">
        <v>46247</v>
      </c>
      <c r="B48" t="s">
        <v>72</v>
      </c>
      <c r="C48" s="5" t="s">
        <v>170</v>
      </c>
      <c r="D48" t="s">
        <v>12</v>
      </c>
      <c r="E48" t="s">
        <v>27</v>
      </c>
      <c r="F48" t="s">
        <v>171</v>
      </c>
      <c r="G48" t="s">
        <v>159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11">
        <v>46247</v>
      </c>
      <c r="B49" t="s">
        <v>72</v>
      </c>
      <c r="C49" s="5" t="s">
        <v>163</v>
      </c>
      <c r="D49" t="s">
        <v>12</v>
      </c>
      <c r="E49" t="s">
        <v>16</v>
      </c>
      <c r="F49" t="s">
        <v>131</v>
      </c>
      <c r="G49" t="s">
        <v>154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35">
      <c r="A50" s="11">
        <v>46247</v>
      </c>
      <c r="B50" t="s">
        <v>72</v>
      </c>
      <c r="C50" s="5" t="s">
        <v>172</v>
      </c>
      <c r="D50" t="s">
        <v>12</v>
      </c>
      <c r="E50" t="s">
        <v>22</v>
      </c>
      <c r="F50" t="s">
        <v>22</v>
      </c>
      <c r="G50" t="s">
        <v>173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11">
        <v>46247</v>
      </c>
      <c r="B51" t="s">
        <v>72</v>
      </c>
      <c r="C51" s="5" t="s">
        <v>174</v>
      </c>
      <c r="D51" t="s">
        <v>12</v>
      </c>
      <c r="E51" t="s">
        <v>26</v>
      </c>
      <c r="F51" t="s">
        <v>92</v>
      </c>
      <c r="G51" t="s">
        <v>175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35">
      <c r="A52" s="11">
        <v>46247</v>
      </c>
      <c r="B52" t="s">
        <v>72</v>
      </c>
      <c r="C52" s="5" t="s">
        <v>87</v>
      </c>
      <c r="D52" t="s">
        <v>75</v>
      </c>
      <c r="E52" t="s">
        <v>20</v>
      </c>
      <c r="F52" t="s">
        <v>88</v>
      </c>
      <c r="G52" t="s">
        <v>82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11">
        <v>46247</v>
      </c>
      <c r="B53" t="s">
        <v>72</v>
      </c>
      <c r="C53" s="5" t="s">
        <v>95</v>
      </c>
      <c r="D53" t="s">
        <v>75</v>
      </c>
      <c r="E53" t="s">
        <v>16</v>
      </c>
      <c r="F53" t="s">
        <v>84</v>
      </c>
      <c r="G53" t="s">
        <v>76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x14ac:dyDescent="0.35">
      <c r="A54" s="11">
        <v>46247</v>
      </c>
      <c r="B54" t="s">
        <v>176</v>
      </c>
      <c r="C54" s="5" t="s">
        <v>177</v>
      </c>
      <c r="D54" t="s">
        <v>13</v>
      </c>
      <c r="E54" t="s">
        <v>14</v>
      </c>
      <c r="F54" t="s">
        <v>107</v>
      </c>
      <c r="G54" t="s">
        <v>168</v>
      </c>
      <c r="H54" t="s">
        <v>11</v>
      </c>
      <c r="I54" t="str">
        <f>_xlfn.XLOOKUP(Tabla1[[#This Row],[Dependencia]],Tabla2[Dependencia],Tabla2[Clasificación],"XXX",0)</f>
        <v>Presidencia de la República</v>
      </c>
      <c r="J54" t="str">
        <f>_xlfn.XLOOKUP(Tabla1[[#This Row],[Dependencia]],Tabla3[Dependencia],Tabla3[Nivel],"Otros",0)</f>
        <v>Otros</v>
      </c>
    </row>
    <row r="55" spans="1:10" x14ac:dyDescent="0.35">
      <c r="A55" s="11">
        <v>46247</v>
      </c>
      <c r="B55" t="s">
        <v>176</v>
      </c>
      <c r="C55" s="5" t="s">
        <v>178</v>
      </c>
      <c r="D55" t="s">
        <v>12</v>
      </c>
      <c r="E55" t="s">
        <v>17</v>
      </c>
      <c r="F55" t="s">
        <v>17</v>
      </c>
      <c r="G55" t="s">
        <v>147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11">
        <v>46247</v>
      </c>
      <c r="B56" t="s">
        <v>176</v>
      </c>
      <c r="C56" s="5" t="s">
        <v>179</v>
      </c>
      <c r="D56" t="s">
        <v>12</v>
      </c>
      <c r="E56" t="s">
        <v>10</v>
      </c>
      <c r="F56" t="s">
        <v>10</v>
      </c>
      <c r="G56" t="s">
        <v>86</v>
      </c>
      <c r="H56" t="s">
        <v>11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69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69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2026-08-13T19:02:25Z</dcterms:modified>
</cp:coreProperties>
</file>