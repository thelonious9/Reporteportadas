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9FF3096B-56DF-40C7-972E-7A531F5FCEC2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</calcChain>
</file>

<file path=xl/sharedStrings.xml><?xml version="1.0" encoding="utf-8"?>
<sst xmlns="http://schemas.openxmlformats.org/spreadsheetml/2006/main" count="601" uniqueCount="191">
  <si>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</si>
  <si>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</si>
  <si>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</si>
  <si>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</si>
  <si>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</si>
  <si>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</si>
  <si>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</si>
  <si>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</si>
  <si>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</si>
  <si>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</si>
  <si>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</si>
  <si>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</si>
  <si>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</si>
  <si>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</si>
  <si>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</si>
  <si>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</si>
  <si>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</si>
  <si>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</si>
  <si>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</si>
  <si>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</si>
  <si>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</si>
  <si>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</si>
  <si>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Deportes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</si>
  <si>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</si>
  <si>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</si>
  <si>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</si>
  <si>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</si>
  <si>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</si>
  <si>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</si>
  <si>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</si>
  <si>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</si>
  <si>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Effetá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</si>
  <si>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</si>
  <si>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</si>
  <si>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</si>
  <si>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</si>
  <si>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</si>
  <si>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</si>
  <si>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</si>
  <si>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</si>
  <si>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</si>
  <si>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</si>
  <si>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</si>
  <si>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</si>
  <si>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</si>
  <si>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</si>
  <si>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</si>
  <si>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</si>
  <si>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</si>
  <si>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</si>
  <si>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</si>
  <si>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</si>
  <si>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</si>
  <si>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</si>
  <si>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</si>
  <si>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</si>
  <si>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</si>
  <si>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</si>
  <si>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</si>
  <si>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</si>
  <si>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</si>
  <si>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</si>
  <si>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</si>
  <si>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</si>
  <si>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</si>
  <si>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</si>
  <si>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</si>
  <si>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</si>
  <si>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</si>
  <si>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</si>
  <si>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</si>
  <si>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</si>
  <si>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</si>
  <si>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</si>
  <si>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Milenio Hidalgo</t>
  </si>
  <si>
    <t>La Jornada Hidalgo</t>
  </si>
  <si>
    <t>Síntesis</t>
  </si>
  <si>
    <t>Reforma Electoral</t>
  </si>
  <si>
    <t>Criterio</t>
  </si>
  <si>
    <t>Zunoticia</t>
  </si>
  <si>
    <t>Mundial De Futbol</t>
  </si>
  <si>
    <t>Marcha 8M</t>
  </si>
  <si>
    <t>Vallas</t>
  </si>
  <si>
    <t>Sarampión</t>
  </si>
  <si>
    <t>Temas internacionales</t>
  </si>
  <si>
    <t>Abasto De Agua</t>
  </si>
  <si>
    <t>Gusano barrenador</t>
  </si>
  <si>
    <t>Sitmah</t>
  </si>
  <si>
    <t>Nivel</t>
  </si>
  <si>
    <t>Cierre de clínica afecta a casi 10 mil usuarios</t>
  </si>
  <si>
    <t>Deficiencias Centro de Salud</t>
  </si>
  <si>
    <t>Fallo de la SCJN abre paso a ejecución de sentencia</t>
  </si>
  <si>
    <t>SICT</t>
  </si>
  <si>
    <t>Tren México Querétaro</t>
  </si>
  <si>
    <t>Hasta el lunes abrirán estación Plaza Juárez</t>
  </si>
  <si>
    <t>Se siguen violentando nuestros derechos</t>
  </si>
  <si>
    <t>8M</t>
  </si>
  <si>
    <t>Tarifa inicial de $55 y kilómetro extra $4.50</t>
  </si>
  <si>
    <t>Aumento Tarifa De Transporte</t>
  </si>
  <si>
    <t>Señalan a alcaldes por los altos costos en leyes de ingresos</t>
  </si>
  <si>
    <t>Ley De Ingresos</t>
  </si>
  <si>
    <t>Reloj acorazado</t>
  </si>
  <si>
    <t>Recientemente se publicó una reforma a la Constitución Política de Hidalgo en materia del Tribunal de Justicia Administrativa. Puede...</t>
  </si>
  <si>
    <t>Reforma De Ley</t>
  </si>
  <si>
    <t>Realizan cercos epidemiológicos</t>
  </si>
  <si>
    <t>Vacunación</t>
  </si>
  <si>
    <t>Rutas de la Transformación en Acaxochitlán</t>
  </si>
  <si>
    <t>Ruta de la Transformación</t>
  </si>
  <si>
    <t>Crece en Hidalgo el emprendimiento</t>
  </si>
  <si>
    <t>Emprendimiento</t>
  </si>
  <si>
    <t>Aseh insta a empresas a cumplir o pagar</t>
  </si>
  <si>
    <t>ASEH</t>
  </si>
  <si>
    <t>Garantía de obra</t>
  </si>
  <si>
    <t>CHARLYN PIDE SALARIOS JUSTOS</t>
  </si>
  <si>
    <t>Olympia impulsa el pádel en Hidalgo</t>
  </si>
  <si>
    <t>DIERON A LUZ CASI 500 MENORES DE 15 AÑOS</t>
  </si>
  <si>
    <t>Embarazo adolescente</t>
  </si>
  <si>
    <t>Ellas mueven a Hidalgo</t>
  </si>
  <si>
    <t>2025: año con menos robo de vehículos en una década</t>
  </si>
  <si>
    <t>Robo de vehículo</t>
  </si>
  <si>
    <t>Robo de cableado: En túnel Real del Monte a Huasca pega con 380 mdp</t>
  </si>
  <si>
    <t>Carretera Huasca</t>
  </si>
  <si>
    <t>Maltrato animal: va uno más ante el MP por violencia contra mascotas</t>
  </si>
  <si>
    <t>Maltrato animal</t>
  </si>
  <si>
    <t>Aplicarán sanciones en predios abandonados</t>
  </si>
  <si>
    <t>Prevención de incendios</t>
  </si>
  <si>
    <t>La muerte se ensaña con el arte: Lobo Antunes y Pedro Friedeberg</t>
  </si>
  <si>
    <t>Lookmaxxers, tribu digital de heterosexuales</t>
  </si>
  <si>
    <t>Donald Trump encarga al senador Markwayne Mullin estrategia migratoria de EU</t>
  </si>
  <si>
    <t>Candidaturas con filtro. Morena prevé pasarlas por la FGR y nada de despensas</t>
  </si>
  <si>
    <t>Por vestigios ven posible modificar ruta del México-Querétaro</t>
  </si>
  <si>
    <t>Menchaca busca proteger a mujeres policías con vallas</t>
  </si>
  <si>
    <t>Piden incluir en código penal el protocolo de feminicidio</t>
  </si>
  <si>
    <t>Perspectiva de género</t>
  </si>
  <si>
    <t>Trump asegura que caída de Cuba será la cereza del pastel</t>
  </si>
  <si>
    <t>Avanza construcción del Tren México-Querétaro en Hidalgo</t>
  </si>
  <si>
    <t>Vivimos en un momento en donde la inmediatez de las noticias y los alcances de propagación de  información de todo tipo son extremos (…) Así construimos metáforas sobre los conflictos: desde la  buenitud, como aquellas personas bondadosas y positivas; y la malitud, los partidarios de la maldad. ¿Son  tan simplificables las relaciones entre personas, grupos y países?”.</t>
  </si>
  <si>
    <t>Invierten más de 130 mdp en obras para Acaxochitlán</t>
  </si>
  <si>
    <t>Suma Hidalgo 15 casos de sarampión en nueve municipios</t>
  </si>
  <si>
    <t>Definen colectivas feministas itinerario de actividades y marcha del 8M en Pachuca</t>
  </si>
  <si>
    <t>Incluyen a Hidalgo en programa federal de nuevas canchas por el mundial</t>
  </si>
  <si>
    <t>Que los actuales dirigentes de la UCLA se hagan a un lado</t>
  </si>
  <si>
    <t>Despojo</t>
  </si>
  <si>
    <t>En Huautla, Sipdus pavimenta camino deTohuaco Amazintla</t>
  </si>
  <si>
    <t>Sipdus</t>
  </si>
  <si>
    <t>Rehabilitación carretera</t>
  </si>
  <si>
    <t>Brindan certeza jurídica a menor de edad en estado de vulnerabilidad</t>
  </si>
  <si>
    <t>Protección del menor</t>
  </si>
  <si>
    <t>Alcalde recorrió instalaciones deportivas</t>
  </si>
  <si>
    <t>Alcalde</t>
  </si>
  <si>
    <t>Recorrido por instalaciones</t>
  </si>
  <si>
    <t>Inaugura secretario de Educación final de Mundialito de Futbol</t>
  </si>
  <si>
    <t>Marcha del 8M será resguardada por 300 policías mujeres</t>
  </si>
  <si>
    <t>Proponen tipificar el acecho y el acoso sexual en Hidalgo</t>
  </si>
  <si>
    <t>PAN cuestiona gasto en vallas; pide destinar recursos a programas</t>
  </si>
  <si>
    <t>Caasim recupera pozo clave para abastecer de agua a Pachuca</t>
  </si>
  <si>
    <t>Caasim</t>
  </si>
  <si>
    <t>Profepa detiene destrucción de bosque en Zacualtipán</t>
  </si>
  <si>
    <t>Protección Biodiversidad</t>
  </si>
  <si>
    <t>Juez obliga al Niño DIF garantizar tratamiento a menor</t>
  </si>
  <si>
    <t>Hospital del Niño</t>
  </si>
  <si>
    <t>Amparo</t>
  </si>
  <si>
    <t>Editorial ¿Monumentos o mujeres?</t>
  </si>
  <si>
    <t>Marfeca</t>
  </si>
  <si>
    <t>Claudia Sandoval escucha y atiende el día del Pueblo en Colonia Dendho</t>
  </si>
  <si>
    <t>Atención a la ciudadanía</t>
  </si>
  <si>
    <t>Acaxochitlán se fortalece con inversión de más de 130 mdp en infraestructura: Menchaca</t>
  </si>
  <si>
    <t>Gobierno de Tlaxcoapan impulsa el deporte en jóvenes del Cobaeh Doxey</t>
  </si>
  <si>
    <t>Impulso al deporte</t>
  </si>
  <si>
    <t>Fortalecen servicios de rehabilitación con nuevo espacio en la UBR de Atotonilco de Tula</t>
  </si>
  <si>
    <t>Rehabilitación UBR</t>
  </si>
  <si>
    <t>La autonomía sindical abre caminos para nuevas generaciones del magisterio</t>
  </si>
  <si>
    <t>Aparatoso accidente entre automóvil y camión deja 1 prensado en la Pachuca-Actopan</t>
  </si>
  <si>
    <t>Accidente Carretero</t>
  </si>
  <si>
    <t>Blindan Palacio de Gobierno y Reloj Monumental previo a movilizaciones del 8M</t>
  </si>
  <si>
    <t>Colocan vallas en Reloj y Palacio de Gobierno previo al 8M</t>
  </si>
  <si>
    <t>Hay seis casos activos de sarampión en la entidad</t>
  </si>
  <si>
    <t>Llaman a ganaderos hidalguenses a prevenir gusano barrenador</t>
  </si>
  <si>
    <t>Con inversión superior a los 130 mdp, Julio Menchaca fortalece la infraestructura en Acaxochitlán</t>
  </si>
  <si>
    <t>Ballet de Pachuca presentará México en escena</t>
  </si>
  <si>
    <t>Evento Cultural</t>
  </si>
  <si>
    <t>Hidalgo invierte 130 mdp en Acaxochitlán</t>
  </si>
  <si>
    <t>Hidalgo será sede de reunión de gabinetes de seguridad</t>
  </si>
  <si>
    <t>Reunión Gabinetes De Seguridad</t>
  </si>
  <si>
    <t>La guerra en Medio Oriente se extiende. Trump encendió el fuego que después puede resultar imposible apagarlo</t>
  </si>
  <si>
    <t>Editorial</t>
  </si>
  <si>
    <t>Policía desmanteló tres puntos de venta de droga</t>
  </si>
  <si>
    <t>Combate Al Narcomenudeo</t>
  </si>
  <si>
    <t>Suman 33 muertes por sarampión en México</t>
  </si>
  <si>
    <t>Salud</t>
  </si>
  <si>
    <t>Gabinete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</si>
</sst>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ont="1" applyFill="1" applyBorder="1"/>
    <xf numFmtId="0" fontId="0" fillId="0" borderId="2" xfId="0" applyFont="1" applyBorder="1"/>
    <xf numFmtId="0" fontId="0" fillId="0" borderId="0" xfId="0" applyBorder="1"/>
    <xf numFmtId="0" fontId="0" fillId="0" borderId="6" xfId="0" applyFont="1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workbookViewId="0">
      <selection activeCell="I7" sqref="I7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88</v>
      </c>
    </row>
    <row r="2" spans="1:10" x14ac:dyDescent="0.25">
      <c r="A2" s="5">
        <v>46087</v>
      </c>
      <c r="B2" t="s">
        <v>72</v>
      </c>
      <c r="C2" s="6" t="s">
        <v>89</v>
      </c>
      <c r="D2" t="s">
        <v>12</v>
      </c>
      <c r="E2" t="s">
        <v>17</v>
      </c>
      <c r="F2" t="s">
        <v>17</v>
      </c>
      <c r="G2" t="s">
        <v>90</v>
      </c>
      <c r="H2" t="s">
        <v>16</v>
      </c>
      <c r="I2" t="str">
        <f>_xlfn.XLOOKUP(Tabla1[[#This Row],[Dependencia]],Tabla2[Dependencia],Tabla2[Clasificación],"No indexado")</f>
        <v>Alcaldías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46087</v>
      </c>
      <c r="B3" t="s">
        <v>72</v>
      </c>
      <c r="C3" s="6" t="s">
        <v>91</v>
      </c>
      <c r="D3" t="s">
        <v>12</v>
      </c>
      <c r="E3" t="s">
        <v>14</v>
      </c>
      <c r="F3" t="s">
        <v>92</v>
      </c>
      <c r="G3" t="s">
        <v>93</v>
      </c>
      <c r="H3" t="s">
        <v>11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46087</v>
      </c>
      <c r="B4" t="s">
        <v>72</v>
      </c>
      <c r="C4" s="6" t="s">
        <v>94</v>
      </c>
      <c r="D4" t="s">
        <v>9</v>
      </c>
      <c r="E4" t="s">
        <v>32</v>
      </c>
      <c r="F4" t="s">
        <v>87</v>
      </c>
      <c r="G4" t="s">
        <v>81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5">
        <v>46087</v>
      </c>
      <c r="B5" t="s">
        <v>72</v>
      </c>
      <c r="C5" s="6" t="s">
        <v>95</v>
      </c>
      <c r="D5" t="s">
        <v>12</v>
      </c>
      <c r="E5" t="s">
        <v>10</v>
      </c>
      <c r="F5" t="s">
        <v>10</v>
      </c>
      <c r="G5" t="s">
        <v>96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46087</v>
      </c>
      <c r="B6" t="s">
        <v>72</v>
      </c>
      <c r="C6" s="6" t="s">
        <v>97</v>
      </c>
      <c r="D6" t="s">
        <v>13</v>
      </c>
      <c r="E6" t="s">
        <v>32</v>
      </c>
      <c r="F6" t="s">
        <v>32</v>
      </c>
      <c r="G6" t="s">
        <v>98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ht="30" x14ac:dyDescent="0.25">
      <c r="A7" s="5">
        <v>46087</v>
      </c>
      <c r="B7" t="s">
        <v>73</v>
      </c>
      <c r="C7" s="6" t="s">
        <v>99</v>
      </c>
      <c r="D7" t="s">
        <v>13</v>
      </c>
      <c r="E7" t="s">
        <v>39</v>
      </c>
      <c r="F7" t="s">
        <v>39</v>
      </c>
      <c r="G7" t="s">
        <v>100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46087</v>
      </c>
      <c r="B8" t="s">
        <v>73</v>
      </c>
      <c r="C8" s="6" t="s">
        <v>101</v>
      </c>
      <c r="D8" t="s">
        <v>9</v>
      </c>
      <c r="E8" t="s">
        <v>44</v>
      </c>
      <c r="F8" t="s">
        <v>44</v>
      </c>
      <c r="G8" t="s">
        <v>81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ht="45" x14ac:dyDescent="0.25">
      <c r="A9" s="5">
        <v>46087</v>
      </c>
      <c r="B9" t="s">
        <v>73</v>
      </c>
      <c r="C9" s="6" t="s">
        <v>102</v>
      </c>
      <c r="D9" t="s">
        <v>12</v>
      </c>
      <c r="E9" t="s">
        <v>40</v>
      </c>
      <c r="F9" t="s">
        <v>2</v>
      </c>
      <c r="G9" t="s">
        <v>103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46087</v>
      </c>
      <c r="B10" t="s">
        <v>73</v>
      </c>
      <c r="C10" s="6" t="s">
        <v>104</v>
      </c>
      <c r="D10" t="s">
        <v>12</v>
      </c>
      <c r="E10" t="s">
        <v>15</v>
      </c>
      <c r="F10" t="s">
        <v>15</v>
      </c>
      <c r="G10" t="s">
        <v>105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5">
        <v>46087</v>
      </c>
      <c r="B11" t="s">
        <v>73</v>
      </c>
      <c r="C11" s="6" t="s">
        <v>106</v>
      </c>
      <c r="D11" t="s">
        <v>12</v>
      </c>
      <c r="E11" t="s">
        <v>26</v>
      </c>
      <c r="F11" t="s">
        <v>26</v>
      </c>
      <c r="G11" t="s">
        <v>107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25">
      <c r="A12" s="5">
        <v>46087</v>
      </c>
      <c r="B12" t="s">
        <v>73</v>
      </c>
      <c r="C12" s="6" t="s">
        <v>108</v>
      </c>
      <c r="D12" t="s">
        <v>12</v>
      </c>
      <c r="E12" t="s">
        <v>10</v>
      </c>
      <c r="F12" t="s">
        <v>10</v>
      </c>
      <c r="G12" t="s">
        <v>109</v>
      </c>
      <c r="H12" t="s">
        <v>27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46087</v>
      </c>
      <c r="B13" t="s">
        <v>73</v>
      </c>
      <c r="C13" s="6" t="s">
        <v>110</v>
      </c>
      <c r="D13" t="s">
        <v>12</v>
      </c>
      <c r="E13" t="s">
        <v>39</v>
      </c>
      <c r="F13" t="s">
        <v>111</v>
      </c>
      <c r="G13" t="s">
        <v>112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46087</v>
      </c>
      <c r="B14" t="s">
        <v>78</v>
      </c>
      <c r="C14" s="6" t="s">
        <v>113</v>
      </c>
      <c r="D14" t="s">
        <v>12</v>
      </c>
      <c r="E14" t="s">
        <v>14</v>
      </c>
      <c r="F14" t="s">
        <v>14</v>
      </c>
      <c r="G14" t="s">
        <v>96</v>
      </c>
      <c r="H14" t="s">
        <v>11</v>
      </c>
      <c r="I14" t="str">
        <f>_xlfn.XLOOKUP(Tabla1[[#This Row],[Dependencia]],Tabla2[Dependencia],Tabla2[Clasificación],"No indexado")</f>
        <v>Presidencia de la República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46087</v>
      </c>
      <c r="B15" t="s">
        <v>78</v>
      </c>
      <c r="C15" s="6" t="s">
        <v>114</v>
      </c>
      <c r="D15" t="s">
        <v>12</v>
      </c>
      <c r="E15" t="s">
        <v>10</v>
      </c>
      <c r="F15" t="s">
        <v>10</v>
      </c>
      <c r="G15" t="s">
        <v>22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46087</v>
      </c>
      <c r="B16" t="s">
        <v>78</v>
      </c>
      <c r="C16" s="6" t="s">
        <v>115</v>
      </c>
      <c r="D16" t="s">
        <v>13</v>
      </c>
      <c r="E16" t="s">
        <v>10</v>
      </c>
      <c r="F16" t="s">
        <v>10</v>
      </c>
      <c r="G16" t="s">
        <v>116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46087</v>
      </c>
      <c r="B17" t="s">
        <v>78</v>
      </c>
      <c r="C17" s="6" t="s">
        <v>117</v>
      </c>
      <c r="D17" t="s">
        <v>9</v>
      </c>
      <c r="E17" t="s">
        <v>10</v>
      </c>
      <c r="F17" t="s">
        <v>10</v>
      </c>
      <c r="G17" t="s">
        <v>96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46087</v>
      </c>
      <c r="B18" t="s">
        <v>74</v>
      </c>
      <c r="C18" s="6" t="s">
        <v>118</v>
      </c>
      <c r="D18" t="s">
        <v>13</v>
      </c>
      <c r="E18" t="s">
        <v>18</v>
      </c>
      <c r="F18" t="s">
        <v>18</v>
      </c>
      <c r="G18" t="s">
        <v>119</v>
      </c>
      <c r="H18" t="s">
        <v>27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5">
        <v>46087</v>
      </c>
      <c r="B19" t="s">
        <v>74</v>
      </c>
      <c r="C19" s="6" t="s">
        <v>120</v>
      </c>
      <c r="D19" t="s">
        <v>12</v>
      </c>
      <c r="E19" t="s">
        <v>14</v>
      </c>
      <c r="F19" t="s">
        <v>92</v>
      </c>
      <c r="G19" t="s">
        <v>121</v>
      </c>
      <c r="H19" t="s">
        <v>16</v>
      </c>
      <c r="I19" t="str">
        <f>_xlfn.XLOOKUP(Tabla1[[#This Row],[Dependencia]],Tabla2[Dependencia],Tabla2[Clasificación],"No indexado")</f>
        <v>Presidencia de la República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46087</v>
      </c>
      <c r="B20" t="s">
        <v>74</v>
      </c>
      <c r="C20" s="6" t="s">
        <v>122</v>
      </c>
      <c r="D20" t="s">
        <v>12</v>
      </c>
      <c r="E20" t="s">
        <v>17</v>
      </c>
      <c r="F20" t="s">
        <v>17</v>
      </c>
      <c r="G20" t="s">
        <v>123</v>
      </c>
      <c r="H20" t="s">
        <v>11</v>
      </c>
      <c r="I20" t="str">
        <f>_xlfn.XLOOKUP(Tabla1[[#This Row],[Dependencia]],Tabla2[Dependencia],Tabla2[Clasificación],"No indexado")</f>
        <v>Alcaldías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46087</v>
      </c>
      <c r="B21" t="s">
        <v>74</v>
      </c>
      <c r="C21" s="6" t="s">
        <v>124</v>
      </c>
      <c r="D21" t="s">
        <v>12</v>
      </c>
      <c r="E21" t="s">
        <v>17</v>
      </c>
      <c r="F21" t="s">
        <v>17</v>
      </c>
      <c r="G21" t="s">
        <v>125</v>
      </c>
      <c r="H21" t="s">
        <v>11</v>
      </c>
      <c r="I21" t="str">
        <f>_xlfn.XLOOKUP(Tabla1[[#This Row],[Dependencia]],Tabla2[Dependencia],Tabla2[Clasificación],"No indexado")</f>
        <v>Alcaldías</v>
      </c>
      <c r="J21" t="str">
        <f>_xlfn.XLOOKUP(Tabla1[[#This Row],[Dependencia]],Tabla3[Dependencia],Tabla3[Nivel],"otros",0)</f>
        <v>otros</v>
      </c>
    </row>
    <row r="22" spans="1:10" ht="30" x14ac:dyDescent="0.25">
      <c r="A22" s="5">
        <v>46087</v>
      </c>
      <c r="B22" t="s">
        <v>74</v>
      </c>
      <c r="C22" s="6" t="s">
        <v>126</v>
      </c>
      <c r="D22" t="s">
        <v>9</v>
      </c>
      <c r="E22" t="s">
        <v>10</v>
      </c>
      <c r="F22" t="s">
        <v>10</v>
      </c>
      <c r="G22" t="s">
        <v>71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46087</v>
      </c>
      <c r="B23" t="s">
        <v>74</v>
      </c>
      <c r="C23" s="6" t="s">
        <v>127</v>
      </c>
      <c r="D23" t="s">
        <v>12</v>
      </c>
      <c r="E23" t="s">
        <v>10</v>
      </c>
      <c r="F23" t="s">
        <v>10</v>
      </c>
      <c r="G23" t="s">
        <v>71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46087</v>
      </c>
      <c r="B24" t="s">
        <v>74</v>
      </c>
      <c r="C24" s="6" t="s">
        <v>128</v>
      </c>
      <c r="D24" t="s">
        <v>12</v>
      </c>
      <c r="E24" t="s">
        <v>10</v>
      </c>
      <c r="F24" t="s">
        <v>10</v>
      </c>
      <c r="G24" t="s">
        <v>84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46087</v>
      </c>
      <c r="B25" t="s">
        <v>74</v>
      </c>
      <c r="C25" s="6" t="s">
        <v>129</v>
      </c>
      <c r="D25" t="s">
        <v>12</v>
      </c>
      <c r="E25" t="s">
        <v>19</v>
      </c>
      <c r="F25" t="s">
        <v>19</v>
      </c>
      <c r="G25" t="s">
        <v>77</v>
      </c>
      <c r="H25" t="s">
        <v>11</v>
      </c>
      <c r="I25" t="str">
        <f>_xlfn.XLOOKUP(Tabla1[[#This Row],[Dependencia]],Tabla2[Dependencia],Tabla2[Clasificación],"No indexado")</f>
        <v>Partidos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46087</v>
      </c>
      <c r="B26" t="s">
        <v>74</v>
      </c>
      <c r="C26" s="6" t="s">
        <v>130</v>
      </c>
      <c r="D26" t="s">
        <v>12</v>
      </c>
      <c r="E26" t="s">
        <v>14</v>
      </c>
      <c r="F26" t="s">
        <v>92</v>
      </c>
      <c r="G26" t="s">
        <v>93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46087</v>
      </c>
      <c r="B27" t="s">
        <v>75</v>
      </c>
      <c r="C27" s="6" t="s">
        <v>131</v>
      </c>
      <c r="D27" t="s">
        <v>13</v>
      </c>
      <c r="E27" t="s">
        <v>26</v>
      </c>
      <c r="F27" t="s">
        <v>26</v>
      </c>
      <c r="G27" t="s">
        <v>81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Gobernador</v>
      </c>
    </row>
    <row r="28" spans="1:10" ht="30" x14ac:dyDescent="0.25">
      <c r="A28" s="5">
        <v>46087</v>
      </c>
      <c r="B28" t="s">
        <v>75</v>
      </c>
      <c r="C28" s="6" t="s">
        <v>132</v>
      </c>
      <c r="D28" t="s">
        <v>12</v>
      </c>
      <c r="E28" t="s">
        <v>39</v>
      </c>
      <c r="F28" t="s">
        <v>39</v>
      </c>
      <c r="G28" t="s">
        <v>133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46087</v>
      </c>
      <c r="B29" t="s">
        <v>75</v>
      </c>
      <c r="C29" s="6" t="s">
        <v>134</v>
      </c>
      <c r="D29" t="s">
        <v>12</v>
      </c>
      <c r="E29" t="s">
        <v>10</v>
      </c>
      <c r="F29" t="s">
        <v>10</v>
      </c>
      <c r="G29" t="s">
        <v>71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46087</v>
      </c>
      <c r="B30" t="s">
        <v>75</v>
      </c>
      <c r="C30" s="6" t="s">
        <v>135</v>
      </c>
      <c r="D30" t="s">
        <v>9</v>
      </c>
      <c r="E30" t="s">
        <v>14</v>
      </c>
      <c r="F30" t="s">
        <v>92</v>
      </c>
      <c r="G30" t="s">
        <v>93</v>
      </c>
      <c r="H30" t="s">
        <v>11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ht="120" x14ac:dyDescent="0.25">
      <c r="A31" s="5">
        <v>46087</v>
      </c>
      <c r="B31" t="s">
        <v>75</v>
      </c>
      <c r="C31" s="6" t="s">
        <v>136</v>
      </c>
      <c r="D31" t="s">
        <v>12</v>
      </c>
      <c r="E31" t="s">
        <v>10</v>
      </c>
      <c r="F31" t="s">
        <v>10</v>
      </c>
      <c r="G31" t="s">
        <v>84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x14ac:dyDescent="0.25">
      <c r="A32" s="5">
        <v>46087</v>
      </c>
      <c r="B32" t="s">
        <v>76</v>
      </c>
      <c r="C32" s="6" t="s">
        <v>137</v>
      </c>
      <c r="D32" t="s">
        <v>13</v>
      </c>
      <c r="E32" t="s">
        <v>26</v>
      </c>
      <c r="F32" t="s">
        <v>26</v>
      </c>
      <c r="G32" t="s">
        <v>107</v>
      </c>
      <c r="H32" t="s">
        <v>27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ht="30" x14ac:dyDescent="0.25">
      <c r="A33" s="5">
        <v>46087</v>
      </c>
      <c r="B33" t="s">
        <v>76</v>
      </c>
      <c r="C33" s="6" t="s">
        <v>138</v>
      </c>
      <c r="D33" t="s">
        <v>12</v>
      </c>
      <c r="E33" t="s">
        <v>15</v>
      </c>
      <c r="F33" t="s">
        <v>15</v>
      </c>
      <c r="G33" t="s">
        <v>83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5">
        <v>46087</v>
      </c>
      <c r="B34" t="s">
        <v>76</v>
      </c>
      <c r="C34" s="6" t="s">
        <v>139</v>
      </c>
      <c r="D34" t="s">
        <v>12</v>
      </c>
      <c r="E34" t="s">
        <v>10</v>
      </c>
      <c r="F34" t="s">
        <v>10</v>
      </c>
      <c r="G34" t="s">
        <v>81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46087</v>
      </c>
      <c r="B35" t="s">
        <v>76</v>
      </c>
      <c r="C35" s="6" t="s">
        <v>140</v>
      </c>
      <c r="D35" t="s">
        <v>12</v>
      </c>
      <c r="E35" t="s">
        <v>14</v>
      </c>
      <c r="F35" t="s">
        <v>14</v>
      </c>
      <c r="G35" t="s">
        <v>80</v>
      </c>
      <c r="H35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46087</v>
      </c>
      <c r="B36" t="s">
        <v>79</v>
      </c>
      <c r="C36" s="6" t="s">
        <v>141</v>
      </c>
      <c r="D36" t="s">
        <v>13</v>
      </c>
      <c r="E36" t="s">
        <v>10</v>
      </c>
      <c r="F36" t="s">
        <v>10</v>
      </c>
      <c r="G36" t="s">
        <v>142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46087</v>
      </c>
      <c r="B37" t="s">
        <v>79</v>
      </c>
      <c r="C37" s="6" t="s">
        <v>143</v>
      </c>
      <c r="D37" t="s">
        <v>12</v>
      </c>
      <c r="E37" t="s">
        <v>144</v>
      </c>
      <c r="F37" t="s">
        <v>144</v>
      </c>
      <c r="G37" t="s">
        <v>145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5">
        <v>46087</v>
      </c>
      <c r="B38" t="s">
        <v>79</v>
      </c>
      <c r="C38" s="6" t="s">
        <v>146</v>
      </c>
      <c r="D38" t="s">
        <v>12</v>
      </c>
      <c r="E38" t="s">
        <v>17</v>
      </c>
      <c r="F38" t="s">
        <v>17</v>
      </c>
      <c r="G38" t="s">
        <v>147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46087</v>
      </c>
      <c r="B39" t="s">
        <v>79</v>
      </c>
      <c r="C39" s="6" t="s">
        <v>148</v>
      </c>
      <c r="D39" t="s">
        <v>12</v>
      </c>
      <c r="E39" t="s">
        <v>17</v>
      </c>
      <c r="F39" t="s">
        <v>149</v>
      </c>
      <c r="G39" t="s">
        <v>150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46087</v>
      </c>
      <c r="B40" t="s">
        <v>79</v>
      </c>
      <c r="C40" s="6" t="s">
        <v>151</v>
      </c>
      <c r="D40" t="s">
        <v>12</v>
      </c>
      <c r="E40" t="s">
        <v>29</v>
      </c>
      <c r="F40" t="s">
        <v>2</v>
      </c>
      <c r="G40" t="s">
        <v>80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5">
        <v>46087</v>
      </c>
      <c r="B41" t="s">
        <v>31</v>
      </c>
      <c r="C41" s="6" t="s">
        <v>152</v>
      </c>
      <c r="D41" t="s">
        <v>13</v>
      </c>
      <c r="E41" t="s">
        <v>24</v>
      </c>
      <c r="F41" t="s">
        <v>24</v>
      </c>
      <c r="G41" t="s">
        <v>81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5">
        <v>46087</v>
      </c>
      <c r="B42" t="s">
        <v>31</v>
      </c>
      <c r="C42" s="6" t="s">
        <v>153</v>
      </c>
      <c r="D42" t="s">
        <v>12</v>
      </c>
      <c r="E42" t="s">
        <v>39</v>
      </c>
      <c r="F42" t="s">
        <v>39</v>
      </c>
      <c r="G42" t="s">
        <v>96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46087</v>
      </c>
      <c r="B43" t="s">
        <v>31</v>
      </c>
      <c r="C43" s="6" t="s">
        <v>154</v>
      </c>
      <c r="D43" t="s">
        <v>12</v>
      </c>
      <c r="E43" t="s">
        <v>44</v>
      </c>
      <c r="F43" t="s">
        <v>44</v>
      </c>
      <c r="G43" t="s">
        <v>82</v>
      </c>
      <c r="H43" t="s">
        <v>16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5">
        <v>46087</v>
      </c>
      <c r="B44" t="s">
        <v>31</v>
      </c>
      <c r="C44" s="6" t="s">
        <v>155</v>
      </c>
      <c r="D44" t="s">
        <v>12</v>
      </c>
      <c r="E44" t="s">
        <v>144</v>
      </c>
      <c r="F44" t="s">
        <v>156</v>
      </c>
      <c r="G44" t="s">
        <v>85</v>
      </c>
      <c r="H44" t="s">
        <v>27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5">
        <v>46087</v>
      </c>
      <c r="B45" t="s">
        <v>31</v>
      </c>
      <c r="C45" s="6" t="s">
        <v>157</v>
      </c>
      <c r="D45" t="s">
        <v>12</v>
      </c>
      <c r="E45" t="s">
        <v>14</v>
      </c>
      <c r="F45" t="s">
        <v>14</v>
      </c>
      <c r="G45" t="s">
        <v>158</v>
      </c>
      <c r="H45" t="s">
        <v>27</v>
      </c>
      <c r="I45" t="str">
        <f>_xlfn.XLOOKUP(Tabla1[[#This Row],[Dependencia]],Tabla2[Dependencia],Tabla2[Clasificación],"No indexado")</f>
        <v>Presidencia de la República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46087</v>
      </c>
      <c r="B46" t="s">
        <v>31</v>
      </c>
      <c r="C46" s="6" t="s">
        <v>159</v>
      </c>
      <c r="D46" t="s">
        <v>12</v>
      </c>
      <c r="E46" t="s">
        <v>42</v>
      </c>
      <c r="F46" t="s">
        <v>160</v>
      </c>
      <c r="G46" t="s">
        <v>161</v>
      </c>
      <c r="H46" t="s">
        <v>16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5">
        <v>46087</v>
      </c>
      <c r="B47" t="s">
        <v>31</v>
      </c>
      <c r="C47" s="6" t="s">
        <v>162</v>
      </c>
      <c r="D47" t="s">
        <v>12</v>
      </c>
      <c r="E47" t="s">
        <v>44</v>
      </c>
      <c r="F47" t="s">
        <v>44</v>
      </c>
      <c r="G47" t="s">
        <v>82</v>
      </c>
      <c r="H47" t="s">
        <v>16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5">
        <v>46087</v>
      </c>
      <c r="B48" t="s">
        <v>163</v>
      </c>
      <c r="C48" s="6" t="s">
        <v>164</v>
      </c>
      <c r="D48" t="s">
        <v>12</v>
      </c>
      <c r="E48" t="s">
        <v>17</v>
      </c>
      <c r="F48" t="s">
        <v>149</v>
      </c>
      <c r="G48" t="s">
        <v>165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46087</v>
      </c>
      <c r="B49" t="s">
        <v>163</v>
      </c>
      <c r="C49" s="6" t="s">
        <v>166</v>
      </c>
      <c r="D49" t="s">
        <v>13</v>
      </c>
      <c r="E49" t="s">
        <v>26</v>
      </c>
      <c r="F49" t="s">
        <v>26</v>
      </c>
      <c r="G49" t="s">
        <v>107</v>
      </c>
      <c r="H49" t="s">
        <v>27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ht="30" x14ac:dyDescent="0.25">
      <c r="A50" s="5">
        <v>46087</v>
      </c>
      <c r="B50" t="s">
        <v>163</v>
      </c>
      <c r="C50" s="6" t="s">
        <v>167</v>
      </c>
      <c r="D50" t="s">
        <v>12</v>
      </c>
      <c r="E50" t="s">
        <v>17</v>
      </c>
      <c r="F50" t="s">
        <v>17</v>
      </c>
      <c r="G50" t="s">
        <v>168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46087</v>
      </c>
      <c r="B51" t="s">
        <v>163</v>
      </c>
      <c r="C51" s="6" t="s">
        <v>169</v>
      </c>
      <c r="D51" t="s">
        <v>12</v>
      </c>
      <c r="E51" t="s">
        <v>17</v>
      </c>
      <c r="F51" t="s">
        <v>17</v>
      </c>
      <c r="G51" t="s">
        <v>170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46087</v>
      </c>
      <c r="B52" t="s">
        <v>163</v>
      </c>
      <c r="C52" s="6" t="s">
        <v>171</v>
      </c>
      <c r="D52" t="s">
        <v>12</v>
      </c>
      <c r="E52" t="s">
        <v>10</v>
      </c>
      <c r="F52" t="s">
        <v>10</v>
      </c>
      <c r="G52" t="s">
        <v>71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46087</v>
      </c>
      <c r="B53" t="s">
        <v>163</v>
      </c>
      <c r="C53" s="6" t="s">
        <v>172</v>
      </c>
      <c r="D53" t="s">
        <v>12</v>
      </c>
      <c r="E53" t="s">
        <v>10</v>
      </c>
      <c r="F53" t="s">
        <v>10</v>
      </c>
      <c r="G53" t="s">
        <v>173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46087</v>
      </c>
      <c r="B54" t="s">
        <v>163</v>
      </c>
      <c r="C54" s="6" t="s">
        <v>174</v>
      </c>
      <c r="D54" t="s">
        <v>12</v>
      </c>
      <c r="E54" t="s">
        <v>44</v>
      </c>
      <c r="F54" t="s">
        <v>44</v>
      </c>
      <c r="G54" t="s">
        <v>82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46087</v>
      </c>
      <c r="B55" t="s">
        <v>30</v>
      </c>
      <c r="C55" s="6" t="s">
        <v>175</v>
      </c>
      <c r="D55" t="s">
        <v>13</v>
      </c>
      <c r="E55" t="s">
        <v>44</v>
      </c>
      <c r="F55" t="s">
        <v>44</v>
      </c>
      <c r="G55" t="s">
        <v>82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46087</v>
      </c>
      <c r="B56" t="s">
        <v>30</v>
      </c>
      <c r="C56" s="6" t="s">
        <v>176</v>
      </c>
      <c r="D56" t="s">
        <v>12</v>
      </c>
      <c r="E56" t="s">
        <v>15</v>
      </c>
      <c r="F56" t="s">
        <v>15</v>
      </c>
      <c r="G56" t="s">
        <v>83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46087</v>
      </c>
      <c r="B57" t="s">
        <v>30</v>
      </c>
      <c r="C57" s="6" t="s">
        <v>177</v>
      </c>
      <c r="D57" t="s">
        <v>12</v>
      </c>
      <c r="E57" t="s">
        <v>59</v>
      </c>
      <c r="F57" t="s">
        <v>59</v>
      </c>
      <c r="G57" t="s">
        <v>86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5">
        <v>46087</v>
      </c>
      <c r="B58" t="s">
        <v>30</v>
      </c>
      <c r="C58" s="6" t="s">
        <v>178</v>
      </c>
      <c r="D58" t="s">
        <v>12</v>
      </c>
      <c r="E58" t="s">
        <v>26</v>
      </c>
      <c r="F58" t="s">
        <v>26</v>
      </c>
      <c r="G58" t="s">
        <v>107</v>
      </c>
      <c r="H58" t="s">
        <v>27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Gobernador</v>
      </c>
    </row>
    <row r="59" spans="1:10" x14ac:dyDescent="0.25">
      <c r="A59" s="5">
        <v>46087</v>
      </c>
      <c r="B59" t="s">
        <v>30</v>
      </c>
      <c r="C59" s="6" t="s">
        <v>179</v>
      </c>
      <c r="D59" t="s">
        <v>12</v>
      </c>
      <c r="E59" t="s">
        <v>17</v>
      </c>
      <c r="F59" t="s">
        <v>17</v>
      </c>
      <c r="G59" t="s">
        <v>180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x14ac:dyDescent="0.25">
      <c r="A60" s="5">
        <v>46087</v>
      </c>
      <c r="B60" t="s">
        <v>30</v>
      </c>
      <c r="C60" s="6" t="s">
        <v>181</v>
      </c>
      <c r="D60" t="s">
        <v>13</v>
      </c>
      <c r="E60" t="s">
        <v>26</v>
      </c>
      <c r="F60" t="s">
        <v>26</v>
      </c>
      <c r="G60" t="s">
        <v>107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Gobernador</v>
      </c>
    </row>
    <row r="61" spans="1:10" ht="30" x14ac:dyDescent="0.25">
      <c r="A61" s="5">
        <v>46087</v>
      </c>
      <c r="B61" t="s">
        <v>30</v>
      </c>
      <c r="C61" s="6" t="s">
        <v>182</v>
      </c>
      <c r="D61" t="s">
        <v>12</v>
      </c>
      <c r="E61" t="s">
        <v>26</v>
      </c>
      <c r="F61" t="s">
        <v>26</v>
      </c>
      <c r="G61" t="s">
        <v>183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ht="45" x14ac:dyDescent="0.25">
      <c r="A62" s="5">
        <v>46087</v>
      </c>
      <c r="B62" t="s">
        <v>30</v>
      </c>
      <c r="C62" s="6" t="s">
        <v>184</v>
      </c>
      <c r="D62" t="s">
        <v>185</v>
      </c>
      <c r="E62" t="s">
        <v>10</v>
      </c>
      <c r="F62" t="s">
        <v>10</v>
      </c>
      <c r="G62" t="s">
        <v>84</v>
      </c>
      <c r="H62" t="s">
        <v>16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x14ac:dyDescent="0.25">
      <c r="A63" s="5">
        <v>46087</v>
      </c>
      <c r="B63" t="s">
        <v>30</v>
      </c>
      <c r="C63" s="6" t="s">
        <v>186</v>
      </c>
      <c r="D63" t="s">
        <v>12</v>
      </c>
      <c r="E63" t="s">
        <v>24</v>
      </c>
      <c r="F63" t="s">
        <v>24</v>
      </c>
      <c r="G63" t="s">
        <v>187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5">
        <v>46087</v>
      </c>
      <c r="B64" t="s">
        <v>30</v>
      </c>
      <c r="C64" s="6" t="s">
        <v>188</v>
      </c>
      <c r="D64" t="s">
        <v>12</v>
      </c>
      <c r="E64" t="s">
        <v>14</v>
      </c>
      <c r="F64" t="s">
        <v>189</v>
      </c>
      <c r="G64" t="s">
        <v>83</v>
      </c>
      <c r="H64" t="s">
        <v>16</v>
      </c>
      <c r="I64" t="str">
        <f>_xlfn.XLOOKUP(Tabla1[[#This Row],[Dependencia]],Tabla2[Dependencia],Tabla2[Clasificación],"No indexado")</f>
        <v>Presidencia de la República</v>
      </c>
      <c r="J64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35</v>
      </c>
      <c r="D1" s="8" t="s">
        <v>4</v>
      </c>
      <c r="E1" t="s">
        <v>88</v>
      </c>
    </row>
    <row r="2" spans="1:5" x14ac:dyDescent="0.25">
      <c r="A2" t="s">
        <v>67</v>
      </c>
      <c r="B2" t="s">
        <v>68</v>
      </c>
      <c r="D2" s="10" t="s">
        <v>20</v>
      </c>
      <c r="E2" t="s">
        <v>190</v>
      </c>
    </row>
    <row r="3" spans="1:5" x14ac:dyDescent="0.25">
      <c r="A3" t="s">
        <v>17</v>
      </c>
      <c r="B3" t="s">
        <v>36</v>
      </c>
      <c r="D3" s="9" t="s">
        <v>38</v>
      </c>
      <c r="E3" t="s">
        <v>190</v>
      </c>
    </row>
    <row r="4" spans="1:5" x14ac:dyDescent="0.25">
      <c r="A4" t="s">
        <v>20</v>
      </c>
      <c r="B4" t="s">
        <v>37</v>
      </c>
      <c r="D4" s="9" t="s">
        <v>40</v>
      </c>
      <c r="E4" t="s">
        <v>190</v>
      </c>
    </row>
    <row r="5" spans="1:5" x14ac:dyDescent="0.25">
      <c r="A5" t="s">
        <v>66</v>
      </c>
      <c r="B5" t="s">
        <v>10</v>
      </c>
      <c r="D5" s="10" t="s">
        <v>33</v>
      </c>
      <c r="E5" t="s">
        <v>190</v>
      </c>
    </row>
    <row r="6" spans="1:5" x14ac:dyDescent="0.25">
      <c r="A6" t="s">
        <v>38</v>
      </c>
      <c r="B6" t="s">
        <v>37</v>
      </c>
      <c r="D6" s="10" t="s">
        <v>41</v>
      </c>
      <c r="E6" t="s">
        <v>190</v>
      </c>
    </row>
    <row r="7" spans="1:5" x14ac:dyDescent="0.25">
      <c r="A7" t="s">
        <v>39</v>
      </c>
      <c r="B7" t="s">
        <v>10</v>
      </c>
      <c r="D7" s="9" t="s">
        <v>42</v>
      </c>
      <c r="E7" t="s">
        <v>190</v>
      </c>
    </row>
    <row r="8" spans="1:5" x14ac:dyDescent="0.25">
      <c r="A8" t="s">
        <v>40</v>
      </c>
      <c r="B8" t="s">
        <v>37</v>
      </c>
      <c r="D8" s="9" t="s">
        <v>42</v>
      </c>
      <c r="E8" s="11" t="s">
        <v>190</v>
      </c>
    </row>
    <row r="9" spans="1:5" x14ac:dyDescent="0.25">
      <c r="A9" t="s">
        <v>33</v>
      </c>
      <c r="B9" t="s">
        <v>37</v>
      </c>
      <c r="D9" s="9" t="s">
        <v>43</v>
      </c>
      <c r="E9" t="s">
        <v>190</v>
      </c>
    </row>
    <row r="10" spans="1:5" x14ac:dyDescent="0.25">
      <c r="A10" t="s">
        <v>28</v>
      </c>
      <c r="B10" t="s">
        <v>10</v>
      </c>
      <c r="D10" s="10" t="s">
        <v>26</v>
      </c>
      <c r="E10" t="s">
        <v>26</v>
      </c>
    </row>
    <row r="11" spans="1:5" x14ac:dyDescent="0.25">
      <c r="A11" t="s">
        <v>41</v>
      </c>
      <c r="B11" t="s">
        <v>37</v>
      </c>
      <c r="D11" s="9" t="s">
        <v>44</v>
      </c>
      <c r="E11" t="s">
        <v>190</v>
      </c>
    </row>
    <row r="12" spans="1:5" x14ac:dyDescent="0.25">
      <c r="A12" t="s">
        <v>42</v>
      </c>
      <c r="B12" t="s">
        <v>37</v>
      </c>
      <c r="D12" s="10" t="s">
        <v>45</v>
      </c>
      <c r="E12" t="s">
        <v>190</v>
      </c>
    </row>
    <row r="13" spans="1:5" x14ac:dyDescent="0.25">
      <c r="A13" t="s">
        <v>42</v>
      </c>
      <c r="B13" t="s">
        <v>37</v>
      </c>
      <c r="D13" s="10" t="s">
        <v>45</v>
      </c>
      <c r="E13" t="s">
        <v>190</v>
      </c>
    </row>
    <row r="14" spans="1:5" x14ac:dyDescent="0.25">
      <c r="A14" t="s">
        <v>69</v>
      </c>
      <c r="B14" t="s">
        <v>50</v>
      </c>
      <c r="D14" s="9" t="s">
        <v>23</v>
      </c>
      <c r="E14" t="s">
        <v>190</v>
      </c>
    </row>
    <row r="15" spans="1:5" x14ac:dyDescent="0.25">
      <c r="A15" t="s">
        <v>43</v>
      </c>
      <c r="B15" t="s">
        <v>37</v>
      </c>
      <c r="D15" s="10" t="s">
        <v>18</v>
      </c>
      <c r="E15" t="s">
        <v>190</v>
      </c>
    </row>
    <row r="16" spans="1:5" x14ac:dyDescent="0.25">
      <c r="A16" t="s">
        <v>26</v>
      </c>
      <c r="B16" t="s">
        <v>37</v>
      </c>
      <c r="D16" s="9" t="s">
        <v>53</v>
      </c>
      <c r="E16" t="s">
        <v>190</v>
      </c>
    </row>
    <row r="17" spans="1:5" x14ac:dyDescent="0.25">
      <c r="A17" t="s">
        <v>44</v>
      </c>
      <c r="B17" t="s">
        <v>37</v>
      </c>
      <c r="D17" s="9" t="s">
        <v>59</v>
      </c>
      <c r="E17" t="s">
        <v>190</v>
      </c>
    </row>
    <row r="18" spans="1:5" x14ac:dyDescent="0.25">
      <c r="A18" t="s">
        <v>45</v>
      </c>
      <c r="B18" t="s">
        <v>37</v>
      </c>
      <c r="D18" s="9" t="s">
        <v>60</v>
      </c>
      <c r="E18" t="s">
        <v>190</v>
      </c>
    </row>
    <row r="19" spans="1:5" x14ac:dyDescent="0.25">
      <c r="A19" t="s">
        <v>46</v>
      </c>
      <c r="B19" t="s">
        <v>10</v>
      </c>
      <c r="D19" s="9" t="s">
        <v>25</v>
      </c>
      <c r="E19" t="s">
        <v>190</v>
      </c>
    </row>
    <row r="20" spans="1:5" x14ac:dyDescent="0.25">
      <c r="A20" t="s">
        <v>47</v>
      </c>
      <c r="B20" t="s">
        <v>48</v>
      </c>
      <c r="D20" s="10" t="s">
        <v>21</v>
      </c>
      <c r="E20" t="s">
        <v>190</v>
      </c>
    </row>
    <row r="21" spans="1:5" x14ac:dyDescent="0.25">
      <c r="A21" t="s">
        <v>49</v>
      </c>
      <c r="B21" t="s">
        <v>50</v>
      </c>
      <c r="D21" s="9" t="s">
        <v>32</v>
      </c>
      <c r="E21" t="s">
        <v>190</v>
      </c>
    </row>
    <row r="22" spans="1:5" x14ac:dyDescent="0.25">
      <c r="A22" t="s">
        <v>19</v>
      </c>
      <c r="B22" t="s">
        <v>50</v>
      </c>
      <c r="D22" s="10" t="s">
        <v>29</v>
      </c>
      <c r="E22" t="s">
        <v>190</v>
      </c>
    </row>
    <row r="23" spans="1:5" x14ac:dyDescent="0.25">
      <c r="A23" t="s">
        <v>23</v>
      </c>
      <c r="B23" t="s">
        <v>37</v>
      </c>
      <c r="D23" s="9" t="s">
        <v>61</v>
      </c>
      <c r="E23" t="s">
        <v>190</v>
      </c>
    </row>
    <row r="24" spans="1:5" x14ac:dyDescent="0.25">
      <c r="A24" t="s">
        <v>10</v>
      </c>
      <c r="B24" t="s">
        <v>10</v>
      </c>
      <c r="D24" s="9" t="s">
        <v>15</v>
      </c>
      <c r="E24" t="s">
        <v>190</v>
      </c>
    </row>
    <row r="25" spans="1:5" x14ac:dyDescent="0.25">
      <c r="A25" t="s">
        <v>51</v>
      </c>
      <c r="B25" t="s">
        <v>50</v>
      </c>
      <c r="D25" s="10" t="s">
        <v>24</v>
      </c>
      <c r="E25" t="s">
        <v>190</v>
      </c>
    </row>
    <row r="26" spans="1:5" x14ac:dyDescent="0.25">
      <c r="A26" t="s">
        <v>52</v>
      </c>
      <c r="B26" t="s">
        <v>50</v>
      </c>
      <c r="D26" s="9" t="s">
        <v>62</v>
      </c>
      <c r="E26" t="s">
        <v>190</v>
      </c>
    </row>
    <row r="27" spans="1:5" x14ac:dyDescent="0.25">
      <c r="A27" t="s">
        <v>70</v>
      </c>
      <c r="B27" t="s">
        <v>50</v>
      </c>
      <c r="D27" s="12" t="s">
        <v>34</v>
      </c>
      <c r="E27" t="s">
        <v>190</v>
      </c>
    </row>
    <row r="28" spans="1:5" x14ac:dyDescent="0.25">
      <c r="A28" t="s">
        <v>18</v>
      </c>
      <c r="B28" t="s">
        <v>37</v>
      </c>
    </row>
    <row r="29" spans="1:5" x14ac:dyDescent="0.25">
      <c r="A29" t="s">
        <v>53</v>
      </c>
      <c r="B29" t="s">
        <v>37</v>
      </c>
    </row>
    <row r="30" spans="1:5" x14ac:dyDescent="0.25">
      <c r="A30" t="s">
        <v>54</v>
      </c>
      <c r="B30" t="s">
        <v>50</v>
      </c>
    </row>
    <row r="31" spans="1:5" x14ac:dyDescent="0.25">
      <c r="A31" t="s">
        <v>14</v>
      </c>
      <c r="B31" t="s">
        <v>55</v>
      </c>
    </row>
    <row r="32" spans="1:5" x14ac:dyDescent="0.25">
      <c r="A32" t="s">
        <v>56</v>
      </c>
      <c r="B32" t="s">
        <v>50</v>
      </c>
    </row>
    <row r="33" spans="1:2" x14ac:dyDescent="0.25">
      <c r="A33" t="s">
        <v>57</v>
      </c>
      <c r="B33" t="s">
        <v>50</v>
      </c>
    </row>
    <row r="34" spans="1:2" x14ac:dyDescent="0.25">
      <c r="A34" t="s">
        <v>58</v>
      </c>
      <c r="B34" t="s">
        <v>50</v>
      </c>
    </row>
    <row r="35" spans="1:2" x14ac:dyDescent="0.25">
      <c r="A35" t="s">
        <v>59</v>
      </c>
      <c r="B35" t="s">
        <v>37</v>
      </c>
    </row>
    <row r="36" spans="1:2" x14ac:dyDescent="0.25">
      <c r="A36" t="s">
        <v>60</v>
      </c>
      <c r="B36" t="s">
        <v>37</v>
      </c>
    </row>
    <row r="37" spans="1:2" x14ac:dyDescent="0.25">
      <c r="A37" t="s">
        <v>25</v>
      </c>
      <c r="B37" t="s">
        <v>37</v>
      </c>
    </row>
    <row r="38" spans="1:2" x14ac:dyDescent="0.25">
      <c r="A38" t="s">
        <v>21</v>
      </c>
      <c r="B38" t="s">
        <v>37</v>
      </c>
    </row>
    <row r="39" spans="1:2" x14ac:dyDescent="0.25">
      <c r="A39" t="s">
        <v>32</v>
      </c>
      <c r="B39" t="s">
        <v>37</v>
      </c>
    </row>
    <row r="40" spans="1:2" x14ac:dyDescent="0.25">
      <c r="A40" t="s">
        <v>29</v>
      </c>
      <c r="B40" t="s">
        <v>37</v>
      </c>
    </row>
    <row r="41" spans="1:2" x14ac:dyDescent="0.25">
      <c r="A41" t="s">
        <v>61</v>
      </c>
      <c r="B41" t="s">
        <v>37</v>
      </c>
    </row>
    <row r="42" spans="1:2" x14ac:dyDescent="0.25">
      <c r="A42" t="s">
        <v>15</v>
      </c>
      <c r="B42" t="s">
        <v>37</v>
      </c>
    </row>
    <row r="43" spans="1:2" x14ac:dyDescent="0.25">
      <c r="A43" t="s">
        <v>24</v>
      </c>
      <c r="B43" t="s">
        <v>37</v>
      </c>
    </row>
    <row r="44" spans="1:2" x14ac:dyDescent="0.25">
      <c r="A44" t="s">
        <v>62</v>
      </c>
      <c r="B44" t="s">
        <v>37</v>
      </c>
    </row>
    <row r="45" spans="1:2" x14ac:dyDescent="0.25">
      <c r="A45" t="s">
        <v>63</v>
      </c>
      <c r="B45" t="s">
        <v>10</v>
      </c>
    </row>
    <row r="46" spans="1:2" x14ac:dyDescent="0.25">
      <c r="A46" t="s">
        <v>64</v>
      </c>
      <c r="B46" t="s">
        <v>10</v>
      </c>
    </row>
    <row r="47" spans="1:2" x14ac:dyDescent="0.25">
      <c r="A47" t="s">
        <v>34</v>
      </c>
      <c r="B47" t="s">
        <v>37</v>
      </c>
    </row>
    <row r="48" spans="1:2" x14ac:dyDescent="0.25">
      <c r="A48" t="s">
        <v>65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2026-03-06T15:32:59Z</dcterms:modified>
</cp:coreProperties>
</file>