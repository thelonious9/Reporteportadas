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50F3791C-6105-419B-913C-9475E00C56A6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I2" i="1"/>
  <c r="J2" i="1"/>
</calcChain>
</file>

<file path=xl/sharedStrings.xml><?xml version="1.0" encoding="utf-8"?>
<sst xmlns="http://schemas.openxmlformats.org/spreadsheetml/2006/main" count="580" uniqueCount="192">
  <si>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</si>
  <si>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</si>
  <si>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</si>
  <si>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</si>
  <si>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</si>
  <si>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</si>
  <si>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</si>
  <si>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</si>
  <si>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</si>
  <si>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</si>
  <si>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</si>
  <si>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</si>
  <si>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</si>
  <si>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</si>
  <si>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</si>
  <si>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</si>
  <si>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</si>
  <si>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</si>
  <si>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</si>
  <si>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</si>
  <si>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</si>
  <si>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</si>
  <si>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</si>
  <si>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</si>
  <si>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</si>
  <si>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</si>
  <si>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</si>
  <si>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</si>
  <si>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</si>
  <si>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</si>
  <si>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</si>
  <si>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</si>
  <si>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</si>
  <si>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</si>
  <si>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</si>
  <si>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</si>
  <si>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</si>
  <si>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</si>
  <si>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</si>
  <si>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</si>
  <si>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</si>
  <si>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</si>
  <si>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</si>
  <si>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</si>
  <si>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</si>
  <si>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</si>
  <si>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</si>
  <si>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</si>
  <si>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</si>
  <si>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</si>
  <si>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</si>
  <si>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</si>
  <si>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</si>
  <si>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</si>
  <si>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</si>
  <si>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</si>
  <si>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</si>
  <si>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</si>
  <si>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</si>
  <si>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</si>
  <si>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</si>
  <si>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</si>
  <si>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</si>
  <si>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</si>
  <si>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</si>
  <si>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</si>
  <si>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</si>
  <si>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</si>
  <si>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</si>
  <si>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</si>
  <si>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</si>
  <si>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</si>
  <si>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</si>
  <si>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La Jornada Hidalgo</t>
  </si>
  <si>
    <t>OCSAD</t>
  </si>
  <si>
    <t>Mundial De Futbol</t>
  </si>
  <si>
    <t>Effetá</t>
  </si>
  <si>
    <t>Alcalde</t>
  </si>
  <si>
    <t>Plaza Juárez</t>
  </si>
  <si>
    <t>Criterio</t>
  </si>
  <si>
    <t>Sipdus</t>
  </si>
  <si>
    <t>Publicidad</t>
  </si>
  <si>
    <t>Atención Afectaciones Por Lluvias</t>
  </si>
  <si>
    <t>Temas varios</t>
  </si>
  <si>
    <t>Policía municipal</t>
  </si>
  <si>
    <t>Apoyo Al Agro</t>
  </si>
  <si>
    <t>Pachuca Brilla</t>
  </si>
  <si>
    <t>Salud</t>
  </si>
  <si>
    <t>Enfrentamiento</t>
  </si>
  <si>
    <t>Control lirio acuático</t>
  </si>
  <si>
    <t>Infraestructura escolar</t>
  </si>
  <si>
    <t>Complejo Gubernamental</t>
  </si>
  <si>
    <t>Monitoreo De Presas</t>
  </si>
  <si>
    <t>Sucesión Gubernamental</t>
  </si>
  <si>
    <t>Francia supera a Senegal</t>
  </si>
  <si>
    <t>Sedes mundialistas, foco de discriminación</t>
  </si>
  <si>
    <t>Discriminación</t>
  </si>
  <si>
    <t>Crean pomada contra gusano barrenador</t>
  </si>
  <si>
    <t>Gusano barrenador</t>
  </si>
  <si>
    <t>Tienen internet 80% de hogares en Hidalgo</t>
  </si>
  <si>
    <t>Internet</t>
  </si>
  <si>
    <t>Intensa actividad cultural en Pachuca</t>
  </si>
  <si>
    <t>Cartelera cultural</t>
  </si>
  <si>
    <t>El menor nivel de homicidios</t>
  </si>
  <si>
    <t>Incidencia Delictiva</t>
  </si>
  <si>
    <t>El Universal Hidalgo</t>
  </si>
  <si>
    <t>Inhabilita la Contraloría a director de obra pública en Metztilán</t>
  </si>
  <si>
    <t>Inhabilitación</t>
  </si>
  <si>
    <t>Aspiran 8 mil, solo para Medicina y Odontología</t>
  </si>
  <si>
    <t>Admisiones</t>
  </si>
  <si>
    <t>Habitantes de Chapula urgen a que los reubiquen</t>
  </si>
  <si>
    <t>Reubicación de viviendas</t>
  </si>
  <si>
    <t>Homicidios dolosos bajan 46% con Sheinbaum</t>
  </si>
  <si>
    <t>Messi hace historia; brillan Mbappé y Haaland</t>
  </si>
  <si>
    <t>MC cierra la puerta a las coaliciones</t>
  </si>
  <si>
    <t>Alianzas Electorales</t>
  </si>
  <si>
    <t>Argentina arranca firme el Mundial</t>
  </si>
  <si>
    <t>Arranque de peso</t>
  </si>
  <si>
    <t>Van seis suicidios en penitenciarías</t>
  </si>
  <si>
    <t>Suicidio de interno</t>
  </si>
  <si>
    <t>Eliminan a 4 proveedores del Registro Estatal Oficial</t>
  </si>
  <si>
    <t>Padrón de proveedores</t>
  </si>
  <si>
    <t>Piden justicia por feminicidio de Araceli</t>
  </si>
  <si>
    <t>Exigen Esclarecer Feminicidio</t>
  </si>
  <si>
    <t>Sigue congelada iniciativa para la gubernatura de 5 años a mujeres</t>
  </si>
  <si>
    <t>Reforma Electoral</t>
  </si>
  <si>
    <t>Destinan casi $49 millones para la reconstrucción de una avenida</t>
  </si>
  <si>
    <t>Depuran padrón de proveedores; caen 4 mil empresas irregulares</t>
  </si>
  <si>
    <t>Esperan ahorros superiores a los 200 millones de pesos</t>
  </si>
  <si>
    <t>Reporta Hacienda estatal ingresos por 500 mdp</t>
  </si>
  <si>
    <t>Control vehicular</t>
  </si>
  <si>
    <t>Crímenes dolosos registran caída de 18.5% en 2026</t>
  </si>
  <si>
    <t>Incan fortalece radioterapia con una inversión de 209 mdp</t>
  </si>
  <si>
    <t>Messi empata marca histórica con el 3-0 ante Argelia</t>
  </si>
  <si>
    <t>Doy gracias a EU pero ya no busco el sueño americano""</t>
  </si>
  <si>
    <t>Golpe a nuevos partidos</t>
  </si>
  <si>
    <t>Militancia Partidista</t>
  </si>
  <si>
    <t>Levanta la mano 75 en pos de una gubernatura... únicamente entre la 4T</t>
  </si>
  <si>
    <t>El Tuzobús mantiene recuperación</t>
  </si>
  <si>
    <t>Sitmah</t>
  </si>
  <si>
    <t>Afluencia Tuzobús</t>
  </si>
  <si>
    <t>Ihdep vuelve a subastar tres predios; busca obtener 3 mdp</t>
  </si>
  <si>
    <t>IHDEP</t>
  </si>
  <si>
    <t>INDEPH</t>
  </si>
  <si>
    <t>Lluvias no dan tregua a zona Metropolitana</t>
  </si>
  <si>
    <t>Gusano barrenador: se registran 13 casos locales en humanos</t>
  </si>
  <si>
    <t>ssh</t>
  </si>
  <si>
    <t>Niega CSP que haya plazo para entregar a Rocha</t>
  </si>
  <si>
    <t>Intervención extranjera</t>
  </si>
  <si>
    <t>Si queremos que las personas tomen decisiones libres de prejuicios y discriminación, tenemos que trabajar  por crear una sociedad que no rechace la discapacidad, que se adapte para que las personas con discapacidad  y quienes les cuidan no sean olvidados”.</t>
  </si>
  <si>
    <t>Autorizan a 26 municipios de Hidalgo contratar créditos tras afectaciones por la Vaguada Monzónica</t>
  </si>
  <si>
    <t>Huracán Priscilla</t>
  </si>
  <si>
    <t>La Casita DIFH celebra 32 años de apoyo a la niñez de La Raza</t>
  </si>
  <si>
    <t>Centros asistenciales</t>
  </si>
  <si>
    <t>Retiran más de mil toneladas de lirio acuático de la Presa Azul en Huasca</t>
  </si>
  <si>
    <t>Ciudad Deportiva de Alto Rendimiento abrirá sus puertas este sábado</t>
  </si>
  <si>
    <t>Centro de Alto Rendimiento</t>
  </si>
  <si>
    <t>Municipios en alerta por crecientes en ríos y presas</t>
  </si>
  <si>
    <t>Huejutla, Atlapexco y Orizatlán tendrán doble corredor artesanal</t>
  </si>
  <si>
    <t>Cedspi</t>
  </si>
  <si>
    <t>Corredor artesanal</t>
  </si>
  <si>
    <t>Realiza supervisión de unidades del transporte público</t>
  </si>
  <si>
    <t>Supervisión de Transporte</t>
  </si>
  <si>
    <t>Sader beneficia a 612 productore de sierra y Huasteca</t>
  </si>
  <si>
    <t>Hidalgo reduce 19.3% los homicidios durante 2026</t>
  </si>
  <si>
    <t>Pachuca abre agenda cultural</t>
  </si>
  <si>
    <t>Proponen aumentar penas por muertes viales</t>
  </si>
  <si>
    <t>Iniciativa</t>
  </si>
  <si>
    <t>Escándalo en Tizayuca: suspenden a dos policías bajo investigación por robo de vehículo</t>
  </si>
  <si>
    <t>Investigación por corrupción</t>
  </si>
  <si>
    <t>SEPH: 415 millones de pesos para infraestructura educativa</t>
  </si>
  <si>
    <t>Regidores actuaron con tintes políticos en altercado: Medécigo</t>
  </si>
  <si>
    <t>Amplían hasta el miércoles la jornada gratuita de esterilización y vacunación antirrábica en Pachuca</t>
  </si>
  <si>
    <t>Vacunación Antirrábica</t>
  </si>
  <si>
    <t>Entrega Saderh apoyos directos en la Huasteca y Siera Alta</t>
  </si>
  <si>
    <t>SSPH asegura a mujer por extorsión a comerciantes en Central de Abastos de Tezontepec de Aldama</t>
  </si>
  <si>
    <t>Combate a la extorsión</t>
  </si>
  <si>
    <t>La Casita DIFH cumple 32 años fortaleciendo a la niñez y a las familias de La Raza</t>
  </si>
  <si>
    <t>Mediante cateos, SSPH asegura a dos presuntos integrantes de banda dedicada al robo de motocicletas en Pachuca</t>
  </si>
  <si>
    <t>Combate a la delincuencia</t>
  </si>
  <si>
    <t>Un mensaje puede esperar, la vida no</t>
  </si>
  <si>
    <t>Prevención de accidentes</t>
  </si>
  <si>
    <t>Ellos importan, adopta</t>
  </si>
  <si>
    <t>Maltrato animal</t>
  </si>
  <si>
    <t>Navor Rojas buscará la presidencia de Pachuca</t>
  </si>
  <si>
    <t>Sucesión alcaldía</t>
  </si>
  <si>
    <t>Destaca Sheinbaum disminución de 46% en homicidios dolosos</t>
  </si>
  <si>
    <t>Alcaldesa de Singuilucan se deslinda de dichos de síndico</t>
  </si>
  <si>
    <t>Amenazas</t>
  </si>
  <si>
    <t>¡Messi, el goleador histórico en los mundiales!</t>
  </si>
  <si>
    <t>Sin duda, Navor Rojas sería un buen candidato y mejor alcalde de Pachuca por su conocimiento real de las necesidades de los pachuqueños. Empezó bien al renunciar primero al cargo federal</t>
  </si>
  <si>
    <t>Editorial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</si>
</sst>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1" totalsRowShown="0" headerRowDxfId="5" headerRowBorderDxfId="4">
  <autoFilter ref="A1:J61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1"/>
  <sheetViews>
    <sheetView tabSelected="1" workbookViewId="0">
      <selection activeCell="A2" sqref="A2:H61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35">
      <c r="A2" s="5">
        <v>46190</v>
      </c>
      <c r="B2" t="s">
        <v>68</v>
      </c>
      <c r="C2" s="6" t="s">
        <v>94</v>
      </c>
      <c r="D2" t="s">
        <v>12</v>
      </c>
      <c r="E2" t="s">
        <v>10</v>
      </c>
      <c r="F2" t="s">
        <v>10</v>
      </c>
      <c r="G2" t="s">
        <v>75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46190</v>
      </c>
      <c r="B3" t="s">
        <v>68</v>
      </c>
      <c r="C3" s="6" t="s">
        <v>95</v>
      </c>
      <c r="D3" t="s">
        <v>12</v>
      </c>
      <c r="E3" t="s">
        <v>14</v>
      </c>
      <c r="F3" t="s">
        <v>14</v>
      </c>
      <c r="G3" t="s">
        <v>96</v>
      </c>
      <c r="H3" t="s">
        <v>11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46190</v>
      </c>
      <c r="B4" t="s">
        <v>68</v>
      </c>
      <c r="C4" s="6" t="s">
        <v>97</v>
      </c>
      <c r="D4" t="s">
        <v>12</v>
      </c>
      <c r="E4" t="s">
        <v>14</v>
      </c>
      <c r="F4" t="s">
        <v>14</v>
      </c>
      <c r="G4" t="s">
        <v>98</v>
      </c>
      <c r="H4" t="s">
        <v>69</v>
      </c>
      <c r="I4" t="str">
        <f>_xlfn.XLOOKUP(Tabla1[[#This Row],[Dependencia]],Tabla2[Dependencia],Tabla2[Clasificación],"No indexado")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46190</v>
      </c>
      <c r="B5" t="s">
        <v>68</v>
      </c>
      <c r="C5" s="6" t="s">
        <v>99</v>
      </c>
      <c r="D5" t="s">
        <v>13</v>
      </c>
      <c r="E5" t="s">
        <v>14</v>
      </c>
      <c r="F5" t="s">
        <v>14</v>
      </c>
      <c r="G5" t="s">
        <v>100</v>
      </c>
      <c r="H5" t="s">
        <v>11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46190</v>
      </c>
      <c r="B6" t="s">
        <v>68</v>
      </c>
      <c r="C6" s="6" t="s">
        <v>101</v>
      </c>
      <c r="D6" t="s">
        <v>12</v>
      </c>
      <c r="E6" t="s">
        <v>16</v>
      </c>
      <c r="F6" t="s">
        <v>16</v>
      </c>
      <c r="G6" t="s">
        <v>102</v>
      </c>
      <c r="H6" t="s">
        <v>11</v>
      </c>
      <c r="I6" t="str">
        <f>_xlfn.XLOOKUP(Tabla1[[#This Row],[Dependencia]],Tabla2[Dependencia],Tabla2[Clasificación],"No indexado")</f>
        <v>Alcaldías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46190</v>
      </c>
      <c r="B7" t="s">
        <v>68</v>
      </c>
      <c r="C7" s="6" t="s">
        <v>103</v>
      </c>
      <c r="D7" t="s">
        <v>9</v>
      </c>
      <c r="E7" t="s">
        <v>14</v>
      </c>
      <c r="F7" t="s">
        <v>14</v>
      </c>
      <c r="G7" t="s">
        <v>104</v>
      </c>
      <c r="H7" t="s">
        <v>11</v>
      </c>
      <c r="I7" t="str">
        <f>_xlfn.XLOOKUP(Tabla1[[#This Row],[Dependencia]],Tabla2[Dependencia],Tabla2[Clasificación],"No indexado")</f>
        <v>Presidencia de la República</v>
      </c>
      <c r="J7" t="str">
        <f>_xlfn.XLOOKUP(Tabla1[[#This Row],[Dependencia]],Tabla3[Dependencia],Tabla3[Nivel],"otros",0)</f>
        <v>otros</v>
      </c>
    </row>
    <row r="8" spans="1:10" ht="29" x14ac:dyDescent="0.35">
      <c r="A8" s="5">
        <v>46190</v>
      </c>
      <c r="B8" t="s">
        <v>105</v>
      </c>
      <c r="C8" s="6" t="s">
        <v>106</v>
      </c>
      <c r="D8" t="s">
        <v>13</v>
      </c>
      <c r="E8" t="s">
        <v>34</v>
      </c>
      <c r="F8" t="s">
        <v>34</v>
      </c>
      <c r="G8" t="s">
        <v>107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x14ac:dyDescent="0.35">
      <c r="A9" s="5">
        <v>46190</v>
      </c>
      <c r="B9" t="s">
        <v>105</v>
      </c>
      <c r="C9" s="6" t="s">
        <v>108</v>
      </c>
      <c r="D9" t="s">
        <v>9</v>
      </c>
      <c r="E9" t="s">
        <v>59</v>
      </c>
      <c r="F9" t="s">
        <v>59</v>
      </c>
      <c r="G9" t="s">
        <v>109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46190</v>
      </c>
      <c r="B10" t="s">
        <v>105</v>
      </c>
      <c r="C10" s="6" t="s">
        <v>110</v>
      </c>
      <c r="D10" t="s">
        <v>12</v>
      </c>
      <c r="E10" t="s">
        <v>24</v>
      </c>
      <c r="F10" t="s">
        <v>24</v>
      </c>
      <c r="G10" t="s">
        <v>111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35">
      <c r="A11" s="5">
        <v>46190</v>
      </c>
      <c r="B11" t="s">
        <v>105</v>
      </c>
      <c r="C11" s="6" t="s">
        <v>112</v>
      </c>
      <c r="D11" t="s">
        <v>12</v>
      </c>
      <c r="E11" t="s">
        <v>14</v>
      </c>
      <c r="F11" t="s">
        <v>14</v>
      </c>
      <c r="G11" t="s">
        <v>104</v>
      </c>
      <c r="H11" t="s">
        <v>69</v>
      </c>
      <c r="I11" t="str">
        <f>_xlfn.XLOOKUP(Tabla1[[#This Row],[Dependencia]],Tabla2[Dependencia],Tabla2[Clasificación],"No indexado")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46190</v>
      </c>
      <c r="B12" t="s">
        <v>105</v>
      </c>
      <c r="C12" s="6" t="s">
        <v>113</v>
      </c>
      <c r="D12" t="s">
        <v>12</v>
      </c>
      <c r="E12" t="s">
        <v>10</v>
      </c>
      <c r="F12" t="s">
        <v>10</v>
      </c>
      <c r="G12" t="s">
        <v>75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46190</v>
      </c>
      <c r="B13" t="s">
        <v>105</v>
      </c>
      <c r="C13" s="6" t="s">
        <v>114</v>
      </c>
      <c r="D13" t="s">
        <v>12</v>
      </c>
      <c r="E13" t="s">
        <v>43</v>
      </c>
      <c r="F13" t="s">
        <v>43</v>
      </c>
      <c r="G13" t="s">
        <v>115</v>
      </c>
      <c r="H13" t="s">
        <v>11</v>
      </c>
      <c r="I13" t="str">
        <f>_xlfn.XLOOKUP(Tabla1[[#This Row],[Dependencia]],Tabla2[Dependencia],Tabla2[Clasificación],"No indexado")</f>
        <v>Partidos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46190</v>
      </c>
      <c r="B14" t="s">
        <v>79</v>
      </c>
      <c r="C14" s="6" t="s">
        <v>116</v>
      </c>
      <c r="D14" t="s">
        <v>12</v>
      </c>
      <c r="E14" t="s">
        <v>10</v>
      </c>
      <c r="F14" t="s">
        <v>10</v>
      </c>
      <c r="G14" t="s">
        <v>75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46190</v>
      </c>
      <c r="B15" t="s">
        <v>79</v>
      </c>
      <c r="C15" s="6" t="s">
        <v>117</v>
      </c>
      <c r="D15" t="s">
        <v>12</v>
      </c>
      <c r="E15" t="s">
        <v>10</v>
      </c>
      <c r="F15" t="s">
        <v>10</v>
      </c>
      <c r="G15" t="s">
        <v>75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46190</v>
      </c>
      <c r="B16" t="s">
        <v>79</v>
      </c>
      <c r="C16" s="6" t="s">
        <v>118</v>
      </c>
      <c r="D16" t="s">
        <v>13</v>
      </c>
      <c r="E16" t="s">
        <v>22</v>
      </c>
      <c r="F16" t="s">
        <v>22</v>
      </c>
      <c r="G16" t="s">
        <v>119</v>
      </c>
      <c r="H16" t="s">
        <v>70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46190</v>
      </c>
      <c r="B17" t="s">
        <v>79</v>
      </c>
      <c r="C17" s="6" t="s">
        <v>120</v>
      </c>
      <c r="D17" t="s">
        <v>12</v>
      </c>
      <c r="E17" t="s">
        <v>34</v>
      </c>
      <c r="F17" t="s">
        <v>34</v>
      </c>
      <c r="G17" t="s">
        <v>121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5">
        <v>46190</v>
      </c>
      <c r="B18" t="s">
        <v>79</v>
      </c>
      <c r="C18" s="6" t="s">
        <v>122</v>
      </c>
      <c r="D18" t="s">
        <v>9</v>
      </c>
      <c r="E18" t="s">
        <v>58</v>
      </c>
      <c r="F18" t="s">
        <v>58</v>
      </c>
      <c r="G18" t="s">
        <v>123</v>
      </c>
      <c r="H18" t="s">
        <v>70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29" x14ac:dyDescent="0.35">
      <c r="A19" s="5">
        <v>46190</v>
      </c>
      <c r="B19" t="s">
        <v>79</v>
      </c>
      <c r="C19" s="6" t="s">
        <v>124</v>
      </c>
      <c r="D19" t="s">
        <v>12</v>
      </c>
      <c r="E19" t="s">
        <v>33</v>
      </c>
      <c r="F19" t="s">
        <v>33</v>
      </c>
      <c r="G19" t="s">
        <v>125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ht="29" x14ac:dyDescent="0.35">
      <c r="A20" s="5">
        <v>46190</v>
      </c>
      <c r="B20" t="s">
        <v>79</v>
      </c>
      <c r="C20" s="6" t="s">
        <v>126</v>
      </c>
      <c r="D20" t="s">
        <v>12</v>
      </c>
      <c r="E20" t="s">
        <v>80</v>
      </c>
      <c r="F20" t="s">
        <v>80</v>
      </c>
      <c r="G20" t="s">
        <v>91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ht="29" x14ac:dyDescent="0.35">
      <c r="A21" s="5">
        <v>46190</v>
      </c>
      <c r="B21" t="s">
        <v>67</v>
      </c>
      <c r="C21" s="6" t="s">
        <v>127</v>
      </c>
      <c r="D21" t="s">
        <v>13</v>
      </c>
      <c r="E21" t="s">
        <v>33</v>
      </c>
      <c r="F21" t="s">
        <v>33</v>
      </c>
      <c r="G21" t="s">
        <v>121</v>
      </c>
      <c r="H21" t="s">
        <v>69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46190</v>
      </c>
      <c r="B22" t="s">
        <v>67</v>
      </c>
      <c r="C22" s="6" t="s">
        <v>128</v>
      </c>
      <c r="D22" t="s">
        <v>12</v>
      </c>
      <c r="E22" t="s">
        <v>47</v>
      </c>
      <c r="F22" t="s">
        <v>47</v>
      </c>
      <c r="G22" t="s">
        <v>91</v>
      </c>
      <c r="H22" t="s">
        <v>69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46190</v>
      </c>
      <c r="B23" t="s">
        <v>67</v>
      </c>
      <c r="C23" s="6" t="s">
        <v>129</v>
      </c>
      <c r="D23" t="s">
        <v>12</v>
      </c>
      <c r="E23" t="s">
        <v>39</v>
      </c>
      <c r="F23" t="s">
        <v>39</v>
      </c>
      <c r="G23" t="s">
        <v>130</v>
      </c>
      <c r="H23" t="s">
        <v>69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5">
        <v>46190</v>
      </c>
      <c r="B24" t="s">
        <v>67</v>
      </c>
      <c r="C24" s="6" t="s">
        <v>131</v>
      </c>
      <c r="D24" t="s">
        <v>12</v>
      </c>
      <c r="E24" t="s">
        <v>14</v>
      </c>
      <c r="F24" t="s">
        <v>14</v>
      </c>
      <c r="G24" t="s">
        <v>104</v>
      </c>
      <c r="H24" t="s">
        <v>69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46190</v>
      </c>
      <c r="B25" t="s">
        <v>67</v>
      </c>
      <c r="C25" s="6" t="s">
        <v>132</v>
      </c>
      <c r="D25" t="s">
        <v>9</v>
      </c>
      <c r="E25" t="s">
        <v>14</v>
      </c>
      <c r="F25" t="s">
        <v>87</v>
      </c>
      <c r="G25" t="s">
        <v>83</v>
      </c>
      <c r="H25" t="s">
        <v>69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46190</v>
      </c>
      <c r="B26" t="s">
        <v>67</v>
      </c>
      <c r="C26" s="6" t="s">
        <v>133</v>
      </c>
      <c r="D26" t="s">
        <v>12</v>
      </c>
      <c r="E26" t="s">
        <v>10</v>
      </c>
      <c r="F26" t="s">
        <v>10</v>
      </c>
      <c r="G26" t="s">
        <v>75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46190</v>
      </c>
      <c r="B27" t="s">
        <v>67</v>
      </c>
      <c r="C27" s="6" t="s">
        <v>134</v>
      </c>
      <c r="D27" t="s">
        <v>12</v>
      </c>
      <c r="E27" t="s">
        <v>10</v>
      </c>
      <c r="F27" t="s">
        <v>10</v>
      </c>
      <c r="G27" t="s">
        <v>83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46190</v>
      </c>
      <c r="B28" t="s">
        <v>67</v>
      </c>
      <c r="C28" s="6" t="s">
        <v>135</v>
      </c>
      <c r="D28" t="s">
        <v>12</v>
      </c>
      <c r="E28" t="s">
        <v>10</v>
      </c>
      <c r="F28" t="s">
        <v>10</v>
      </c>
      <c r="G28" t="s">
        <v>136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29" x14ac:dyDescent="0.35">
      <c r="A29" s="5">
        <v>46190</v>
      </c>
      <c r="B29" t="s">
        <v>67</v>
      </c>
      <c r="C29" s="6" t="s">
        <v>137</v>
      </c>
      <c r="D29" t="s">
        <v>12</v>
      </c>
      <c r="E29" t="s">
        <v>18</v>
      </c>
      <c r="F29" t="s">
        <v>18</v>
      </c>
      <c r="G29" t="s">
        <v>93</v>
      </c>
      <c r="H29" t="s">
        <v>11</v>
      </c>
      <c r="I29" t="str">
        <f>_xlfn.XLOOKUP(Tabla1[[#This Row],[Dependencia]],Tabla2[Dependencia],Tabla2[Clasificación],"No indexado")</f>
        <v>Partidos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46190</v>
      </c>
      <c r="B30" t="s">
        <v>67</v>
      </c>
      <c r="C30" s="6" t="s">
        <v>138</v>
      </c>
      <c r="D30" t="s">
        <v>12</v>
      </c>
      <c r="E30" t="s">
        <v>27</v>
      </c>
      <c r="F30" t="s">
        <v>139</v>
      </c>
      <c r="G30" t="s">
        <v>140</v>
      </c>
      <c r="H30" t="s">
        <v>69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35">
      <c r="A31" s="5">
        <v>46190</v>
      </c>
      <c r="B31" t="s">
        <v>73</v>
      </c>
      <c r="C31" s="6" t="s">
        <v>141</v>
      </c>
      <c r="D31" t="s">
        <v>12</v>
      </c>
      <c r="E31" t="s">
        <v>39</v>
      </c>
      <c r="F31" t="s">
        <v>142</v>
      </c>
      <c r="G31" t="s">
        <v>143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35">
      <c r="A32" s="5">
        <v>46190</v>
      </c>
      <c r="B32" t="s">
        <v>73</v>
      </c>
      <c r="C32" s="6" t="s">
        <v>144</v>
      </c>
      <c r="D32" t="s">
        <v>9</v>
      </c>
      <c r="E32" t="s">
        <v>22</v>
      </c>
      <c r="F32" t="s">
        <v>22</v>
      </c>
      <c r="G32" t="s">
        <v>82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29" x14ac:dyDescent="0.35">
      <c r="A33" s="5">
        <v>46190</v>
      </c>
      <c r="B33" t="s">
        <v>73</v>
      </c>
      <c r="C33" s="6" t="s">
        <v>145</v>
      </c>
      <c r="D33" t="s">
        <v>13</v>
      </c>
      <c r="E33" t="s">
        <v>146</v>
      </c>
      <c r="F33" t="s">
        <v>15</v>
      </c>
      <c r="G33" t="s">
        <v>98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35">
      <c r="A34" s="5">
        <v>46190</v>
      </c>
      <c r="B34" t="s">
        <v>73</v>
      </c>
      <c r="C34" s="6" t="s">
        <v>147</v>
      </c>
      <c r="D34" t="s">
        <v>12</v>
      </c>
      <c r="E34" t="s">
        <v>14</v>
      </c>
      <c r="F34" t="s">
        <v>14</v>
      </c>
      <c r="G34" t="s">
        <v>148</v>
      </c>
      <c r="H34" t="s">
        <v>11</v>
      </c>
      <c r="I34" t="str">
        <f>_xlfn.XLOOKUP(Tabla1[[#This Row],[Dependencia]],Tabla2[Dependencia],Tabla2[Clasificación],"No indexado")</f>
        <v>Presidencia de la República</v>
      </c>
      <c r="J34" t="str">
        <f>_xlfn.XLOOKUP(Tabla1[[#This Row],[Dependencia]],Tabla3[Dependencia],Tabla3[Nivel],"otros",0)</f>
        <v>otros</v>
      </c>
    </row>
    <row r="35" spans="1:10" ht="72.5" x14ac:dyDescent="0.35">
      <c r="A35" s="5">
        <v>46190</v>
      </c>
      <c r="B35" t="s">
        <v>73</v>
      </c>
      <c r="C35" s="6" t="s">
        <v>149</v>
      </c>
      <c r="D35" t="s">
        <v>12</v>
      </c>
      <c r="E35" t="s">
        <v>10</v>
      </c>
      <c r="F35" t="s">
        <v>10</v>
      </c>
      <c r="G35" t="s">
        <v>96</v>
      </c>
      <c r="H35" t="s">
        <v>11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ht="29" x14ac:dyDescent="0.35">
      <c r="A36" s="5">
        <v>46190</v>
      </c>
      <c r="B36" t="s">
        <v>72</v>
      </c>
      <c r="C36" s="6" t="s">
        <v>150</v>
      </c>
      <c r="D36" t="s">
        <v>13</v>
      </c>
      <c r="E36" t="s">
        <v>33</v>
      </c>
      <c r="F36" t="s">
        <v>33</v>
      </c>
      <c r="G36" t="s">
        <v>151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x14ac:dyDescent="0.35">
      <c r="A37" s="5">
        <v>46190</v>
      </c>
      <c r="B37" t="s">
        <v>72</v>
      </c>
      <c r="C37" s="6" t="s">
        <v>152</v>
      </c>
      <c r="D37" t="s">
        <v>12</v>
      </c>
      <c r="E37" t="s">
        <v>36</v>
      </c>
      <c r="F37" t="s">
        <v>2</v>
      </c>
      <c r="G37" t="s">
        <v>153</v>
      </c>
      <c r="H37" t="s">
        <v>69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5">
        <v>46190</v>
      </c>
      <c r="B38" t="s">
        <v>72</v>
      </c>
      <c r="C38" s="6" t="s">
        <v>154</v>
      </c>
      <c r="D38" t="s">
        <v>12</v>
      </c>
      <c r="E38" t="s">
        <v>20</v>
      </c>
      <c r="F38" t="s">
        <v>20</v>
      </c>
      <c r="G38" t="s">
        <v>89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5">
        <v>46190</v>
      </c>
      <c r="B39" t="s">
        <v>72</v>
      </c>
      <c r="C39" s="6" t="s">
        <v>155</v>
      </c>
      <c r="D39" t="s">
        <v>12</v>
      </c>
      <c r="E39" t="s">
        <v>24</v>
      </c>
      <c r="F39" t="s">
        <v>24</v>
      </c>
      <c r="G39" t="s">
        <v>156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Gobernador</v>
      </c>
    </row>
    <row r="40" spans="1:10" x14ac:dyDescent="0.35">
      <c r="A40" s="5">
        <v>46190</v>
      </c>
      <c r="B40" t="s">
        <v>71</v>
      </c>
      <c r="C40" s="6" t="s">
        <v>157</v>
      </c>
      <c r="D40" t="s">
        <v>13</v>
      </c>
      <c r="E40" t="s">
        <v>16</v>
      </c>
      <c r="F40" t="s">
        <v>16</v>
      </c>
      <c r="G40" t="s">
        <v>92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ht="29" x14ac:dyDescent="0.35">
      <c r="A41" s="5">
        <v>46190</v>
      </c>
      <c r="B41" t="s">
        <v>71</v>
      </c>
      <c r="C41" s="6" t="s">
        <v>158</v>
      </c>
      <c r="D41" t="s">
        <v>12</v>
      </c>
      <c r="E41" t="s">
        <v>47</v>
      </c>
      <c r="F41" t="s">
        <v>159</v>
      </c>
      <c r="G41" t="s">
        <v>160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35">
      <c r="A42" s="5">
        <v>46190</v>
      </c>
      <c r="B42" t="s">
        <v>71</v>
      </c>
      <c r="C42" s="6" t="s">
        <v>161</v>
      </c>
      <c r="D42" t="s">
        <v>12</v>
      </c>
      <c r="E42" t="s">
        <v>27</v>
      </c>
      <c r="F42" t="s">
        <v>27</v>
      </c>
      <c r="G42" t="s">
        <v>162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35">
      <c r="A43" s="5">
        <v>46190</v>
      </c>
      <c r="B43" t="s">
        <v>71</v>
      </c>
      <c r="C43" s="6" t="s">
        <v>163</v>
      </c>
      <c r="D43" t="s">
        <v>12</v>
      </c>
      <c r="E43" t="s">
        <v>53</v>
      </c>
      <c r="F43" t="s">
        <v>53</v>
      </c>
      <c r="G43" t="s">
        <v>85</v>
      </c>
      <c r="H43" t="s">
        <v>69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35">
      <c r="A44" s="5">
        <v>46190</v>
      </c>
      <c r="B44" t="s">
        <v>76</v>
      </c>
      <c r="C44" s="6" t="s">
        <v>164</v>
      </c>
      <c r="D44" t="s">
        <v>13</v>
      </c>
      <c r="E44" t="s">
        <v>14</v>
      </c>
      <c r="F44" t="s">
        <v>14</v>
      </c>
      <c r="G44" t="s">
        <v>104</v>
      </c>
      <c r="H44" t="s">
        <v>69</v>
      </c>
      <c r="I44" t="str">
        <f>_xlfn.XLOOKUP(Tabla1[[#This Row],[Dependencia]],Tabla2[Dependencia],Tabla2[Clasificación],"No indexado")</f>
        <v>Presidencia de la República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46190</v>
      </c>
      <c r="B45" t="s">
        <v>76</v>
      </c>
      <c r="C45" s="6" t="s">
        <v>165</v>
      </c>
      <c r="D45" t="s">
        <v>12</v>
      </c>
      <c r="E45" t="s">
        <v>16</v>
      </c>
      <c r="F45" t="s">
        <v>16</v>
      </c>
      <c r="G45" t="s">
        <v>102</v>
      </c>
      <c r="H45" t="s">
        <v>11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x14ac:dyDescent="0.35">
      <c r="A46" s="5">
        <v>46190</v>
      </c>
      <c r="B46" t="s">
        <v>76</v>
      </c>
      <c r="C46" s="6" t="s">
        <v>166</v>
      </c>
      <c r="D46" t="s">
        <v>12</v>
      </c>
      <c r="E46" t="s">
        <v>33</v>
      </c>
      <c r="F46" t="s">
        <v>33</v>
      </c>
      <c r="G46" t="s">
        <v>167</v>
      </c>
      <c r="H46" t="s">
        <v>11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ht="29" x14ac:dyDescent="0.35">
      <c r="A47" s="5">
        <v>46190</v>
      </c>
      <c r="B47" t="s">
        <v>76</v>
      </c>
      <c r="C47" s="6" t="s">
        <v>168</v>
      </c>
      <c r="D47" t="s">
        <v>12</v>
      </c>
      <c r="E47" t="s">
        <v>16</v>
      </c>
      <c r="F47" t="s">
        <v>84</v>
      </c>
      <c r="G47" t="s">
        <v>169</v>
      </c>
      <c r="H47" t="s">
        <v>70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x14ac:dyDescent="0.35">
      <c r="A48" s="5">
        <v>46190</v>
      </c>
      <c r="B48" t="s">
        <v>76</v>
      </c>
      <c r="C48" s="6" t="s">
        <v>170</v>
      </c>
      <c r="D48" t="s">
        <v>12</v>
      </c>
      <c r="E48" t="s">
        <v>26</v>
      </c>
      <c r="F48" t="s">
        <v>26</v>
      </c>
      <c r="G48" t="s">
        <v>90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29" x14ac:dyDescent="0.35">
      <c r="A49" s="5">
        <v>46190</v>
      </c>
      <c r="B49" t="s">
        <v>76</v>
      </c>
      <c r="C49" s="6" t="s">
        <v>171</v>
      </c>
      <c r="D49" t="s">
        <v>12</v>
      </c>
      <c r="E49" t="s">
        <v>16</v>
      </c>
      <c r="F49" t="s">
        <v>77</v>
      </c>
      <c r="G49" t="s">
        <v>88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29" x14ac:dyDescent="0.35">
      <c r="A50" s="5">
        <v>46190</v>
      </c>
      <c r="B50" t="s">
        <v>86</v>
      </c>
      <c r="C50" s="6" t="s">
        <v>172</v>
      </c>
      <c r="D50" t="s">
        <v>13</v>
      </c>
      <c r="E50" t="s">
        <v>16</v>
      </c>
      <c r="F50" t="s">
        <v>16</v>
      </c>
      <c r="G50" t="s">
        <v>173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x14ac:dyDescent="0.35">
      <c r="A51" s="5">
        <v>46190</v>
      </c>
      <c r="B51" t="s">
        <v>86</v>
      </c>
      <c r="C51" s="6" t="s">
        <v>174</v>
      </c>
      <c r="D51" t="s">
        <v>12</v>
      </c>
      <c r="E51" t="s">
        <v>53</v>
      </c>
      <c r="F51" t="s">
        <v>53</v>
      </c>
      <c r="G51" t="s">
        <v>85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ht="29" x14ac:dyDescent="0.35">
      <c r="A52" s="5">
        <v>46190</v>
      </c>
      <c r="B52" t="s">
        <v>86</v>
      </c>
      <c r="C52" s="6" t="s">
        <v>175</v>
      </c>
      <c r="D52" t="s">
        <v>12</v>
      </c>
      <c r="E52" t="s">
        <v>22</v>
      </c>
      <c r="F52" t="s">
        <v>22</v>
      </c>
      <c r="G52" t="s">
        <v>176</v>
      </c>
      <c r="H52" t="s">
        <v>69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ht="29" x14ac:dyDescent="0.35">
      <c r="A53" s="5">
        <v>46190</v>
      </c>
      <c r="B53" t="s">
        <v>86</v>
      </c>
      <c r="C53" s="6" t="s">
        <v>177</v>
      </c>
      <c r="D53" t="s">
        <v>12</v>
      </c>
      <c r="E53" t="s">
        <v>36</v>
      </c>
      <c r="F53" t="s">
        <v>36</v>
      </c>
      <c r="G53" t="s">
        <v>153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ht="29" x14ac:dyDescent="0.35">
      <c r="A54" s="5">
        <v>46190</v>
      </c>
      <c r="B54" t="s">
        <v>86</v>
      </c>
      <c r="C54" s="6" t="s">
        <v>178</v>
      </c>
      <c r="D54" t="s">
        <v>12</v>
      </c>
      <c r="E54" t="s">
        <v>22</v>
      </c>
      <c r="F54" t="s">
        <v>22</v>
      </c>
      <c r="G54" t="s">
        <v>179</v>
      </c>
      <c r="H54" t="s">
        <v>69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35">
      <c r="A55" s="5">
        <v>46190</v>
      </c>
      <c r="B55" t="s">
        <v>86</v>
      </c>
      <c r="C55" s="6" t="s">
        <v>180</v>
      </c>
      <c r="D55" t="s">
        <v>81</v>
      </c>
      <c r="E55" t="s">
        <v>22</v>
      </c>
      <c r="F55" t="s">
        <v>22</v>
      </c>
      <c r="G55" t="s">
        <v>181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5">
        <v>46190</v>
      </c>
      <c r="B56" t="s">
        <v>86</v>
      </c>
      <c r="C56" s="6" t="s">
        <v>182</v>
      </c>
      <c r="D56" t="s">
        <v>81</v>
      </c>
      <c r="E56" t="s">
        <v>16</v>
      </c>
      <c r="F56" t="s">
        <v>16</v>
      </c>
      <c r="G56" t="s">
        <v>183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x14ac:dyDescent="0.35">
      <c r="A57" s="5">
        <v>46190</v>
      </c>
      <c r="B57" t="s">
        <v>78</v>
      </c>
      <c r="C57" s="6" t="s">
        <v>184</v>
      </c>
      <c r="D57" t="s">
        <v>13</v>
      </c>
      <c r="E57" t="s">
        <v>14</v>
      </c>
      <c r="F57" t="s">
        <v>14</v>
      </c>
      <c r="G57" t="s">
        <v>185</v>
      </c>
      <c r="H57" t="s">
        <v>11</v>
      </c>
      <c r="I57" t="str">
        <f>_xlfn.XLOOKUP(Tabla1[[#This Row],[Dependencia]],Tabla2[Dependencia],Tabla2[Clasificación],"No indexado")</f>
        <v>Presidencia de la República</v>
      </c>
      <c r="J57" t="str">
        <f>_xlfn.XLOOKUP(Tabla1[[#This Row],[Dependencia]],Tabla3[Dependencia],Tabla3[Nivel],"otros",0)</f>
        <v>otros</v>
      </c>
    </row>
    <row r="58" spans="1:10" ht="29" x14ac:dyDescent="0.35">
      <c r="A58" s="5">
        <v>46190</v>
      </c>
      <c r="B58" t="s">
        <v>78</v>
      </c>
      <c r="C58" s="6" t="s">
        <v>186</v>
      </c>
      <c r="D58" t="s">
        <v>12</v>
      </c>
      <c r="E58" t="s">
        <v>14</v>
      </c>
      <c r="F58" t="s">
        <v>14</v>
      </c>
      <c r="G58" t="s">
        <v>104</v>
      </c>
      <c r="H58" t="s">
        <v>11</v>
      </c>
      <c r="I58" t="str">
        <f>_xlfn.XLOOKUP(Tabla1[[#This Row],[Dependencia]],Tabla2[Dependencia],Tabla2[Clasificación],"No indexado")</f>
        <v>Presidencia de la República</v>
      </c>
      <c r="J58" t="str">
        <f>_xlfn.XLOOKUP(Tabla1[[#This Row],[Dependencia]],Tabla3[Dependencia],Tabla3[Nivel],"otros",0)</f>
        <v>otros</v>
      </c>
    </row>
    <row r="59" spans="1:10" x14ac:dyDescent="0.35">
      <c r="A59" s="5">
        <v>46190</v>
      </c>
      <c r="B59" t="s">
        <v>78</v>
      </c>
      <c r="C59" s="6" t="s">
        <v>187</v>
      </c>
      <c r="D59" t="s">
        <v>12</v>
      </c>
      <c r="E59" t="s">
        <v>16</v>
      </c>
      <c r="F59" t="s">
        <v>77</v>
      </c>
      <c r="G59" t="s">
        <v>188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x14ac:dyDescent="0.35">
      <c r="A60" s="5">
        <v>46190</v>
      </c>
      <c r="B60" t="s">
        <v>78</v>
      </c>
      <c r="C60" s="6" t="s">
        <v>189</v>
      </c>
      <c r="D60" t="s">
        <v>12</v>
      </c>
      <c r="E60" t="s">
        <v>10</v>
      </c>
      <c r="F60" t="s">
        <v>10</v>
      </c>
      <c r="G60" t="s">
        <v>75</v>
      </c>
      <c r="H60" t="s">
        <v>11</v>
      </c>
      <c r="I60" t="str">
        <f>_xlfn.XLOOKUP(Tabla1[[#This Row],[Dependencia]],Tabla2[Dependencia],Tabla2[Clasificación],"No indexado")</f>
        <v>Otros</v>
      </c>
      <c r="J60" t="str">
        <f>_xlfn.XLOOKUP(Tabla1[[#This Row],[Dependencia]],Tabla3[Dependencia],Tabla3[Nivel],"otros",0)</f>
        <v>otros</v>
      </c>
    </row>
    <row r="61" spans="1:10" ht="58" x14ac:dyDescent="0.35">
      <c r="A61" s="5">
        <v>46190</v>
      </c>
      <c r="B61" t="s">
        <v>78</v>
      </c>
      <c r="C61" s="6" t="s">
        <v>190</v>
      </c>
      <c r="D61" t="s">
        <v>191</v>
      </c>
      <c r="E61" t="s">
        <v>14</v>
      </c>
      <c r="F61" t="s">
        <v>14</v>
      </c>
      <c r="G61" t="s">
        <v>185</v>
      </c>
      <c r="H61" t="s">
        <v>69</v>
      </c>
      <c r="I61" t="str">
        <f>_xlfn.XLOOKUP(Tabla1[[#This Row],[Dependencia]],Tabla2[Dependencia],Tabla2[Clasificación],"No indexado")</f>
        <v>Presidencia de la República</v>
      </c>
      <c r="J61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65</v>
      </c>
    </row>
    <row r="2" spans="1:5" x14ac:dyDescent="0.35">
      <c r="A2" t="s">
        <v>61</v>
      </c>
      <c r="B2" t="s">
        <v>62</v>
      </c>
      <c r="D2" s="10" t="s">
        <v>19</v>
      </c>
      <c r="E2" t="s">
        <v>66</v>
      </c>
    </row>
    <row r="3" spans="1:5" x14ac:dyDescent="0.35">
      <c r="A3" t="s">
        <v>16</v>
      </c>
      <c r="B3" t="s">
        <v>31</v>
      </c>
      <c r="D3" s="9" t="s">
        <v>74</v>
      </c>
      <c r="E3" t="s">
        <v>66</v>
      </c>
    </row>
    <row r="4" spans="1:5" x14ac:dyDescent="0.35">
      <c r="A4" t="s">
        <v>19</v>
      </c>
      <c r="B4" t="s">
        <v>32</v>
      </c>
      <c r="D4" s="9" t="s">
        <v>34</v>
      </c>
      <c r="E4" t="s">
        <v>66</v>
      </c>
    </row>
    <row r="5" spans="1:5" x14ac:dyDescent="0.35">
      <c r="A5" t="s">
        <v>60</v>
      </c>
      <c r="B5" t="s">
        <v>10</v>
      </c>
      <c r="D5" s="10" t="s">
        <v>28</v>
      </c>
      <c r="E5" t="s">
        <v>66</v>
      </c>
    </row>
    <row r="6" spans="1:5" x14ac:dyDescent="0.35">
      <c r="A6" t="s">
        <v>74</v>
      </c>
      <c r="B6" t="s">
        <v>32</v>
      </c>
      <c r="D6" s="10" t="s">
        <v>35</v>
      </c>
      <c r="E6" t="s">
        <v>66</v>
      </c>
    </row>
    <row r="7" spans="1:5" x14ac:dyDescent="0.35">
      <c r="A7" t="s">
        <v>33</v>
      </c>
      <c r="B7" t="s">
        <v>10</v>
      </c>
      <c r="D7" s="9" t="s">
        <v>36</v>
      </c>
      <c r="E7" t="s">
        <v>66</v>
      </c>
    </row>
    <row r="8" spans="1:5" x14ac:dyDescent="0.35">
      <c r="A8" t="s">
        <v>34</v>
      </c>
      <c r="B8" t="s">
        <v>32</v>
      </c>
      <c r="D8" s="9" t="s">
        <v>36</v>
      </c>
      <c r="E8" t="s">
        <v>66</v>
      </c>
    </row>
    <row r="9" spans="1:5" x14ac:dyDescent="0.35">
      <c r="A9" t="s">
        <v>28</v>
      </c>
      <c r="B9" t="s">
        <v>32</v>
      </c>
      <c r="D9" s="9" t="s">
        <v>37</v>
      </c>
      <c r="E9" t="s">
        <v>66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2026-06-17T20:42:26Z</dcterms:modified>
</cp:coreProperties>
</file>