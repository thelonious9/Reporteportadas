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DE97E81E-70E5-40D3-8C71-8AD3C094B190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" i="1" l="1"/>
  <c r="I61" i="1"/>
  <c r="I62" i="1"/>
  <c r="J60" i="1"/>
  <c r="J61" i="1"/>
  <c r="J62" i="1"/>
  <c r="I59" i="1"/>
  <c r="J5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I2" i="1"/>
  <c r="J2" i="1"/>
</calcChain>
</file>

<file path=xl/sharedStrings.xml><?xml version="1.0" encoding="utf-8"?>
<sst xmlns="http://schemas.openxmlformats.org/spreadsheetml/2006/main" count="587" uniqueCount="194">
  <si>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</si>
  <si>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</si>
  <si>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</si>
  <si>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</si>
  <si>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</si>
  <si>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</si>
  <si>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</si>
  <si>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</si>
  <si>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</si>
  <si>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</si>
  <si>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</si>
  <si>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</si>
  <si>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</si>
  <si>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</si>
  <si>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</si>
  <si>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</si>
  <si>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</si>
  <si>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</si>
  <si>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</si>
  <si>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</si>
  <si>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</si>
  <si>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</si>
  <si>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</si>
  <si>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</si>
  <si>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</si>
  <si>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</si>
  <si>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</si>
  <si>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</si>
  <si>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</si>
  <si>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</si>
  <si>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</si>
  <si>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</si>
  <si>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</si>
  <si>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</si>
  <si>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</si>
  <si>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</si>
  <si>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</si>
  <si>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</si>
  <si>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</si>
  <si>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</si>
  <si>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</si>
  <si>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</si>
  <si>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</si>
  <si>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</si>
  <si>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</si>
  <si>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</si>
  <si>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</si>
  <si>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</si>
  <si>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</si>
  <si>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</si>
  <si>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</si>
  <si>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</si>
  <si>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</si>
  <si>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</si>
  <si>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</si>
  <si>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</si>
  <si>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</si>
  <si>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</si>
  <si>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</si>
  <si>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</si>
  <si>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</si>
  <si>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</si>
  <si>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</si>
  <si>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</si>
  <si>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</si>
  <si>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</si>
  <si>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</si>
  <si>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</si>
  <si>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</si>
  <si>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</si>
  <si>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</si>
  <si>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</si>
  <si>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</si>
  <si>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</si>
  <si>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</si>
  <si>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</si>
  <si>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</si>
  <si>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Criterio</t>
  </si>
  <si>
    <t>Publicidad</t>
  </si>
  <si>
    <t>El Universal Hidalgo</t>
  </si>
  <si>
    <t>Sipdus</t>
  </si>
  <si>
    <t>Marfeca</t>
  </si>
  <si>
    <t>Sitmah</t>
  </si>
  <si>
    <t>Carril confinado</t>
  </si>
  <si>
    <t>Tabulador salarial</t>
  </si>
  <si>
    <t>Modernización Tuzobús</t>
  </si>
  <si>
    <t>Vigilancia del gasto público</t>
  </si>
  <si>
    <t>Reubicación de viviendas</t>
  </si>
  <si>
    <t>Atropellamiento</t>
  </si>
  <si>
    <t>Cintillo</t>
  </si>
  <si>
    <t>Alcalde</t>
  </si>
  <si>
    <t>Entrega De Apoyos</t>
  </si>
  <si>
    <t>Balnearios, con poca afluencia durante el mundial</t>
  </si>
  <si>
    <t>Afluencia Turística</t>
  </si>
  <si>
    <t>Firman minuta para atender demandas</t>
  </si>
  <si>
    <t>Cierre Carretero</t>
  </si>
  <si>
    <t>México hace historia en fase de grupos</t>
  </si>
  <si>
    <t>Proyectan historia con imágenes</t>
  </si>
  <si>
    <t>Video Mapping</t>
  </si>
  <si>
    <t>Por cuotas, van menos urvans a Pachuquilla</t>
  </si>
  <si>
    <t>STCH</t>
  </si>
  <si>
    <t>Quejas transporte público</t>
  </si>
  <si>
    <t>¡Tres de tres!</t>
  </si>
  <si>
    <t>¡Pachuca festeja a lo grande!</t>
  </si>
  <si>
    <t>Suben 42% delitos de servidores públicos</t>
  </si>
  <si>
    <t>Delitos servidores públicos</t>
  </si>
  <si>
    <t>Promueve PAN política de género... con curso de maquillaje</t>
  </si>
  <si>
    <t>Perspectiva de género</t>
  </si>
  <si>
    <t>Pese a pacto con la Segob, transportistas colapsan vías</t>
  </si>
  <si>
    <t>Gobernación</t>
  </si>
  <si>
    <t>Polemizan partidos por sueldazos en el INE Hidalgo</t>
  </si>
  <si>
    <t>Unidades para mujeres en el Tuzobús ya no funcionarán</t>
  </si>
  <si>
    <t>DE HASTA $60 MIL, RENTAS DE LOCAL PARA COMIDA EN EL BEN GURIÓN</t>
  </si>
  <si>
    <t>Ben Gurión</t>
  </si>
  <si>
    <t>Aumentan 400% casos de tortura</t>
  </si>
  <si>
    <t>Tortura</t>
  </si>
  <si>
    <t>Firma Tricolor fase perfecta</t>
  </si>
  <si>
    <t>¿Y si sí?</t>
  </si>
  <si>
    <t>Brasil acelera rumbo al título</t>
  </si>
  <si>
    <t>Llaman la atención a diputados por faltar</t>
  </si>
  <si>
    <t>Inasistencia</t>
  </si>
  <si>
    <t>Paso perfecto</t>
  </si>
  <si>
    <t>Con observaciones, una de cada tres obras: ASEH</t>
  </si>
  <si>
    <t>¡Santos justicieros!</t>
  </si>
  <si>
    <t>Justicia Por Propia Mano</t>
  </si>
  <si>
    <t>Habrá menos recursos para quienes no se reubiquen</t>
  </si>
  <si>
    <t>Sedatu</t>
  </si>
  <si>
    <t>Terremotos siembran muerte en Venezuela</t>
  </si>
  <si>
    <t>Sismo</t>
  </si>
  <si>
    <t>Baja robo al autotransporte 61% en relación con 2018</t>
  </si>
  <si>
    <t>Inseguridad Carretera</t>
  </si>
  <si>
    <t>Cae hasta 78% el delito de feminicidio</t>
  </si>
  <si>
    <t>Feminicidio</t>
  </si>
  <si>
    <t>Noche de gloria tricolor contagia a Pachuca</t>
  </si>
  <si>
    <t>Nuevo testimonio refuerza posible desfalco en Tulancingo</t>
  </si>
  <si>
    <t>Desvío de recursos</t>
  </si>
  <si>
    <t>Exigen al Congreso detener el nuevo basurero de Tula</t>
  </si>
  <si>
    <t>Relleno Sanitario</t>
  </si>
  <si>
    <t>Enfrentamiento en Uruapan deja 6 muertos</t>
  </si>
  <si>
    <t>Enfrentamiento armado</t>
  </si>
  <si>
    <t>Navor Rojas va por su tercer intento para ser candidato a presidente municipal de Pachuca. Por tercera  ocasión levanta la mano, renuncia al cargo y con ello lanza el reto a quienes aspiran a ser postulados  por Morena a disputar con piso parejo la postulación”.</t>
  </si>
  <si>
    <t>Sucesión alcaldía</t>
  </si>
  <si>
    <t>¡México con el alma!</t>
  </si>
  <si>
    <t>Vuelca ambulancia en la carretera Pachuca-Real del Monte</t>
  </si>
  <si>
    <t>Accidente Carretero</t>
  </si>
  <si>
    <t>Proponen instalar videovigilancia y  botones de pánico en el transporte público</t>
  </si>
  <si>
    <t>Videovigilancia</t>
  </si>
  <si>
    <t>UPP y Hacienda unen esfuerzos para fortalecer cultura fiscal</t>
  </si>
  <si>
    <t>Firma De Convenio</t>
  </si>
  <si>
    <t>Cierran empresa para exigir pago de gastos de niños atropellados</t>
  </si>
  <si>
    <t>Huejutlenses vivieron el partido de la Selección en plena plaza</t>
  </si>
  <si>
    <t>Participa titular de SEPH Natividad Castrejón en un convenio para fortalecer cultura fiscal</t>
  </si>
  <si>
    <t>Limpieza de tanques mejora la distribución de agua en Huejutla</t>
  </si>
  <si>
    <t>Abasto De Agua</t>
  </si>
  <si>
    <t>PC llama a tomar medidas de seguridad con uso de pinturas en lugares cerrados</t>
  </si>
  <si>
    <t>Prevención de accidentes</t>
  </si>
  <si>
    <t>El emblemático Salón de la Fama es escenario del videomapping</t>
  </si>
  <si>
    <t>Mosquitos de la presa Endhó se extienden hasta Ixmiquilpan</t>
  </si>
  <si>
    <t>Conagua</t>
  </si>
  <si>
    <t>Mosco Culex</t>
  </si>
  <si>
    <t>Hospital General de Tulancingo estrena tomógrafo y quirófano</t>
  </si>
  <si>
    <t>IMSS</t>
  </si>
  <si>
    <t>Equipamiento médico</t>
  </si>
  <si>
    <t>Proponen cámaras y botones de pánico obligatorios e combis y taxis de Hidalgo</t>
  </si>
  <si>
    <t>Les vamos a cerrar el agua""</t>
  </si>
  <si>
    <t>Pachuca supera las 7 mil atenciones veterinarias</t>
  </si>
  <si>
    <t>Bienestar Animal</t>
  </si>
  <si>
    <t>Hidalgo: no al intervencionismo</t>
  </si>
  <si>
    <t>Intervención extranjera</t>
  </si>
  <si>
    <t>México vence 3-0 a Chequia con gol de Chávez, Quiñones y Fidalgo</t>
  </si>
  <si>
    <t>Gobierno de Hidalgo fortalece acompañamiento a familias de Chapula para garantizar su seguridad</t>
  </si>
  <si>
    <t>Claudia Sandoval reconoce a paramédicos de Atitalaquia</t>
  </si>
  <si>
    <t>Reconocimiento</t>
  </si>
  <si>
    <t>Entregan 750 apoyos alimentarios en Quma</t>
  </si>
  <si>
    <t>Tezontepec de Aldama fortalece su capacidad de respuesta ante emergencias</t>
  </si>
  <si>
    <t>Capacitación</t>
  </si>
  <si>
    <t>Alerta Protección Civil por lluvias fuertes en varias regiones de Hidalgo</t>
  </si>
  <si>
    <t>PC</t>
  </si>
  <si>
    <t>Alerta Meteorológica</t>
  </si>
  <si>
    <t>Terremoto de 7.1 y 7.5 sacuden Venezuela</t>
  </si>
  <si>
    <t>En una semana comenzarán multas por invadir carril exclusivo del Tuzobús</t>
  </si>
  <si>
    <t>El Salón de la Fama es escenario del videomapping</t>
  </si>
  <si>
    <t>Hidalgo acumula más de 15 mil tomas clandestinas de agua clausuradas y 200 denuncias penales</t>
  </si>
  <si>
    <t>Robo De Agua</t>
  </si>
  <si>
    <t>Mini Kermés</t>
  </si>
  <si>
    <t>Evento benéfico</t>
  </si>
  <si>
    <t>Plaza Juárez</t>
  </si>
  <si>
    <t>Lluvias causan afectaciones en Hidalgo</t>
  </si>
  <si>
    <t>Afectaciones Por Lluvias</t>
  </si>
  <si>
    <t>Gobierno asegura que transportistas no realizarán bloqueos</t>
  </si>
  <si>
    <t>Seguridad Ciudadana</t>
  </si>
  <si>
    <t>Bloqueo Carretero</t>
  </si>
  <si>
    <t>Fatal choque por alcance en Apan; falleció un motociclista</t>
  </si>
  <si>
    <t>México goleó a Chequia y mantuvo el paso perfecto en casa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</si>
</sst>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5" headerRowBorderDxfId="4">
  <autoFilter ref="A1:J62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topLeftCell="A62" workbookViewId="0">
      <selection activeCell="A62" sqref="A6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46198</v>
      </c>
      <c r="B2" t="s">
        <v>68</v>
      </c>
      <c r="C2" s="6" t="s">
        <v>92</v>
      </c>
      <c r="D2" t="s">
        <v>12</v>
      </c>
      <c r="E2" t="s">
        <v>10</v>
      </c>
      <c r="F2" t="s">
        <v>10</v>
      </c>
      <c r="G2" t="s">
        <v>93</v>
      </c>
      <c r="H2" t="s">
        <v>70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46198</v>
      </c>
      <c r="B3" t="s">
        <v>68</v>
      </c>
      <c r="C3" s="6" t="s">
        <v>94</v>
      </c>
      <c r="D3" t="s">
        <v>12</v>
      </c>
      <c r="E3" t="s">
        <v>14</v>
      </c>
      <c r="F3" t="s">
        <v>14</v>
      </c>
      <c r="G3" t="s">
        <v>95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46198</v>
      </c>
      <c r="B4" t="s">
        <v>68</v>
      </c>
      <c r="C4" s="6" t="s">
        <v>96</v>
      </c>
      <c r="D4" t="s">
        <v>9</v>
      </c>
      <c r="E4" t="s">
        <v>10</v>
      </c>
      <c r="F4" t="s">
        <v>10</v>
      </c>
      <c r="G4" t="s">
        <v>75</v>
      </c>
      <c r="H4" t="s">
        <v>69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46198</v>
      </c>
      <c r="B5" t="s">
        <v>68</v>
      </c>
      <c r="C5" s="6" t="s">
        <v>97</v>
      </c>
      <c r="D5" t="s">
        <v>12</v>
      </c>
      <c r="E5" t="s">
        <v>29</v>
      </c>
      <c r="F5" t="s">
        <v>29</v>
      </c>
      <c r="G5" t="s">
        <v>98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46198</v>
      </c>
      <c r="B6" t="s">
        <v>68</v>
      </c>
      <c r="C6" s="6" t="s">
        <v>99</v>
      </c>
      <c r="D6" t="s">
        <v>12</v>
      </c>
      <c r="E6" t="s">
        <v>27</v>
      </c>
      <c r="F6" t="s">
        <v>100</v>
      </c>
      <c r="G6" t="s">
        <v>101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46198</v>
      </c>
      <c r="B7" t="s">
        <v>79</v>
      </c>
      <c r="C7" s="6" t="s">
        <v>102</v>
      </c>
      <c r="D7" t="s">
        <v>9</v>
      </c>
      <c r="E7" t="s">
        <v>10</v>
      </c>
      <c r="F7" t="s">
        <v>10</v>
      </c>
      <c r="G7" t="s">
        <v>75</v>
      </c>
      <c r="H7" t="s">
        <v>69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46198</v>
      </c>
      <c r="B8" t="s">
        <v>79</v>
      </c>
      <c r="C8" s="6" t="s">
        <v>103</v>
      </c>
      <c r="D8" t="s">
        <v>12</v>
      </c>
      <c r="E8" t="s">
        <v>10</v>
      </c>
      <c r="F8" t="s">
        <v>10</v>
      </c>
      <c r="G8" t="s">
        <v>75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46198</v>
      </c>
      <c r="B9" t="s">
        <v>79</v>
      </c>
      <c r="C9" s="6" t="s">
        <v>104</v>
      </c>
      <c r="D9" t="s">
        <v>13</v>
      </c>
      <c r="E9" t="s">
        <v>17</v>
      </c>
      <c r="F9" t="s">
        <v>17</v>
      </c>
      <c r="G9" t="s">
        <v>105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ht="30" x14ac:dyDescent="0.25">
      <c r="A10" s="5">
        <v>46198</v>
      </c>
      <c r="B10" t="s">
        <v>79</v>
      </c>
      <c r="C10" s="6" t="s">
        <v>106</v>
      </c>
      <c r="D10" t="s">
        <v>12</v>
      </c>
      <c r="E10" t="s">
        <v>45</v>
      </c>
      <c r="F10" t="s">
        <v>45</v>
      </c>
      <c r="G10" t="s">
        <v>107</v>
      </c>
      <c r="H10" t="s">
        <v>70</v>
      </c>
      <c r="I10" t="str">
        <f>_xlfn.XLOOKUP(Tabla1[[#This Row],[Dependencia]],Tabla2[Dependencia],Tabla2[Clasificación],"No indexado")</f>
        <v>Partidos</v>
      </c>
      <c r="J10" t="str">
        <f>_xlfn.XLOOKUP(Tabla1[[#This Row],[Dependencia]],Tabla3[Dependencia],Tabla3[Nivel],"otros",0)</f>
        <v>otros</v>
      </c>
    </row>
    <row r="11" spans="1:10" ht="30" x14ac:dyDescent="0.25">
      <c r="A11" s="5">
        <v>46198</v>
      </c>
      <c r="B11" t="s">
        <v>79</v>
      </c>
      <c r="C11" s="6" t="s">
        <v>108</v>
      </c>
      <c r="D11" t="s">
        <v>12</v>
      </c>
      <c r="E11" t="s">
        <v>14</v>
      </c>
      <c r="F11" t="s">
        <v>109</v>
      </c>
      <c r="G11" t="s">
        <v>95</v>
      </c>
      <c r="H11" t="s">
        <v>70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46198</v>
      </c>
      <c r="B12" t="s">
        <v>79</v>
      </c>
      <c r="C12" s="6" t="s">
        <v>110</v>
      </c>
      <c r="D12" t="s">
        <v>12</v>
      </c>
      <c r="E12" t="s">
        <v>10</v>
      </c>
      <c r="F12" t="s">
        <v>10</v>
      </c>
      <c r="G12" t="s">
        <v>84</v>
      </c>
      <c r="H12" t="s">
        <v>70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ht="30" x14ac:dyDescent="0.25">
      <c r="A13" s="5">
        <v>46198</v>
      </c>
      <c r="B13" t="s">
        <v>77</v>
      </c>
      <c r="C13" s="6" t="s">
        <v>111</v>
      </c>
      <c r="D13" t="s">
        <v>12</v>
      </c>
      <c r="E13" t="s">
        <v>27</v>
      </c>
      <c r="F13" t="s">
        <v>82</v>
      </c>
      <c r="G13" t="s">
        <v>85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5">
        <v>46198</v>
      </c>
      <c r="B14" t="s">
        <v>77</v>
      </c>
      <c r="C14" s="6" t="s">
        <v>112</v>
      </c>
      <c r="D14" t="s">
        <v>12</v>
      </c>
      <c r="E14" t="s">
        <v>21</v>
      </c>
      <c r="F14" t="s">
        <v>21</v>
      </c>
      <c r="G14" t="s">
        <v>113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46198</v>
      </c>
      <c r="B15" t="s">
        <v>77</v>
      </c>
      <c r="C15" s="6" t="s">
        <v>114</v>
      </c>
      <c r="D15" t="s">
        <v>13</v>
      </c>
      <c r="E15" t="s">
        <v>17</v>
      </c>
      <c r="F15" t="s">
        <v>17</v>
      </c>
      <c r="G15" t="s">
        <v>115</v>
      </c>
      <c r="H15" t="s">
        <v>70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46198</v>
      </c>
      <c r="B16" t="s">
        <v>77</v>
      </c>
      <c r="C16" s="6" t="s">
        <v>116</v>
      </c>
      <c r="D16" t="s">
        <v>12</v>
      </c>
      <c r="E16" t="s">
        <v>10</v>
      </c>
      <c r="F16" t="s">
        <v>10</v>
      </c>
      <c r="G16" t="s">
        <v>75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46198</v>
      </c>
      <c r="B17" t="s">
        <v>77</v>
      </c>
      <c r="C17" s="6" t="s">
        <v>117</v>
      </c>
      <c r="D17" t="s">
        <v>9</v>
      </c>
      <c r="E17" t="s">
        <v>10</v>
      </c>
      <c r="F17" t="s">
        <v>10</v>
      </c>
      <c r="G17" t="s">
        <v>75</v>
      </c>
      <c r="H17" t="s">
        <v>69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46198</v>
      </c>
      <c r="B18" t="s">
        <v>77</v>
      </c>
      <c r="C18" s="6" t="s">
        <v>118</v>
      </c>
      <c r="D18" t="s">
        <v>12</v>
      </c>
      <c r="E18" t="s">
        <v>10</v>
      </c>
      <c r="F18" t="s">
        <v>10</v>
      </c>
      <c r="G18" t="s">
        <v>75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46198</v>
      </c>
      <c r="B19" t="s">
        <v>77</v>
      </c>
      <c r="C19" s="6" t="s">
        <v>119</v>
      </c>
      <c r="D19" t="s">
        <v>12</v>
      </c>
      <c r="E19" t="s">
        <v>33</v>
      </c>
      <c r="F19" t="s">
        <v>33</v>
      </c>
      <c r="G19" t="s">
        <v>120</v>
      </c>
      <c r="H19" t="s">
        <v>70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46198</v>
      </c>
      <c r="B20" t="s">
        <v>67</v>
      </c>
      <c r="C20" s="6" t="s">
        <v>121</v>
      </c>
      <c r="D20" t="s">
        <v>9</v>
      </c>
      <c r="E20" t="s">
        <v>10</v>
      </c>
      <c r="F20" t="s">
        <v>10</v>
      </c>
      <c r="G20" t="s">
        <v>75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46198</v>
      </c>
      <c r="B21" t="s">
        <v>67</v>
      </c>
      <c r="C21" s="6" t="s">
        <v>122</v>
      </c>
      <c r="D21" t="s">
        <v>13</v>
      </c>
      <c r="E21" t="s">
        <v>33</v>
      </c>
      <c r="F21" t="s">
        <v>33</v>
      </c>
      <c r="G21" t="s">
        <v>86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46198</v>
      </c>
      <c r="B22" t="s">
        <v>67</v>
      </c>
      <c r="C22" s="6" t="s">
        <v>123</v>
      </c>
      <c r="D22" t="s">
        <v>12</v>
      </c>
      <c r="E22" t="s">
        <v>10</v>
      </c>
      <c r="F22" t="s">
        <v>10</v>
      </c>
      <c r="G22" t="s">
        <v>124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46198</v>
      </c>
      <c r="B23" t="s">
        <v>67</v>
      </c>
      <c r="C23" s="6" t="s">
        <v>125</v>
      </c>
      <c r="D23" t="s">
        <v>12</v>
      </c>
      <c r="E23" t="s">
        <v>14</v>
      </c>
      <c r="F23" t="s">
        <v>126</v>
      </c>
      <c r="G23" t="s">
        <v>87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46198</v>
      </c>
      <c r="B24" t="s">
        <v>67</v>
      </c>
      <c r="C24" s="6" t="s">
        <v>127</v>
      </c>
      <c r="D24" t="s">
        <v>9</v>
      </c>
      <c r="E24" t="s">
        <v>10</v>
      </c>
      <c r="F24" t="s">
        <v>10</v>
      </c>
      <c r="G24" t="s">
        <v>128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46198</v>
      </c>
      <c r="B25" t="s">
        <v>67</v>
      </c>
      <c r="C25" s="6" t="s">
        <v>129</v>
      </c>
      <c r="D25" t="s">
        <v>12</v>
      </c>
      <c r="E25" t="s">
        <v>14</v>
      </c>
      <c r="F25" t="s">
        <v>14</v>
      </c>
      <c r="G25" t="s">
        <v>130</v>
      </c>
      <c r="H25" t="s">
        <v>69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46198</v>
      </c>
      <c r="B26" t="s">
        <v>67</v>
      </c>
      <c r="C26" s="6" t="s">
        <v>131</v>
      </c>
      <c r="D26" t="s">
        <v>12</v>
      </c>
      <c r="E26" t="s">
        <v>17</v>
      </c>
      <c r="F26" t="s">
        <v>17</v>
      </c>
      <c r="G26" t="s">
        <v>132</v>
      </c>
      <c r="H26" t="s">
        <v>69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5">
        <v>46198</v>
      </c>
      <c r="B27" t="s">
        <v>73</v>
      </c>
      <c r="C27" s="6" t="s">
        <v>133</v>
      </c>
      <c r="D27" t="s">
        <v>9</v>
      </c>
      <c r="E27" t="s">
        <v>10</v>
      </c>
      <c r="F27" t="s">
        <v>10</v>
      </c>
      <c r="G27" t="s">
        <v>75</v>
      </c>
      <c r="H27" t="s">
        <v>69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46198</v>
      </c>
      <c r="B28" t="s">
        <v>73</v>
      </c>
      <c r="C28" s="6" t="s">
        <v>134</v>
      </c>
      <c r="D28" t="s">
        <v>12</v>
      </c>
      <c r="E28" t="s">
        <v>16</v>
      </c>
      <c r="F28" t="s">
        <v>16</v>
      </c>
      <c r="G28" t="s">
        <v>135</v>
      </c>
      <c r="H28" t="s">
        <v>70</v>
      </c>
      <c r="I28" t="str">
        <f>_xlfn.XLOOKUP(Tabla1[[#This Row],[Dependencia]],Tabla2[Dependencia],Tabla2[Clasificación],"No indexado")</f>
        <v>Alcaldías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46198</v>
      </c>
      <c r="B29" t="s">
        <v>73</v>
      </c>
      <c r="C29" s="6" t="s">
        <v>136</v>
      </c>
      <c r="D29" t="s">
        <v>13</v>
      </c>
      <c r="E29" t="s">
        <v>33</v>
      </c>
      <c r="F29" t="s">
        <v>33</v>
      </c>
      <c r="G29" t="s">
        <v>137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5">
        <v>46198</v>
      </c>
      <c r="B30" t="s">
        <v>73</v>
      </c>
      <c r="C30" s="6" t="s">
        <v>138</v>
      </c>
      <c r="D30" t="s">
        <v>12</v>
      </c>
      <c r="E30" t="s">
        <v>14</v>
      </c>
      <c r="F30" t="s">
        <v>14</v>
      </c>
      <c r="G30" t="s">
        <v>139</v>
      </c>
      <c r="H30" t="s">
        <v>70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75" x14ac:dyDescent="0.25">
      <c r="A31" s="5">
        <v>46198</v>
      </c>
      <c r="B31" t="s">
        <v>73</v>
      </c>
      <c r="C31" s="6" t="s">
        <v>140</v>
      </c>
      <c r="D31" t="s">
        <v>12</v>
      </c>
      <c r="E31" t="s">
        <v>10</v>
      </c>
      <c r="F31" t="s">
        <v>10</v>
      </c>
      <c r="G31" t="s">
        <v>141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x14ac:dyDescent="0.25">
      <c r="A32" s="5">
        <v>46198</v>
      </c>
      <c r="B32" t="s">
        <v>72</v>
      </c>
      <c r="C32" s="6" t="s">
        <v>142</v>
      </c>
      <c r="D32" t="s">
        <v>13</v>
      </c>
      <c r="E32" t="s">
        <v>10</v>
      </c>
      <c r="F32" t="s">
        <v>10</v>
      </c>
      <c r="G32" t="s">
        <v>75</v>
      </c>
      <c r="H32" t="s">
        <v>69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5">
        <v>46198</v>
      </c>
      <c r="B33" t="s">
        <v>72</v>
      </c>
      <c r="C33" s="6" t="s">
        <v>143</v>
      </c>
      <c r="D33" t="s">
        <v>12</v>
      </c>
      <c r="E33" t="s">
        <v>10</v>
      </c>
      <c r="F33" t="s">
        <v>10</v>
      </c>
      <c r="G33" t="s">
        <v>144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46198</v>
      </c>
      <c r="B34" t="s">
        <v>72</v>
      </c>
      <c r="C34" s="6" t="s">
        <v>145</v>
      </c>
      <c r="D34" t="s">
        <v>12</v>
      </c>
      <c r="E34" t="s">
        <v>33</v>
      </c>
      <c r="F34" t="s">
        <v>33</v>
      </c>
      <c r="G34" t="s">
        <v>146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46198</v>
      </c>
      <c r="B35" t="s">
        <v>72</v>
      </c>
      <c r="C35" s="6" t="s">
        <v>147</v>
      </c>
      <c r="D35" t="s">
        <v>12</v>
      </c>
      <c r="E35" t="s">
        <v>26</v>
      </c>
      <c r="F35" t="s">
        <v>26</v>
      </c>
      <c r="G35" t="s">
        <v>148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46198</v>
      </c>
      <c r="B36" t="s">
        <v>71</v>
      </c>
      <c r="C36" s="6" t="s">
        <v>149</v>
      </c>
      <c r="D36" t="s">
        <v>13</v>
      </c>
      <c r="E36" t="s">
        <v>10</v>
      </c>
      <c r="F36" t="s">
        <v>10</v>
      </c>
      <c r="G36" t="s">
        <v>88</v>
      </c>
      <c r="H36" t="s">
        <v>70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46198</v>
      </c>
      <c r="B37" t="s">
        <v>71</v>
      </c>
      <c r="C37" s="6" t="s">
        <v>150</v>
      </c>
      <c r="D37" t="s">
        <v>12</v>
      </c>
      <c r="E37" t="s">
        <v>10</v>
      </c>
      <c r="F37" t="s">
        <v>10</v>
      </c>
      <c r="G37" t="s">
        <v>75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46198</v>
      </c>
      <c r="B38" t="s">
        <v>71</v>
      </c>
      <c r="C38" s="6" t="s">
        <v>151</v>
      </c>
      <c r="D38" t="s">
        <v>12</v>
      </c>
      <c r="E38" t="s">
        <v>26</v>
      </c>
      <c r="F38" t="s">
        <v>2</v>
      </c>
      <c r="G38" t="s">
        <v>148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46198</v>
      </c>
      <c r="B39" t="s">
        <v>71</v>
      </c>
      <c r="C39" s="6" t="s">
        <v>152</v>
      </c>
      <c r="D39" t="s">
        <v>12</v>
      </c>
      <c r="E39" t="s">
        <v>16</v>
      </c>
      <c r="F39" t="s">
        <v>16</v>
      </c>
      <c r="G39" t="s">
        <v>153</v>
      </c>
      <c r="H39" t="s">
        <v>69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46198</v>
      </c>
      <c r="B40" t="s">
        <v>71</v>
      </c>
      <c r="C40" s="6" t="s">
        <v>154</v>
      </c>
      <c r="D40" t="s">
        <v>12</v>
      </c>
      <c r="E40" t="s">
        <v>16</v>
      </c>
      <c r="F40" t="s">
        <v>16</v>
      </c>
      <c r="G40" t="s">
        <v>155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46198</v>
      </c>
      <c r="B41" t="s">
        <v>71</v>
      </c>
      <c r="C41" s="6" t="s">
        <v>156</v>
      </c>
      <c r="D41" t="s">
        <v>12</v>
      </c>
      <c r="E41" t="s">
        <v>29</v>
      </c>
      <c r="F41" t="s">
        <v>29</v>
      </c>
      <c r="G41" t="s">
        <v>98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5">
        <v>46198</v>
      </c>
      <c r="B42" t="s">
        <v>76</v>
      </c>
      <c r="C42" s="6" t="s">
        <v>157</v>
      </c>
      <c r="D42" t="s">
        <v>12</v>
      </c>
      <c r="E42" t="s">
        <v>14</v>
      </c>
      <c r="F42" t="s">
        <v>158</v>
      </c>
      <c r="G42" t="s">
        <v>159</v>
      </c>
      <c r="H42" t="s">
        <v>70</v>
      </c>
      <c r="I42" t="str">
        <f>_xlfn.XLOOKUP(Tabla1[[#This Row],[Dependencia]],Tabla2[Dependencia],Tabla2[Clasificación],"No indexado")</f>
        <v>Presidencia de la República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46198</v>
      </c>
      <c r="B43" t="s">
        <v>76</v>
      </c>
      <c r="C43" s="6" t="s">
        <v>160</v>
      </c>
      <c r="D43" t="s">
        <v>12</v>
      </c>
      <c r="E43" t="s">
        <v>14</v>
      </c>
      <c r="F43" t="s">
        <v>161</v>
      </c>
      <c r="G43" t="s">
        <v>162</v>
      </c>
      <c r="H43" t="s">
        <v>11</v>
      </c>
      <c r="I43" t="str">
        <f>_xlfn.XLOOKUP(Tabla1[[#This Row],[Dependencia]],Tabla2[Dependencia],Tabla2[Clasificación],"No indexado")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46198</v>
      </c>
      <c r="B44" t="s">
        <v>76</v>
      </c>
      <c r="C44" s="6" t="s">
        <v>163</v>
      </c>
      <c r="D44" t="s">
        <v>13</v>
      </c>
      <c r="E44" t="s">
        <v>33</v>
      </c>
      <c r="F44" t="s">
        <v>33</v>
      </c>
      <c r="G44" t="s">
        <v>146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46198</v>
      </c>
      <c r="B45" t="s">
        <v>76</v>
      </c>
      <c r="C45" s="6" t="s">
        <v>164</v>
      </c>
      <c r="D45" t="s">
        <v>12</v>
      </c>
      <c r="E45" t="s">
        <v>20</v>
      </c>
      <c r="F45" t="s">
        <v>20</v>
      </c>
      <c r="G45" t="s">
        <v>137</v>
      </c>
      <c r="H45" t="s">
        <v>70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46198</v>
      </c>
      <c r="B46" t="s">
        <v>76</v>
      </c>
      <c r="C46" s="6" t="s">
        <v>165</v>
      </c>
      <c r="D46" t="s">
        <v>12</v>
      </c>
      <c r="E46" t="s">
        <v>16</v>
      </c>
      <c r="F46" t="s">
        <v>16</v>
      </c>
      <c r="G46" t="s">
        <v>166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25">
      <c r="A47" s="5">
        <v>46198</v>
      </c>
      <c r="B47" t="s">
        <v>76</v>
      </c>
      <c r="C47" s="6" t="s">
        <v>167</v>
      </c>
      <c r="D47" t="s">
        <v>12</v>
      </c>
      <c r="E47" t="s">
        <v>33</v>
      </c>
      <c r="F47" t="s">
        <v>33</v>
      </c>
      <c r="G47" t="s">
        <v>168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46198</v>
      </c>
      <c r="B48" t="s">
        <v>81</v>
      </c>
      <c r="C48" s="6" t="s">
        <v>169</v>
      </c>
      <c r="D48" t="s">
        <v>89</v>
      </c>
      <c r="E48" t="s">
        <v>10</v>
      </c>
      <c r="F48" t="s">
        <v>10</v>
      </c>
      <c r="G48" t="s">
        <v>75</v>
      </c>
      <c r="H48" t="s">
        <v>69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46198</v>
      </c>
      <c r="B49" t="s">
        <v>81</v>
      </c>
      <c r="C49" s="6" t="s">
        <v>170</v>
      </c>
      <c r="D49" t="s">
        <v>13</v>
      </c>
      <c r="E49" t="s">
        <v>23</v>
      </c>
      <c r="F49" t="s">
        <v>2</v>
      </c>
      <c r="G49" t="s">
        <v>87</v>
      </c>
      <c r="H49" t="s">
        <v>69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46198</v>
      </c>
      <c r="B50" t="s">
        <v>81</v>
      </c>
      <c r="C50" s="6" t="s">
        <v>171</v>
      </c>
      <c r="D50" t="s">
        <v>12</v>
      </c>
      <c r="E50" t="s">
        <v>16</v>
      </c>
      <c r="F50" t="s">
        <v>90</v>
      </c>
      <c r="G50" t="s">
        <v>172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5">
        <v>46198</v>
      </c>
      <c r="B51" t="s">
        <v>81</v>
      </c>
      <c r="C51" s="6" t="s">
        <v>173</v>
      </c>
      <c r="D51" t="s">
        <v>12</v>
      </c>
      <c r="E51" t="s">
        <v>16</v>
      </c>
      <c r="F51" t="s">
        <v>16</v>
      </c>
      <c r="G51" t="s">
        <v>91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46198</v>
      </c>
      <c r="B52" t="s">
        <v>81</v>
      </c>
      <c r="C52" s="6" t="s">
        <v>174</v>
      </c>
      <c r="D52" t="s">
        <v>12</v>
      </c>
      <c r="E52" t="s">
        <v>16</v>
      </c>
      <c r="F52" t="s">
        <v>16</v>
      </c>
      <c r="G52" t="s">
        <v>175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46198</v>
      </c>
      <c r="B53" t="s">
        <v>81</v>
      </c>
      <c r="C53" s="6" t="s">
        <v>176</v>
      </c>
      <c r="D53" t="s">
        <v>12</v>
      </c>
      <c r="E53" t="s">
        <v>23</v>
      </c>
      <c r="F53" t="s">
        <v>177</v>
      </c>
      <c r="G53" t="s">
        <v>178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5">
        <v>46198</v>
      </c>
      <c r="B54" t="s">
        <v>81</v>
      </c>
      <c r="C54" s="6" t="s">
        <v>179</v>
      </c>
      <c r="D54" t="s">
        <v>12</v>
      </c>
      <c r="E54" t="s">
        <v>10</v>
      </c>
      <c r="F54" t="s">
        <v>10</v>
      </c>
      <c r="G54" t="s">
        <v>128</v>
      </c>
      <c r="H54" t="s">
        <v>70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46198</v>
      </c>
      <c r="B55" t="s">
        <v>81</v>
      </c>
      <c r="C55" s="6" t="s">
        <v>180</v>
      </c>
      <c r="D55" t="s">
        <v>12</v>
      </c>
      <c r="E55" t="s">
        <v>27</v>
      </c>
      <c r="F55" t="s">
        <v>82</v>
      </c>
      <c r="G55" t="s">
        <v>83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46198</v>
      </c>
      <c r="B56" t="s">
        <v>81</v>
      </c>
      <c r="C56" s="6" t="s">
        <v>181</v>
      </c>
      <c r="D56" t="s">
        <v>12</v>
      </c>
      <c r="E56" t="s">
        <v>29</v>
      </c>
      <c r="F56" t="s">
        <v>29</v>
      </c>
      <c r="G56" t="s">
        <v>98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46198</v>
      </c>
      <c r="B57" t="s">
        <v>81</v>
      </c>
      <c r="C57" s="6" t="s">
        <v>182</v>
      </c>
      <c r="D57" t="s">
        <v>12</v>
      </c>
      <c r="E57" t="s">
        <v>80</v>
      </c>
      <c r="F57" t="s">
        <v>80</v>
      </c>
      <c r="G57" t="s">
        <v>183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5">
        <v>46198</v>
      </c>
      <c r="B58" t="s">
        <v>81</v>
      </c>
      <c r="C58" s="6" t="s">
        <v>184</v>
      </c>
      <c r="D58" t="s">
        <v>78</v>
      </c>
      <c r="E58" t="s">
        <v>10</v>
      </c>
      <c r="F58" t="s">
        <v>10</v>
      </c>
      <c r="G58" t="s">
        <v>185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46198</v>
      </c>
      <c r="B59" t="s">
        <v>186</v>
      </c>
      <c r="C59" s="6" t="s">
        <v>187</v>
      </c>
      <c r="D59" t="s">
        <v>13</v>
      </c>
      <c r="E59" t="s">
        <v>23</v>
      </c>
      <c r="F59" t="s">
        <v>177</v>
      </c>
      <c r="G59" t="s">
        <v>188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46198</v>
      </c>
      <c r="B60" t="s">
        <v>186</v>
      </c>
      <c r="C60" s="6" t="s">
        <v>189</v>
      </c>
      <c r="D60" t="s">
        <v>12</v>
      </c>
      <c r="E60" t="s">
        <v>14</v>
      </c>
      <c r="F60" t="s">
        <v>190</v>
      </c>
      <c r="G60" t="s">
        <v>191</v>
      </c>
      <c r="H60" t="s">
        <v>11</v>
      </c>
      <c r="I60" t="str">
        <f>_xlfn.XLOOKUP(Tabla1[[#This Row],[Dependencia]],Tabla2[Dependencia],Tabla2[Clasificación],"No indexado")</f>
        <v>Presidencia de la República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46198</v>
      </c>
      <c r="B61" t="s">
        <v>186</v>
      </c>
      <c r="C61" s="6" t="s">
        <v>192</v>
      </c>
      <c r="D61" t="s">
        <v>12</v>
      </c>
      <c r="E61" t="s">
        <v>22</v>
      </c>
      <c r="F61" t="s">
        <v>22</v>
      </c>
      <c r="G61" t="s">
        <v>144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5">
        <v>46198</v>
      </c>
      <c r="B62" t="s">
        <v>186</v>
      </c>
      <c r="C62" s="6" t="s">
        <v>193</v>
      </c>
      <c r="D62" t="s">
        <v>9</v>
      </c>
      <c r="E62" t="s">
        <v>10</v>
      </c>
      <c r="F62" t="s">
        <v>10</v>
      </c>
      <c r="G62" t="s">
        <v>75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2026-06-25T15:45:48Z</dcterms:modified>
</cp:coreProperties>
</file>