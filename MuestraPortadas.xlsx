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2CAAF7DB-42BC-432C-B52A-EEE49546CDFD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2" i="1"/>
  <c r="I2" i="1"/>
</calcChain>
</file>

<file path=xl/sharedStrings.xml><?xml version="1.0" encoding="utf-8"?>
<sst xmlns="http://schemas.openxmlformats.org/spreadsheetml/2006/main" count="594" uniqueCount="195">
  <si>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</si>
  <si>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</si>
  <si>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</si>
  <si>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</si>
  <si>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</si>
  <si>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</si>
  <si>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</si>
  <si>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</si>
  <si>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</si>
  <si>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</si>
  <si>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</si>
  <si>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</si>
  <si>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</si>
  <si>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</si>
  <si>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</si>
  <si>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</si>
  <si>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</si>
  <si>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</si>
  <si>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</si>
  <si>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</si>
  <si>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</si>
  <si>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</si>
  <si>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</si>
  <si>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</si>
  <si>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</si>
  <si>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</si>
  <si>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</si>
  <si>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</si>
  <si>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</si>
  <si>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</si>
  <si>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</si>
  <si>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</si>
  <si>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</si>
  <si>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</si>
  <si>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</si>
  <si>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</si>
  <si>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</si>
  <si>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</si>
  <si>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</si>
  <si>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</si>
  <si>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</si>
  <si>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</si>
  <si>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</si>
  <si>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</si>
  <si>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</si>
  <si>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</si>
  <si>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</si>
  <si>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</si>
  <si>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</si>
  <si>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</si>
  <si>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</si>
  <si>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</si>
  <si>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</si>
  <si>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</si>
  <si>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</si>
  <si>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</si>
  <si>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</si>
  <si>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</si>
  <si>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</si>
  <si>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</si>
  <si>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</si>
  <si>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</si>
  <si>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</si>
  <si>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</si>
  <si>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</si>
  <si>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</si>
  <si>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</si>
  <si>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</si>
  <si>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</si>
  <si>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</si>
  <si>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</si>
  <si>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</si>
  <si>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Negativa</t>
  </si>
  <si>
    <t>Milenio Hidalgo</t>
  </si>
  <si>
    <t>El Universal Hidalgo</t>
  </si>
  <si>
    <t>Criterio</t>
  </si>
  <si>
    <t>Pachuca Brilla</t>
  </si>
  <si>
    <t>Temas varios</t>
  </si>
  <si>
    <t>Alcalde</t>
  </si>
  <si>
    <t>Deportes</t>
  </si>
  <si>
    <t>Policía municipal</t>
  </si>
  <si>
    <t>Reforma Electoral</t>
  </si>
  <si>
    <t>Plaza Juárez</t>
  </si>
  <si>
    <t>Reforma De Ley</t>
  </si>
  <si>
    <t>Sitmah</t>
  </si>
  <si>
    <t>Carril confinado</t>
  </si>
  <si>
    <t>Rutas de la Reconstrucción</t>
  </si>
  <si>
    <t>Crecimiento Económico</t>
  </si>
  <si>
    <t>Pilares</t>
  </si>
  <si>
    <t>Combate Al Narcomenudeo</t>
  </si>
  <si>
    <t>Ruta de la Transformación</t>
  </si>
  <si>
    <t>Curso de verano</t>
  </si>
  <si>
    <t>Certificación de idioma</t>
  </si>
  <si>
    <t>Hidalgo tiene algo</t>
  </si>
  <si>
    <t>Publicidad</t>
  </si>
  <si>
    <t>Promoción turística</t>
  </si>
  <si>
    <t>Piden atender deterioro en Fernández de Lizardi</t>
  </si>
  <si>
    <t>Obras públicas</t>
  </si>
  <si>
    <t>Exigen rehabilitación vial</t>
  </si>
  <si>
    <t>Nueva Central de Abastos al 30% de avance</t>
  </si>
  <si>
    <t>Central De Abastos</t>
  </si>
  <si>
    <t>Menores demandan más rehabilitación</t>
  </si>
  <si>
    <t>Centros de Rehabilitación</t>
  </si>
  <si>
    <t>Reconocen trayectoria de mujeres artesanas</t>
  </si>
  <si>
    <t>Apoyo a artesanos</t>
  </si>
  <si>
    <t>Leyenda: la sirena de la Laguna de Zupitlán</t>
  </si>
  <si>
    <t>Comunidades indígenas frenen parque solar</t>
  </si>
  <si>
    <t>Parque Fotovoltaico</t>
  </si>
  <si>
    <t>Rehabilitan Tlanchinol</t>
  </si>
  <si>
    <t>Gana un centenar de artesanos el Récord Guinness</t>
  </si>
  <si>
    <t>Récord Guinness</t>
  </si>
  <si>
    <t>Presentan Feria Pachuca con nuevas atracciones</t>
  </si>
  <si>
    <t>OEEH</t>
  </si>
  <si>
    <t>Feria Pachuca</t>
  </si>
  <si>
    <t>Congreso cierra con aprobación de 27 iniciativas</t>
  </si>
  <si>
    <t>Productividad legislativa</t>
  </si>
  <si>
    <t>Crece PIB 1.5%, destaca presidenta Sheinbaum</t>
  </si>
  <si>
    <t>Gasto por manejo de basura aumenta 400% en Atitalaquia, dice edil</t>
  </si>
  <si>
    <t>Recolección De Basura</t>
  </si>
  <si>
    <t>Un clásico por ganar</t>
  </si>
  <si>
    <t>CRESPO BUSCA CONQUISTAR  MÉXICO CON EL ATLAS</t>
  </si>
  <si>
    <t>RESPALDA TEMEXUN LA  LLEGADA DE DIDI O UBER</t>
  </si>
  <si>
    <t>Concesiones transporte público</t>
  </si>
  <si>
    <t>COMISIÓN REVISA  INICIATIVA, DICE  LEGISLADORA</t>
  </si>
  <si>
    <t>GLMorena</t>
  </si>
  <si>
    <t>Sin aprobar, reforma electoral al cierre del periodo ordinario</t>
  </si>
  <si>
    <t>El bordado ""Relleno"" y la lucha vs el plagio</t>
  </si>
  <si>
    <t>Plagio</t>
  </si>
  <si>
    <t>Responsabilizan asambleístas a presidente de la disputa política</t>
  </si>
  <si>
    <t>Enfrentamiento Político</t>
  </si>
  <si>
    <t>Imprudencia al volante deja más de 20 mil multas en seis meses</t>
  </si>
  <si>
    <t>Multa de tránsito</t>
  </si>
  <si>
    <t>Opera en la capital al 90% reconocen autoridades</t>
  </si>
  <si>
    <t>Corralones</t>
  </si>
  <si>
    <t>Carril exclusivo: Municipios se coordinan para que se respete la vía</t>
  </si>
  <si>
    <t>Registran 165 procesos en un año y tres meses</t>
  </si>
  <si>
    <t>Quejas contra jueces</t>
  </si>
  <si>
    <t>Reciben bordadoras Guinness por el Tenango más grande</t>
  </si>
  <si>
    <t>Contraloría rechaza que hospital esté extraviado</t>
  </si>
  <si>
    <t>Hospital inflable</t>
  </si>
  <si>
    <t>Arranca hoy la Feria del Libro en el Centro Cultural Hidalguense</t>
  </si>
  <si>
    <t>Feria Del Libro</t>
  </si>
  <si>
    <t>García Harfuch atribuye a el R1 el asesinato de Carlos Manzo</t>
  </si>
  <si>
    <t>Seguridad Ciudadana</t>
  </si>
  <si>
    <t>Combate a la delincuencia</t>
  </si>
  <si>
    <t>ClickFix, ardid cibernético que alcanzó al SAT</t>
  </si>
  <si>
    <t>Ciberseguridad</t>
  </si>
  <si>
    <t>Embarazo infantil será motivo de investigación</t>
  </si>
  <si>
    <t>Con gran expectación se anunciaron las actividades de la Feria San Francisco 2026. El director de la Operadora agradeció a su equipo y  llamó a las familias hidalguenses a recorrer cada pabellón, apoyar a los artesanos y vivir una experiencia segura, incluyente y accesible.</t>
  </si>
  <si>
    <t>Fotonota</t>
  </si>
  <si>
    <t>feria pachu</t>
  </si>
  <si>
    <t>Cae presunto autor intelectual del homicidio de Carlos Manzo</t>
  </si>
  <si>
    <t>Feria San Francisco suma más actividades; entrada general en $60</t>
  </si>
  <si>
    <t>Cuando la sociedad no admite de forma saludable las diversas identidades, preferencias y géneros,  limitamos la expresión de quienes no concuerdan con las etiquetas preestablecidas. Y con ello,  contribuimos al deterioro de la salud mental de las personas que se adscriben diversas”.</t>
  </si>
  <si>
    <t>Salud Mental</t>
  </si>
  <si>
    <t>Consulta indígena frena parque fotovoltaico en Tecozautla</t>
  </si>
  <si>
    <t>Recibirá DIFH 2.1 mdp para equipar el Centro de Salud Mental Pilares</t>
  </si>
  <si>
    <t>Aprueban reforma contra violencia deportiva en Hidalgo; crearán comisión especial</t>
  </si>
  <si>
    <t>IHE ofrece curso de preparación para ceritficación Toefl</t>
  </si>
  <si>
    <t>Caen dos presuntos narcomenudistas en Tulancingo con más de 700 dosis de droga</t>
  </si>
  <si>
    <t>¡La fiesta de Hidalgo!</t>
  </si>
  <si>
    <t>Cancelan parque fotovoltaico en Tecozautla</t>
  </si>
  <si>
    <t>Aparatoso choque y volcadura en el bulevar G. Bonfil</t>
  </si>
  <si>
    <t>Accidente Carretero</t>
  </si>
  <si>
    <t>Reforma electoral sigue en análisis</t>
  </si>
  <si>
    <t>Supervisa Menchaca reconstrucción en Tepehuacán</t>
  </si>
  <si>
    <t>Siete de cada 10 maquiladoras en la informalidad: Canaive</t>
  </si>
  <si>
    <t>Informalidad laboral</t>
  </si>
  <si>
    <t>Marfeca</t>
  </si>
  <si>
    <t>Conductor provoca frenado de emergencia de unidad del Transporte Metropolitano</t>
  </si>
  <si>
    <t>Cintillo</t>
  </si>
  <si>
    <t>Incidente Tuzobús</t>
  </si>
  <si>
    <t>Inaugura Teresa Olivares la cancha de futbol 5 en ""La Sala""</t>
  </si>
  <si>
    <t>Fomento Al Deporte</t>
  </si>
  <si>
    <t>Tula refuerza parque vehicular con la entrega de nueva maquinaria</t>
  </si>
  <si>
    <t>Parque Vehicular</t>
  </si>
  <si>
    <t>Tezontepec de Aldama inicia construcción de drenaje sanitario en la Comunidad de Mangas</t>
  </si>
  <si>
    <t>Drenaje</t>
  </si>
  <si>
    <t>Pachuca construye su futuro con la participación de la ciudadanía</t>
  </si>
  <si>
    <t>Participación Ciudadana</t>
  </si>
  <si>
    <t>Realizan entrega de 23 escrituras a bajo costo en Tlahuelilpan</t>
  </si>
  <si>
    <t>Entrega De Escrituras</t>
  </si>
  <si>
    <t>Entre juegos y aprendizaje, protección civil de Atitalaquia llega al verano activo de Tlalminulpa</t>
  </si>
  <si>
    <t>Feria San Francisco Pachuca 2026: presentan cartelera</t>
  </si>
  <si>
    <t>¡Comienza la expoferia Tulancingo!</t>
  </si>
  <si>
    <t>Expo feria</t>
  </si>
  <si>
    <t>Otra vez, auto se atraviesa al transporte metropolitano; un lesionado</t>
  </si>
  <si>
    <t>Accidente Tuzobús</t>
  </si>
  <si>
    <t>Programas sociales no son dádivas, son un respaldo al pueblo hidalguensse: Julio Menchaca</t>
  </si>
  <si>
    <t>Nueva central de abastos entrará en funcionamiento en 2027</t>
  </si>
  <si>
    <t>Destinan más de 294 mdp para Tlanchinol</t>
  </si>
  <si>
    <t>La detención de Ramón Ángel, autos intelectual del alcalde de Uruapan, Carlos Manzo, marca un avance en la aplicación de la justicia, cuando estamos acostumbrados a que los crímenes quedan impunes... se necesitan más logros para empezar a generar confianza</t>
  </si>
  <si>
    <t>Editorial</t>
  </si>
  <si>
    <t>Claudia Sheinbaum destaca crecimiento del PIB en México</t>
  </si>
  <si>
    <t>Informan detención de "R1", asesino de Carlos Manzo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</si>
</sst>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workbookViewId="0">
      <selection activeCell="A2" sqref="A2:H63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46234</v>
      </c>
      <c r="B2" t="s">
        <v>67</v>
      </c>
      <c r="C2" s="5" t="s">
        <v>96</v>
      </c>
      <c r="D2" t="s">
        <v>9</v>
      </c>
      <c r="E2" t="s">
        <v>16</v>
      </c>
      <c r="F2" t="s">
        <v>97</v>
      </c>
      <c r="G2" t="s">
        <v>98</v>
      </c>
      <c r="H2" t="s">
        <v>11</v>
      </c>
      <c r="I2" t="str">
        <f>_xlfn.XLOOKUP(Tabla1[[#This Row],[Dependencia]],Tabla2[Dependencia],Tabla2[Clasificación],"XXX",0)</f>
        <v>Alcaldías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46234</v>
      </c>
      <c r="B3" t="s">
        <v>67</v>
      </c>
      <c r="C3" s="5" t="s">
        <v>99</v>
      </c>
      <c r="D3" t="s">
        <v>12</v>
      </c>
      <c r="E3" t="s">
        <v>54</v>
      </c>
      <c r="F3" t="s">
        <v>54</v>
      </c>
      <c r="G3" t="s">
        <v>100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11">
        <v>46234</v>
      </c>
      <c r="B4" t="s">
        <v>67</v>
      </c>
      <c r="C4" s="5" t="s">
        <v>101</v>
      </c>
      <c r="D4" t="s">
        <v>13</v>
      </c>
      <c r="E4" t="s">
        <v>36</v>
      </c>
      <c r="F4" t="s">
        <v>36</v>
      </c>
      <c r="G4" t="s">
        <v>102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11">
        <v>46234</v>
      </c>
      <c r="B5" t="s">
        <v>67</v>
      </c>
      <c r="C5" s="5" t="s">
        <v>103</v>
      </c>
      <c r="D5" t="s">
        <v>12</v>
      </c>
      <c r="E5" t="s">
        <v>28</v>
      </c>
      <c r="F5" t="s">
        <v>28</v>
      </c>
      <c r="G5" t="s">
        <v>104</v>
      </c>
      <c r="H5" t="s">
        <v>68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35">
      <c r="A6" s="11">
        <v>46234</v>
      </c>
      <c r="B6" t="s">
        <v>67</v>
      </c>
      <c r="C6" s="5" t="s">
        <v>105</v>
      </c>
      <c r="D6" t="s">
        <v>12</v>
      </c>
      <c r="E6" t="s">
        <v>10</v>
      </c>
      <c r="F6" t="s">
        <v>10</v>
      </c>
      <c r="G6" t="s">
        <v>77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46234</v>
      </c>
      <c r="B7" t="s">
        <v>74</v>
      </c>
      <c r="C7" s="5" t="s">
        <v>106</v>
      </c>
      <c r="D7" t="s">
        <v>13</v>
      </c>
      <c r="E7" t="s">
        <v>54</v>
      </c>
      <c r="F7" t="s">
        <v>2</v>
      </c>
      <c r="G7" t="s">
        <v>107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11">
        <v>46234</v>
      </c>
      <c r="B8" t="s">
        <v>74</v>
      </c>
      <c r="C8" s="5" t="s">
        <v>108</v>
      </c>
      <c r="D8" t="s">
        <v>12</v>
      </c>
      <c r="E8" t="s">
        <v>24</v>
      </c>
      <c r="F8" t="s">
        <v>24</v>
      </c>
      <c r="G8" t="s">
        <v>90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35">
      <c r="A9" s="11">
        <v>46234</v>
      </c>
      <c r="B9" t="s">
        <v>74</v>
      </c>
      <c r="C9" s="5" t="s">
        <v>109</v>
      </c>
      <c r="D9" t="s">
        <v>12</v>
      </c>
      <c r="E9" t="s">
        <v>29</v>
      </c>
      <c r="F9" t="s">
        <v>29</v>
      </c>
      <c r="G9" t="s">
        <v>110</v>
      </c>
      <c r="H9" t="s">
        <v>68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11">
        <v>46234</v>
      </c>
      <c r="B10" t="s">
        <v>74</v>
      </c>
      <c r="C10" s="5" t="s">
        <v>111</v>
      </c>
      <c r="D10" t="s">
        <v>9</v>
      </c>
      <c r="E10" t="s">
        <v>29</v>
      </c>
      <c r="F10" t="s">
        <v>112</v>
      </c>
      <c r="G10" t="s">
        <v>113</v>
      </c>
      <c r="H10" t="s">
        <v>68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11">
        <v>46234</v>
      </c>
      <c r="B11" t="s">
        <v>74</v>
      </c>
      <c r="C11" s="5" t="s">
        <v>114</v>
      </c>
      <c r="D11" t="s">
        <v>12</v>
      </c>
      <c r="E11" t="s">
        <v>33</v>
      </c>
      <c r="F11" t="s">
        <v>33</v>
      </c>
      <c r="G11" t="s">
        <v>115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46234</v>
      </c>
      <c r="B12" t="s">
        <v>74</v>
      </c>
      <c r="C12" s="5" t="s">
        <v>116</v>
      </c>
      <c r="D12" t="s">
        <v>12</v>
      </c>
      <c r="E12" t="s">
        <v>14</v>
      </c>
      <c r="F12" t="s">
        <v>14</v>
      </c>
      <c r="G12" t="s">
        <v>87</v>
      </c>
      <c r="H12" t="s">
        <v>68</v>
      </c>
      <c r="I12" t="str">
        <f>_xlfn.XLOOKUP(Tabla1[[#This Row],[Dependencia]],Tabla2[Dependencia],Tabla2[Clasificación],"XXX",0)</f>
        <v>Presidencia de la República</v>
      </c>
      <c r="J12" t="str">
        <f>_xlfn.XLOOKUP(Tabla1[[#This Row],[Dependencia]],Tabla3[Dependencia],Tabla3[Nivel],"Otros",0)</f>
        <v>Otros</v>
      </c>
    </row>
    <row r="13" spans="1:10" ht="29" x14ac:dyDescent="0.35">
      <c r="A13" s="11">
        <v>46234</v>
      </c>
      <c r="B13" t="s">
        <v>74</v>
      </c>
      <c r="C13" s="5" t="s">
        <v>117</v>
      </c>
      <c r="D13" t="s">
        <v>12</v>
      </c>
      <c r="E13" t="s">
        <v>16</v>
      </c>
      <c r="F13" t="s">
        <v>78</v>
      </c>
      <c r="G13" t="s">
        <v>118</v>
      </c>
      <c r="H13" t="s">
        <v>72</v>
      </c>
      <c r="I13" t="str">
        <f>_xlfn.XLOOKUP(Tabla1[[#This Row],[Dependencia]],Tabla2[Dependencia],Tabla2[Clasificación],"XXX",0)</f>
        <v>Alcaldías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46234</v>
      </c>
      <c r="B14" t="s">
        <v>75</v>
      </c>
      <c r="C14" s="5" t="s">
        <v>119</v>
      </c>
      <c r="D14" t="s">
        <v>12</v>
      </c>
      <c r="E14" t="s">
        <v>10</v>
      </c>
      <c r="F14" t="s">
        <v>10</v>
      </c>
      <c r="G14" t="s">
        <v>79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46234</v>
      </c>
      <c r="B15" t="s">
        <v>75</v>
      </c>
      <c r="C15" s="5" t="s">
        <v>120</v>
      </c>
      <c r="D15" t="s">
        <v>12</v>
      </c>
      <c r="E15" t="s">
        <v>10</v>
      </c>
      <c r="F15" t="s">
        <v>10</v>
      </c>
      <c r="G15" t="s">
        <v>79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46234</v>
      </c>
      <c r="B16" t="s">
        <v>75</v>
      </c>
      <c r="C16" s="5" t="s">
        <v>121</v>
      </c>
      <c r="D16" t="s">
        <v>12</v>
      </c>
      <c r="E16" t="s">
        <v>27</v>
      </c>
      <c r="F16" t="s">
        <v>27</v>
      </c>
      <c r="G16" t="s">
        <v>122</v>
      </c>
      <c r="H16" t="s">
        <v>72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11">
        <v>46234</v>
      </c>
      <c r="B17" t="s">
        <v>75</v>
      </c>
      <c r="C17" s="5" t="s">
        <v>123</v>
      </c>
      <c r="D17" t="s">
        <v>12</v>
      </c>
      <c r="E17" t="s">
        <v>33</v>
      </c>
      <c r="F17" t="s">
        <v>124</v>
      </c>
      <c r="G17" t="s">
        <v>81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11">
        <v>46234</v>
      </c>
      <c r="B18" t="s">
        <v>75</v>
      </c>
      <c r="C18" s="5" t="s">
        <v>125</v>
      </c>
      <c r="D18" t="s">
        <v>13</v>
      </c>
      <c r="E18" t="s">
        <v>33</v>
      </c>
      <c r="F18" t="s">
        <v>33</v>
      </c>
      <c r="G18" t="s">
        <v>81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46234</v>
      </c>
      <c r="B19" t="s">
        <v>75</v>
      </c>
      <c r="C19" s="5" t="s">
        <v>126</v>
      </c>
      <c r="D19" t="s">
        <v>9</v>
      </c>
      <c r="E19" t="s">
        <v>28</v>
      </c>
      <c r="F19" t="s">
        <v>28</v>
      </c>
      <c r="G19" t="s">
        <v>127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29" x14ac:dyDescent="0.35">
      <c r="A20" s="11">
        <v>46234</v>
      </c>
      <c r="B20" t="s">
        <v>75</v>
      </c>
      <c r="C20" s="5" t="s">
        <v>128</v>
      </c>
      <c r="D20" t="s">
        <v>12</v>
      </c>
      <c r="E20" t="s">
        <v>16</v>
      </c>
      <c r="F20" t="s">
        <v>78</v>
      </c>
      <c r="G20" t="s">
        <v>129</v>
      </c>
      <c r="H20" t="s">
        <v>72</v>
      </c>
      <c r="I20" t="str">
        <f>_xlfn.XLOOKUP(Tabla1[[#This Row],[Dependencia]],Tabla2[Dependencia],Tabla2[Clasificación],"XXX",0)</f>
        <v>Alcaldías</v>
      </c>
      <c r="J20" t="str">
        <f>_xlfn.XLOOKUP(Tabla1[[#This Row],[Dependencia]],Tabla3[Dependencia],Tabla3[Nivel],"Otros",0)</f>
        <v>Otros</v>
      </c>
    </row>
    <row r="21" spans="1:10" ht="29" x14ac:dyDescent="0.35">
      <c r="A21" s="11">
        <v>46234</v>
      </c>
      <c r="B21" t="s">
        <v>73</v>
      </c>
      <c r="C21" s="5" t="s">
        <v>130</v>
      </c>
      <c r="D21" t="s">
        <v>13</v>
      </c>
      <c r="E21" t="s">
        <v>16</v>
      </c>
      <c r="F21" t="s">
        <v>80</v>
      </c>
      <c r="G21" t="s">
        <v>131</v>
      </c>
      <c r="H21" t="s">
        <v>11</v>
      </c>
      <c r="I21" t="str">
        <f>_xlfn.XLOOKUP(Tabla1[[#This Row],[Dependencia]],Tabla2[Dependencia],Tabla2[Clasificación],"XXX",0)</f>
        <v>Alcaldías</v>
      </c>
      <c r="J21" t="str">
        <f>_xlfn.XLOOKUP(Tabla1[[#This Row],[Dependencia]],Tabla3[Dependencia],Tabla3[Nivel],"Otros",0)</f>
        <v>Otros</v>
      </c>
    </row>
    <row r="22" spans="1:10" x14ac:dyDescent="0.35">
      <c r="A22" s="11">
        <v>46234</v>
      </c>
      <c r="B22" t="s">
        <v>73</v>
      </c>
      <c r="C22" s="5" t="s">
        <v>132</v>
      </c>
      <c r="D22" t="s">
        <v>12</v>
      </c>
      <c r="E22" t="s">
        <v>16</v>
      </c>
      <c r="F22" t="s">
        <v>16</v>
      </c>
      <c r="G22" t="s">
        <v>133</v>
      </c>
      <c r="H22" t="s">
        <v>11</v>
      </c>
      <c r="I22" t="str">
        <f>_xlfn.XLOOKUP(Tabla1[[#This Row],[Dependencia]],Tabla2[Dependencia],Tabla2[Clasificación],"XXX",0)</f>
        <v>Alcaldías</v>
      </c>
      <c r="J22" t="str">
        <f>_xlfn.XLOOKUP(Tabla1[[#This Row],[Dependencia]],Tabla3[Dependencia],Tabla3[Nivel],"Otros",0)</f>
        <v>Otros</v>
      </c>
    </row>
    <row r="23" spans="1:10" ht="29" x14ac:dyDescent="0.35">
      <c r="A23" s="11">
        <v>46234</v>
      </c>
      <c r="B23" t="s">
        <v>73</v>
      </c>
      <c r="C23" s="5" t="s">
        <v>134</v>
      </c>
      <c r="D23" t="s">
        <v>12</v>
      </c>
      <c r="E23" t="s">
        <v>27</v>
      </c>
      <c r="F23" t="s">
        <v>84</v>
      </c>
      <c r="G23" t="s">
        <v>85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11">
        <v>46234</v>
      </c>
      <c r="B24" t="s">
        <v>73</v>
      </c>
      <c r="C24" s="5" t="s">
        <v>135</v>
      </c>
      <c r="D24" t="s">
        <v>12</v>
      </c>
      <c r="E24" t="s">
        <v>58</v>
      </c>
      <c r="F24" t="s">
        <v>58</v>
      </c>
      <c r="G24" t="s">
        <v>136</v>
      </c>
      <c r="H24" t="s">
        <v>72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11">
        <v>46234</v>
      </c>
      <c r="B25" t="s">
        <v>73</v>
      </c>
      <c r="C25" s="5" t="s">
        <v>137</v>
      </c>
      <c r="D25" t="s">
        <v>9</v>
      </c>
      <c r="E25" t="s">
        <v>29</v>
      </c>
      <c r="F25" t="s">
        <v>29</v>
      </c>
      <c r="G25" t="s">
        <v>110</v>
      </c>
      <c r="H25" t="s">
        <v>68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35">
      <c r="A26" s="11">
        <v>46234</v>
      </c>
      <c r="B26" t="s">
        <v>73</v>
      </c>
      <c r="C26" s="5" t="s">
        <v>138</v>
      </c>
      <c r="D26" t="s">
        <v>12</v>
      </c>
      <c r="E26" t="s">
        <v>34</v>
      </c>
      <c r="F26" t="s">
        <v>34</v>
      </c>
      <c r="G26" t="s">
        <v>139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ht="29" x14ac:dyDescent="0.35">
      <c r="A27" s="11">
        <v>46234</v>
      </c>
      <c r="B27" t="s">
        <v>73</v>
      </c>
      <c r="C27" s="5" t="s">
        <v>140</v>
      </c>
      <c r="D27" t="s">
        <v>12</v>
      </c>
      <c r="E27" t="s">
        <v>28</v>
      </c>
      <c r="F27" t="s">
        <v>28</v>
      </c>
      <c r="G27" t="s">
        <v>141</v>
      </c>
      <c r="H27" t="s">
        <v>11</v>
      </c>
      <c r="I27" t="str">
        <f>_xlfn.XLOOKUP(Tabla1[[#This Row],[Dependencia]],Tabla2[Dependencia],Tabla2[Clasificación],"XXX",0)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35">
      <c r="A28" s="11">
        <v>46234</v>
      </c>
      <c r="B28" t="s">
        <v>73</v>
      </c>
      <c r="C28" s="5" t="s">
        <v>142</v>
      </c>
      <c r="D28" t="s">
        <v>12</v>
      </c>
      <c r="E28" t="s">
        <v>14</v>
      </c>
      <c r="F28" t="s">
        <v>143</v>
      </c>
      <c r="G28" t="s">
        <v>144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11">
        <v>46234</v>
      </c>
      <c r="B29" t="s">
        <v>73</v>
      </c>
      <c r="C29" s="5" t="s">
        <v>145</v>
      </c>
      <c r="D29" t="s">
        <v>12</v>
      </c>
      <c r="E29" t="s">
        <v>14</v>
      </c>
      <c r="F29" t="s">
        <v>14</v>
      </c>
      <c r="G29" t="s">
        <v>146</v>
      </c>
      <c r="H29" t="s">
        <v>72</v>
      </c>
      <c r="I29" t="str">
        <f>_xlfn.XLOOKUP(Tabla1[[#This Row],[Dependencia]],Tabla2[Dependencia],Tabla2[Clasificación],"XXX",0)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35">
      <c r="A30" s="11">
        <v>46234</v>
      </c>
      <c r="B30" t="s">
        <v>70</v>
      </c>
      <c r="C30" s="5" t="s">
        <v>147</v>
      </c>
      <c r="D30" t="s">
        <v>12</v>
      </c>
      <c r="E30" t="s">
        <v>33</v>
      </c>
      <c r="F30" t="s">
        <v>33</v>
      </c>
      <c r="G30" t="s">
        <v>83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72.5" x14ac:dyDescent="0.35">
      <c r="A31" s="11">
        <v>46234</v>
      </c>
      <c r="B31" t="s">
        <v>70</v>
      </c>
      <c r="C31" s="5" t="s">
        <v>148</v>
      </c>
      <c r="D31" t="s">
        <v>149</v>
      </c>
      <c r="E31" t="s">
        <v>29</v>
      </c>
      <c r="F31" t="s">
        <v>112</v>
      </c>
      <c r="G31" t="s">
        <v>150</v>
      </c>
      <c r="H31" t="s">
        <v>68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11">
        <v>46234</v>
      </c>
      <c r="B32" t="s">
        <v>70</v>
      </c>
      <c r="C32" s="5" t="s">
        <v>151</v>
      </c>
      <c r="D32" t="s">
        <v>12</v>
      </c>
      <c r="E32" t="s">
        <v>14</v>
      </c>
      <c r="F32" t="s">
        <v>143</v>
      </c>
      <c r="G32" t="s">
        <v>144</v>
      </c>
      <c r="H32" t="s">
        <v>68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29" x14ac:dyDescent="0.35">
      <c r="A33" s="11">
        <v>46234</v>
      </c>
      <c r="B33" t="s">
        <v>70</v>
      </c>
      <c r="C33" s="5" t="s">
        <v>152</v>
      </c>
      <c r="D33" t="s">
        <v>13</v>
      </c>
      <c r="E33" t="s">
        <v>29</v>
      </c>
      <c r="F33" t="s">
        <v>112</v>
      </c>
      <c r="G33" t="s">
        <v>113</v>
      </c>
      <c r="H33" t="s">
        <v>68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72.5" x14ac:dyDescent="0.35">
      <c r="A34" s="11">
        <v>46234</v>
      </c>
      <c r="B34" t="s">
        <v>70</v>
      </c>
      <c r="C34" s="5" t="s">
        <v>153</v>
      </c>
      <c r="D34" t="s">
        <v>12</v>
      </c>
      <c r="E34" t="s">
        <v>10</v>
      </c>
      <c r="F34" t="s">
        <v>10</v>
      </c>
      <c r="G34" t="s">
        <v>154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x14ac:dyDescent="0.35">
      <c r="A35" s="11">
        <v>46234</v>
      </c>
      <c r="B35" t="s">
        <v>69</v>
      </c>
      <c r="C35" s="5" t="s">
        <v>155</v>
      </c>
      <c r="D35" t="s">
        <v>13</v>
      </c>
      <c r="E35" t="s">
        <v>54</v>
      </c>
      <c r="F35" t="s">
        <v>54</v>
      </c>
      <c r="G35" t="s">
        <v>107</v>
      </c>
      <c r="H35" t="s">
        <v>72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11">
        <v>46234</v>
      </c>
      <c r="B36" t="s">
        <v>69</v>
      </c>
      <c r="C36" s="5" t="s">
        <v>156</v>
      </c>
      <c r="D36" t="s">
        <v>12</v>
      </c>
      <c r="E36" t="s">
        <v>36</v>
      </c>
      <c r="F36" t="s">
        <v>36</v>
      </c>
      <c r="G36" t="s">
        <v>88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29" x14ac:dyDescent="0.35">
      <c r="A37" s="11">
        <v>46234</v>
      </c>
      <c r="B37" t="s">
        <v>69</v>
      </c>
      <c r="C37" s="5" t="s">
        <v>157</v>
      </c>
      <c r="D37" t="s">
        <v>12</v>
      </c>
      <c r="E37" t="s">
        <v>33</v>
      </c>
      <c r="F37" t="s">
        <v>33</v>
      </c>
      <c r="G37" t="s">
        <v>83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x14ac:dyDescent="0.35">
      <c r="A38" s="11">
        <v>46234</v>
      </c>
      <c r="B38" t="s">
        <v>69</v>
      </c>
      <c r="C38" s="5" t="s">
        <v>158</v>
      </c>
      <c r="D38" t="s">
        <v>12</v>
      </c>
      <c r="E38" t="s">
        <v>26</v>
      </c>
      <c r="F38" t="s">
        <v>26</v>
      </c>
      <c r="G38" t="s">
        <v>92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11">
        <v>46234</v>
      </c>
      <c r="B39" t="s">
        <v>69</v>
      </c>
      <c r="C39" s="5" t="s">
        <v>159</v>
      </c>
      <c r="D39" t="s">
        <v>12</v>
      </c>
      <c r="E39" t="s">
        <v>22</v>
      </c>
      <c r="F39" t="s">
        <v>22</v>
      </c>
      <c r="G39" t="s">
        <v>89</v>
      </c>
      <c r="H39" t="s">
        <v>68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35">
      <c r="A40" s="11">
        <v>46234</v>
      </c>
      <c r="B40" t="s">
        <v>69</v>
      </c>
      <c r="C40" s="5" t="s">
        <v>160</v>
      </c>
      <c r="D40" t="s">
        <v>9</v>
      </c>
      <c r="E40" t="s">
        <v>29</v>
      </c>
      <c r="F40" t="s">
        <v>112</v>
      </c>
      <c r="G40" t="s">
        <v>113</v>
      </c>
      <c r="H40" t="s">
        <v>68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11">
        <v>46234</v>
      </c>
      <c r="B41" t="s">
        <v>69</v>
      </c>
      <c r="C41" s="5" t="s">
        <v>161</v>
      </c>
      <c r="D41" t="s">
        <v>13</v>
      </c>
      <c r="E41" t="s">
        <v>54</v>
      </c>
      <c r="F41" t="s">
        <v>54</v>
      </c>
      <c r="G41" t="s">
        <v>107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11">
        <v>46234</v>
      </c>
      <c r="B42" t="s">
        <v>69</v>
      </c>
      <c r="C42" s="5" t="s">
        <v>162</v>
      </c>
      <c r="D42" t="s">
        <v>12</v>
      </c>
      <c r="E42" t="s">
        <v>16</v>
      </c>
      <c r="F42" t="s">
        <v>16</v>
      </c>
      <c r="G42" t="s">
        <v>163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11">
        <v>46234</v>
      </c>
      <c r="B43" t="s">
        <v>69</v>
      </c>
      <c r="C43" s="5" t="s">
        <v>164</v>
      </c>
      <c r="D43" t="s">
        <v>12</v>
      </c>
      <c r="E43" t="s">
        <v>33</v>
      </c>
      <c r="F43" t="s">
        <v>33</v>
      </c>
      <c r="G43" t="s">
        <v>81</v>
      </c>
      <c r="H43" t="s">
        <v>11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11">
        <v>46234</v>
      </c>
      <c r="B44" t="s">
        <v>69</v>
      </c>
      <c r="C44" s="5" t="s">
        <v>165</v>
      </c>
      <c r="D44" t="s">
        <v>12</v>
      </c>
      <c r="E44" t="s">
        <v>24</v>
      </c>
      <c r="F44" t="s">
        <v>24</v>
      </c>
      <c r="G44" t="s">
        <v>86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35">
      <c r="A45" s="11">
        <v>46234</v>
      </c>
      <c r="B45" t="s">
        <v>69</v>
      </c>
      <c r="C45" s="5" t="s">
        <v>166</v>
      </c>
      <c r="D45" t="s">
        <v>12</v>
      </c>
      <c r="E45" t="s">
        <v>56</v>
      </c>
      <c r="F45" t="s">
        <v>56</v>
      </c>
      <c r="G45" t="s">
        <v>167</v>
      </c>
      <c r="H45" t="s">
        <v>72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29" x14ac:dyDescent="0.35">
      <c r="A46" s="11">
        <v>46234</v>
      </c>
      <c r="B46" t="s">
        <v>168</v>
      </c>
      <c r="C46" s="5" t="s">
        <v>169</v>
      </c>
      <c r="D46" t="s">
        <v>170</v>
      </c>
      <c r="E46" t="s">
        <v>27</v>
      </c>
      <c r="F46" t="s">
        <v>27</v>
      </c>
      <c r="G46" t="s">
        <v>171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35">
      <c r="A47" s="11">
        <v>46234</v>
      </c>
      <c r="B47" t="s">
        <v>168</v>
      </c>
      <c r="C47" s="5" t="s">
        <v>172</v>
      </c>
      <c r="D47" t="s">
        <v>12</v>
      </c>
      <c r="E47" t="s">
        <v>16</v>
      </c>
      <c r="F47" t="s">
        <v>78</v>
      </c>
      <c r="G47" t="s">
        <v>173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29" x14ac:dyDescent="0.35">
      <c r="A48" s="11">
        <v>46234</v>
      </c>
      <c r="B48" t="s">
        <v>168</v>
      </c>
      <c r="C48" s="5" t="s">
        <v>174</v>
      </c>
      <c r="D48" t="s">
        <v>13</v>
      </c>
      <c r="E48" t="s">
        <v>16</v>
      </c>
      <c r="F48" t="s">
        <v>78</v>
      </c>
      <c r="G48" t="s">
        <v>175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29" x14ac:dyDescent="0.35">
      <c r="A49" s="11">
        <v>46234</v>
      </c>
      <c r="B49" t="s">
        <v>168</v>
      </c>
      <c r="C49" s="5" t="s">
        <v>176</v>
      </c>
      <c r="D49" t="s">
        <v>12</v>
      </c>
      <c r="E49" t="s">
        <v>16</v>
      </c>
      <c r="F49" t="s">
        <v>16</v>
      </c>
      <c r="G49" t="s">
        <v>177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11">
        <v>46234</v>
      </c>
      <c r="B50" t="s">
        <v>168</v>
      </c>
      <c r="C50" s="5" t="s">
        <v>178</v>
      </c>
      <c r="D50" t="s">
        <v>12</v>
      </c>
      <c r="E50" t="s">
        <v>16</v>
      </c>
      <c r="F50" t="s">
        <v>16</v>
      </c>
      <c r="G50" t="s">
        <v>179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11">
        <v>46234</v>
      </c>
      <c r="B51" t="s">
        <v>168</v>
      </c>
      <c r="C51" s="5" t="s">
        <v>180</v>
      </c>
      <c r="D51" t="s">
        <v>12</v>
      </c>
      <c r="E51" t="s">
        <v>16</v>
      </c>
      <c r="F51" t="s">
        <v>16</v>
      </c>
      <c r="G51" t="s">
        <v>181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11">
        <v>46234</v>
      </c>
      <c r="B52" t="s">
        <v>168</v>
      </c>
      <c r="C52" s="5" t="s">
        <v>182</v>
      </c>
      <c r="D52" t="s">
        <v>12</v>
      </c>
      <c r="E52" t="s">
        <v>16</v>
      </c>
      <c r="F52" t="s">
        <v>16</v>
      </c>
      <c r="G52" t="s">
        <v>91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x14ac:dyDescent="0.35">
      <c r="A53" s="11">
        <v>46234</v>
      </c>
      <c r="B53" t="s">
        <v>76</v>
      </c>
      <c r="C53" s="5" t="s">
        <v>183</v>
      </c>
      <c r="D53" t="s">
        <v>13</v>
      </c>
      <c r="E53" t="s">
        <v>29</v>
      </c>
      <c r="F53" t="s">
        <v>112</v>
      </c>
      <c r="G53" t="s">
        <v>113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35">
      <c r="A54" s="11">
        <v>46234</v>
      </c>
      <c r="B54" t="s">
        <v>76</v>
      </c>
      <c r="C54" s="5" t="s">
        <v>184</v>
      </c>
      <c r="D54" t="s">
        <v>12</v>
      </c>
      <c r="E54" t="s">
        <v>16</v>
      </c>
      <c r="F54" t="s">
        <v>16</v>
      </c>
      <c r="G54" t="s">
        <v>185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29" x14ac:dyDescent="0.35">
      <c r="A55" s="11">
        <v>46234</v>
      </c>
      <c r="B55" t="s">
        <v>76</v>
      </c>
      <c r="C55" s="5" t="s">
        <v>186</v>
      </c>
      <c r="D55" t="s">
        <v>12</v>
      </c>
      <c r="E55" t="s">
        <v>27</v>
      </c>
      <c r="F55" t="s">
        <v>84</v>
      </c>
      <c r="G55" t="s">
        <v>187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29" x14ac:dyDescent="0.35">
      <c r="A56" s="11">
        <v>46234</v>
      </c>
      <c r="B56" t="s">
        <v>76</v>
      </c>
      <c r="C56" s="5" t="s">
        <v>188</v>
      </c>
      <c r="D56" t="s">
        <v>12</v>
      </c>
      <c r="E56" t="s">
        <v>24</v>
      </c>
      <c r="F56" t="s">
        <v>24</v>
      </c>
      <c r="G56" t="s">
        <v>90</v>
      </c>
      <c r="H56" t="s">
        <v>68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Gobernador</v>
      </c>
    </row>
    <row r="57" spans="1:10" ht="29" x14ac:dyDescent="0.35">
      <c r="A57" s="11">
        <v>46234</v>
      </c>
      <c r="B57" t="s">
        <v>76</v>
      </c>
      <c r="C57" s="5" t="s">
        <v>178</v>
      </c>
      <c r="D57" t="s">
        <v>12</v>
      </c>
      <c r="E57" t="s">
        <v>16</v>
      </c>
      <c r="F57" t="s">
        <v>16</v>
      </c>
      <c r="G57" t="s">
        <v>179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x14ac:dyDescent="0.35">
      <c r="A58" s="11">
        <v>46234</v>
      </c>
      <c r="B58" t="s">
        <v>76</v>
      </c>
      <c r="C58" s="5" t="s">
        <v>93</v>
      </c>
      <c r="D58" t="s">
        <v>94</v>
      </c>
      <c r="E58" t="s">
        <v>29</v>
      </c>
      <c r="F58" t="s">
        <v>29</v>
      </c>
      <c r="G58" t="s">
        <v>95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35">
      <c r="A59" s="11">
        <v>46234</v>
      </c>
      <c r="B59" t="s">
        <v>82</v>
      </c>
      <c r="C59" s="5" t="s">
        <v>189</v>
      </c>
      <c r="D59" t="s">
        <v>13</v>
      </c>
      <c r="E59" t="s">
        <v>54</v>
      </c>
      <c r="F59" t="s">
        <v>54</v>
      </c>
      <c r="G59" t="s">
        <v>100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35">
      <c r="A60" s="11">
        <v>46234</v>
      </c>
      <c r="B60" t="s">
        <v>82</v>
      </c>
      <c r="C60" s="5" t="s">
        <v>190</v>
      </c>
      <c r="D60" t="s">
        <v>12</v>
      </c>
      <c r="E60" t="s">
        <v>24</v>
      </c>
      <c r="F60" t="s">
        <v>24</v>
      </c>
      <c r="G60" t="s">
        <v>90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Gobernador</v>
      </c>
    </row>
    <row r="61" spans="1:10" ht="72.5" x14ac:dyDescent="0.35">
      <c r="A61" s="11">
        <v>46234</v>
      </c>
      <c r="B61" t="s">
        <v>82</v>
      </c>
      <c r="C61" s="5" t="s">
        <v>191</v>
      </c>
      <c r="D61" t="s">
        <v>192</v>
      </c>
      <c r="E61" t="s">
        <v>14</v>
      </c>
      <c r="F61" t="s">
        <v>143</v>
      </c>
      <c r="G61" t="s">
        <v>144</v>
      </c>
      <c r="H61" t="s">
        <v>68</v>
      </c>
      <c r="I61" t="str">
        <f>_xlfn.XLOOKUP(Tabla1[[#This Row],[Dependencia]],Tabla2[Dependencia],Tabla2[Clasificación],"XXX",0)</f>
        <v>Presidencia de la República</v>
      </c>
      <c r="J61" t="str">
        <f>_xlfn.XLOOKUP(Tabla1[[#This Row],[Dependencia]],Tabla3[Dependencia],Tabla3[Nivel],"Otros",0)</f>
        <v>Otros</v>
      </c>
    </row>
    <row r="62" spans="1:10" x14ac:dyDescent="0.35">
      <c r="A62" s="11">
        <v>46234</v>
      </c>
      <c r="B62" t="s">
        <v>82</v>
      </c>
      <c r="C62" s="5" t="s">
        <v>193</v>
      </c>
      <c r="D62" t="s">
        <v>12</v>
      </c>
      <c r="E62" t="s">
        <v>14</v>
      </c>
      <c r="F62" t="s">
        <v>14</v>
      </c>
      <c r="G62" t="s">
        <v>87</v>
      </c>
      <c r="H62" t="s">
        <v>68</v>
      </c>
      <c r="I62" t="str">
        <f>_xlfn.XLOOKUP(Tabla1[[#This Row],[Dependencia]],Tabla2[Dependencia],Tabla2[Clasificación],"XXX",0)</f>
        <v>Presidencia de la República</v>
      </c>
      <c r="J62" t="str">
        <f>_xlfn.XLOOKUP(Tabla1[[#This Row],[Dependencia]],Tabla3[Dependencia],Tabla3[Nivel],"Otros",0)</f>
        <v>Otros</v>
      </c>
    </row>
    <row r="63" spans="1:10" x14ac:dyDescent="0.35">
      <c r="A63" s="11">
        <v>46234</v>
      </c>
      <c r="B63" t="s">
        <v>82</v>
      </c>
      <c r="C63" s="5" t="s">
        <v>194</v>
      </c>
      <c r="D63" t="s">
        <v>12</v>
      </c>
      <c r="E63" t="s">
        <v>14</v>
      </c>
      <c r="F63" t="s">
        <v>143</v>
      </c>
      <c r="G63" t="s">
        <v>144</v>
      </c>
      <c r="H63" t="s">
        <v>68</v>
      </c>
      <c r="I63" t="str">
        <f>_xlfn.XLOOKUP(Tabla1[[#This Row],[Dependencia]],Tabla2[Dependencia],Tabla2[Clasificación],"XXX",0)</f>
        <v>Presidencia de la República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71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71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2026-07-31T19:18:14Z</dcterms:modified>
</cp:coreProperties>
</file>