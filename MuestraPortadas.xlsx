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e\Repositorios de capturas y reportes\Reporteportadas\"/>
    </mc:Choice>
  </mc:AlternateContent>
  <xr:revisionPtr revIDLastSave="0" documentId="13_ncr:1_{12C625CA-DDAB-4C51-80BD-59E6C3AE9BAC}" xr6:coauthVersionLast="47" xr6:coauthVersionMax="47" xr10:uidLastSave="{00000000-0000-0000-0000-000000000000}"/>
  <bookViews>
    <workbookView xWindow="-120" yWindow="-120" windowWidth="29040" windowHeight="15720" activeTab="1" xr2:uid="{56C16FF2-DC5E-4EA2-A3CB-6D506676B8B8}"/>
  </bookViews>
  <sheets>
    <sheet name="Hoja3" sheetId="3" r:id="rId1"/>
    <sheet name="Hoja1" sheetId="1" r:id="rId2"/>
    <sheet name="Hoja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</calcChain>
</file>

<file path=xl/sharedStrings.xml><?xml version="1.0" encoding="utf-8"?>
<sst xmlns="http://schemas.openxmlformats.org/spreadsheetml/2006/main" count="646" uniqueCount="186">
  <si>
    <t>Fecha</t>
  </si>
  <si>
    <t>Medio</t>
  </si>
  <si>
    <t>Titular</t>
  </si>
  <si>
    <t>Recurso editorial</t>
  </si>
  <si>
    <t>Dependencia</t>
  </si>
  <si>
    <t>Organismo</t>
  </si>
  <si>
    <t>Tema</t>
  </si>
  <si>
    <t>Estatus</t>
  </si>
  <si>
    <t>Grupo</t>
  </si>
  <si>
    <t>Foco gráfico</t>
  </si>
  <si>
    <t>Otros</t>
  </si>
  <si>
    <t>Informativa</t>
  </si>
  <si>
    <t>Llamado</t>
  </si>
  <si>
    <t>Ocho columnas</t>
  </si>
  <si>
    <t>Presidencia</t>
  </si>
  <si>
    <t>SSH</t>
  </si>
  <si>
    <t>Ayuntamiento</t>
  </si>
  <si>
    <t>PGJEH</t>
  </si>
  <si>
    <t>Morena</t>
  </si>
  <si>
    <t>Bienestar</t>
  </si>
  <si>
    <t>Semarnath</t>
  </si>
  <si>
    <t>Oficialía Mayor</t>
  </si>
  <si>
    <t>SSPH</t>
  </si>
  <si>
    <t>Segobh</t>
  </si>
  <si>
    <t>Gobernador</t>
  </si>
  <si>
    <t>Delegación</t>
  </si>
  <si>
    <t>SEPH</t>
  </si>
  <si>
    <t>Semot</t>
  </si>
  <si>
    <t>Cultura</t>
  </si>
  <si>
    <t>Turismo</t>
  </si>
  <si>
    <t>Clasificación</t>
  </si>
  <si>
    <t>Alcaldías</t>
  </si>
  <si>
    <t>Gobierno del estado</t>
  </si>
  <si>
    <t>Congreso</t>
  </si>
  <si>
    <t>Contraloría</t>
  </si>
  <si>
    <t>Despacho</t>
  </si>
  <si>
    <t>DIFH</t>
  </si>
  <si>
    <t>Gabinete de Seguridad</t>
  </si>
  <si>
    <t>Gobierno</t>
  </si>
  <si>
    <t>Hacienda</t>
  </si>
  <si>
    <t>IEEH</t>
  </si>
  <si>
    <t>Independiente</t>
  </si>
  <si>
    <t>Proceso electoral</t>
  </si>
  <si>
    <t>MC</t>
  </si>
  <si>
    <t>Partidos</t>
  </si>
  <si>
    <t>PAN</t>
  </si>
  <si>
    <t>Panalh</t>
  </si>
  <si>
    <t>Planeación</t>
  </si>
  <si>
    <t>PRD</t>
  </si>
  <si>
    <t>Presidencia de la República</t>
  </si>
  <si>
    <t>Pri</t>
  </si>
  <si>
    <t>PT</t>
  </si>
  <si>
    <t>PVEM</t>
  </si>
  <si>
    <t>Saderh</t>
  </si>
  <si>
    <t>Sedeco</t>
  </si>
  <si>
    <t>SIPDUS</t>
  </si>
  <si>
    <t>STPSH</t>
  </si>
  <si>
    <t>TEEH</t>
  </si>
  <si>
    <t>TSJEH</t>
  </si>
  <si>
    <t>UAEH</t>
  </si>
  <si>
    <t>CDHEH</t>
  </si>
  <si>
    <t>Aspirantes</t>
  </si>
  <si>
    <t>Sucesión gubernamental</t>
  </si>
  <si>
    <t>Espacio Hidalgo</t>
  </si>
  <si>
    <t>PES</t>
  </si>
  <si>
    <t>Nivel</t>
  </si>
  <si>
    <t>Gabinete</t>
  </si>
  <si>
    <t>OCSAD</t>
  </si>
  <si>
    <t>Negativa</t>
  </si>
  <si>
    <t>El Universal Hidalgo</t>
  </si>
  <si>
    <t>Deportes</t>
  </si>
  <si>
    <t>Criterio</t>
  </si>
  <si>
    <t>Positiva</t>
  </si>
  <si>
    <t>Síntesis</t>
  </si>
  <si>
    <t>Milenio Hidalgo</t>
  </si>
  <si>
    <t>PAZ</t>
  </si>
  <si>
    <t>Plaza Juárez</t>
  </si>
  <si>
    <t>Temas varios</t>
  </si>
  <si>
    <t>La Jornada Hidalgo</t>
  </si>
  <si>
    <t>Publicidad</t>
  </si>
  <si>
    <t>El Sol de Hidalgo</t>
  </si>
  <si>
    <t>Marfeca</t>
  </si>
  <si>
    <t>Cintillo</t>
  </si>
  <si>
    <t>Prevención cáncer de mama</t>
  </si>
  <si>
    <t>Feria Pachuca</t>
  </si>
  <si>
    <t>IMSS</t>
  </si>
  <si>
    <t>Alcalde</t>
  </si>
  <si>
    <t>OEEH</t>
  </si>
  <si>
    <t>Plan Nacional De Vivienda</t>
  </si>
  <si>
    <t>Informe de actividades</t>
  </si>
  <si>
    <t>Comparecencias</t>
  </si>
  <si>
    <t>Temas internacionales</t>
  </si>
  <si>
    <t>Editorial</t>
  </si>
  <si>
    <t>Protesta sindical</t>
  </si>
  <si>
    <t>Reforma a contrataciones municipales</t>
  </si>
  <si>
    <t>Regidor</t>
  </si>
  <si>
    <t>Cuenta de Recurso editorial</t>
  </si>
  <si>
    <t>Etiquetas de fila</t>
  </si>
  <si>
    <t>Total general</t>
  </si>
  <si>
    <t>Effetá</t>
  </si>
  <si>
    <t>Pachuca Brilla</t>
  </si>
  <si>
    <t>A la venta, artesanías de internos del Cereso</t>
  </si>
  <si>
    <t>Sigue protesta contra casas del Fovissste</t>
  </si>
  <si>
    <t>ISSSTE</t>
  </si>
  <si>
    <t>Resalta Henkel más inversión en Hidalgo</t>
  </si>
  <si>
    <t>Acumula 38 demandas La Escuela es Nuestra</t>
  </si>
  <si>
    <t>La Escuela es Nuestra</t>
  </si>
  <si>
    <t>Códice Xólotl narra pasado de Hidalgo</t>
  </si>
  <si>
    <t>INAH</t>
  </si>
  <si>
    <t>Recuperación Del Patrimonio</t>
  </si>
  <si>
    <t>Empleados del IMSS acusan irregularidades</t>
  </si>
  <si>
    <t>Familias piden respuestas ate la CBPEH</t>
  </si>
  <si>
    <t>CBPEH</t>
  </si>
  <si>
    <t>Exigen localización de persona</t>
  </si>
  <si>
    <t>Contraloría indaga casos de nepotismo en Cultura</t>
  </si>
  <si>
    <t>Nepotismo</t>
  </si>
  <si>
    <t>Aceleran compras por Día de Muertos</t>
  </si>
  <si>
    <t>Día De Muertos</t>
  </si>
  <si>
    <t>Se consolidan en Hidalgo 130 proyectos de inversiones</t>
  </si>
  <si>
    <t>Hallan fosa clandestina con cinco cuerpos</t>
  </si>
  <si>
    <t>Fosa clandestina</t>
  </si>
  <si>
    <t>Salud Casa por Casa registra avance de 87%</t>
  </si>
  <si>
    <t>Salud</t>
  </si>
  <si>
    <t>Salud universal</t>
  </si>
  <si>
    <t>Crece rechazo de regidores a ley que liita a los cabildos</t>
  </si>
  <si>
    <t>Noche de goles en la Champions</t>
  </si>
  <si>
    <t>Madurez y persistencia de Abril</t>
  </si>
  <si>
    <t>Exigen avances en indagatorias de las personas desaparecidas</t>
  </si>
  <si>
    <t>Investigarán el presunto nepotismo en Cultura</t>
  </si>
  <si>
    <t>Es Hidalgo 5° lugar por la informalidad laboral: CHE</t>
  </si>
  <si>
    <t>Han sido halladas 22 fosas clandestinas en los últimos 20 años</t>
  </si>
  <si>
    <t>Luis Osorio desea que a Pachuca ""le vaya bien""</t>
  </si>
  <si>
    <t>Bardales: por la Estafa ""los perseguiremos... hasta el fin del mundo""</t>
  </si>
  <si>
    <t>Revelan que son nueve órdenes de aprehensión por la Escuela es Nuestra</t>
  </si>
  <si>
    <t>Prevé Hacienda alza al presupuesto del IEEH, pero no será cheque en blanco</t>
  </si>
  <si>
    <t>Presupuesto IEEH</t>
  </si>
  <si>
    <t>"Ruptura con AMLO, nunca con Claudia"</t>
  </si>
  <si>
    <t>Pachuca: Inicia Tránsito curso para enseñar a conducir bien</t>
  </si>
  <si>
    <t>Policía municipal</t>
  </si>
  <si>
    <t>Curso de manejo</t>
  </si>
  <si>
    <t>En los últimos cuatro años creció la actividad turística en la entidad más de 20%</t>
  </si>
  <si>
    <t>Misión de astrobiólogos: buscan en las supertierras condiciones ""habitables""</t>
  </si>
  <si>
    <t>Premio Carlos Fuentes: Toda autoridad progresista promueve la crítica: Villoro</t>
  </si>
  <si>
    <t>Hallan fosa clandestina en Atotonilco de Tula</t>
  </si>
  <si>
    <t>Control a redes, en 30 días; sanción por incumplimiento</t>
  </si>
  <si>
    <t>Violencia digital</t>
  </si>
  <si>
    <t>Papa celebra misa tras perder parte de un pulmón por cáncer</t>
  </si>
  <si>
    <t>Con farmacéutica canadiense se combatirá desabasto: Henkel</t>
  </si>
  <si>
    <t>Cobijado por diputados petistas en San Lázaro, (Damián Sosa) acusó persecución  política y la politización de la justicia, se dijo decepcionado del gobierno estatal  y autocalificó al Clan Sosa Castelán como la vía para que la transformación llegue  a Hidalgo (…) Los lapsus son padecimiento familiar”.</t>
  </si>
  <si>
    <t>Persecución política</t>
  </si>
  <si>
    <t>Madres buscadoras de Hidalgo exigen agilizar la localización de sus familiares</t>
  </si>
  <si>
    <t>Empresa canadiense deberá construir empresa mexicana para concretar inversión en Zapotlán</t>
  </si>
  <si>
    <t>Encuentran fosa clandestina con 5 cuerpos</t>
  </si>
  <si>
    <t>Hidalgo suma 38 denuncias por manejo irregular de recursos de La Escuela es Nuestra</t>
  </si>
  <si>
    <t>No tuve la intención de dañar al réferi: aclara ""El Hijo de Fishman""</t>
  </si>
  <si>
    <t>Homicidios</t>
  </si>
  <si>
    <t>Descubren fosa clandestina con al menos 5 cuerpos</t>
  </si>
  <si>
    <t>Diputados avalan ley de Ingresos para 2027</t>
  </si>
  <si>
    <t>Ley De Ingresos</t>
  </si>
  <si>
    <t>Tras marchas, Sheinbaum promete solucionar la falta de medicamentos</t>
  </si>
  <si>
    <t>Logra Hidalgo inversiones por más de 147 mil mdp</t>
  </si>
  <si>
    <t>Hidalgo busca hasta 5% más de presupuesto federal para 2027</t>
  </si>
  <si>
    <t>Presupuesto De Egresos</t>
  </si>
  <si>
    <t>"Carlos, escucha, tumadre está en la lucha": Madres buscadoras marchan a la Comisión de Búsqueda de Hidalgo</t>
  </si>
  <si>
    <t>Contraloría de Hidalgo reporta 97 denuncias penales</t>
  </si>
  <si>
    <t>Hidalgo, quinto estado con mayor informalidad laboral: Henkel reconoce rezago histórico</t>
  </si>
  <si>
    <t>Nueva consulta definirá instalación de parques solares en Nopala</t>
  </si>
  <si>
    <t>Iniciará Sebiso segunda entrega de tarjetas a personas cuidadoras</t>
  </si>
  <si>
    <t>Apoyo a personas cuidadoras</t>
  </si>
  <si>
    <t>Localizan cinco cuerpos en fosa clandestina: Hallazgo, tras solicitud de familiares de desaparecidos: Comisión de Búsqueda</t>
  </si>
  <si>
    <t>Menchaca Salazar acompaña a Clara Brugada en Segundo Informe de Actividades</t>
  </si>
  <si>
    <t>Asistencia a informe</t>
  </si>
  <si>
    <t>Gobierno de Hidalgo y agrupaciones religiosas suman esfuerzos por la paz</t>
  </si>
  <si>
    <t>Asuntos religiosos</t>
  </si>
  <si>
    <t>Jorge Reyes acompaña prácticas de conducción responsable para fortalecer la seguridad vial en Pachuca</t>
  </si>
  <si>
    <t>Tezontepec de Aldama realiza primer taller de participación social para el ordenamiento ecológico</t>
  </si>
  <si>
    <t>Ordenamiento ecológico</t>
  </si>
  <si>
    <t>360 millones de pesos en apoyos para familias en situación de emergencia: Es por ti</t>
  </si>
  <si>
    <t>Julión Álvarez arrasa en el Palenque; La Changa y los Jrs. llenaron de baile la feria</t>
  </si>
  <si>
    <t>Destaca Carlos Henkel proyectos insignia y apoyos a la competitividad en Hidalgo</t>
  </si>
  <si>
    <t>Complejo Hidalgo Honesto fortalece la vigilancia del dinero público: Contraloría</t>
  </si>
  <si>
    <t>Natividad Castrejón entregó nuevos espacios educativos en beneficio de estudiantes de Alfajayucan</t>
  </si>
  <si>
    <t>Entrega de infraestructura escolar</t>
  </si>
  <si>
    <t>Jorge Reyes acompaña prácticas de conducción responsable</t>
  </si>
  <si>
    <t>Recuerda: la detección temprana salva vidas</t>
  </si>
  <si>
    <t>318 familias con personas con discapacidad recibieron proyectos productivos: Es por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</si>
</sst>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1"/>
      </right>
      <top style="thin">
        <color theme="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0" xfId="0" applyAlignment="1">
      <alignment wrapText="1"/>
    </xf>
    <xf numFmtId="0" fontId="1" fillId="2" borderId="5" xfId="0" applyFont="1" applyFill="1" applyBorder="1"/>
    <xf numFmtId="0" fontId="1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0" fillId="0" borderId="6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alignment horizontal="general" vertical="bottom" textRotation="0" wrapText="1" indent="0" justifyLastLine="0" shrinkToFit="0" readingOrder="0"/>
    </dxf>
    <dxf>
      <numFmt numFmtId="164" formatCode="d/m/yy;@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Villeda Velazquez" refreshedDate="46309.399708912038" createdVersion="8" refreshedVersion="8" minRefreshableVersion="3" recordCount="64" xr:uid="{24068B4B-A6D0-4CBB-8A00-540654793919}">
  <cacheSource type="worksheet">
    <worksheetSource name="Tabla1"/>
  </cacheSource>
  <cacheFields count="10">
    <cacheField name="Fecha" numFmtId="164">
      <sharedItems containsSemiMixedTypes="0" containsNonDate="0" containsDate="1" containsString="0" minDate="2026-10-14T00:00:00" maxDate="2026-10-15T00:00:00"/>
    </cacheField>
    <cacheField name="Medio" numFmtId="0">
      <sharedItems count="10">
        <s v="El Sol de Hidalgo"/>
        <s v="El Universal Hidalgo"/>
        <s v="Criterio"/>
        <s v="Milenio Hidalgo"/>
        <s v="La Jornada Hidalgo"/>
        <s v="Síntesis"/>
        <s v="Plaza Juárez"/>
        <s v="Effetá"/>
        <s v="Marfeca"/>
        <s v="Pachuca Brilla"/>
      </sharedItems>
    </cacheField>
    <cacheField name="Titular" numFmtId="0">
      <sharedItems longText="1"/>
    </cacheField>
    <cacheField name="Recurso editorial" numFmtId="0">
      <sharedItems count="6">
        <s v="Llamado"/>
        <s v="Foco gráfico"/>
        <s v="Ocho columnas"/>
        <s v="Editorial"/>
        <s v="Cintillo"/>
        <s v="Publicidad"/>
      </sharedItems>
    </cacheField>
    <cacheField name="Dependencia" numFmtId="0">
      <sharedItems/>
    </cacheField>
    <cacheField name="Organismo" numFmtId="0">
      <sharedItems/>
    </cacheField>
    <cacheField name="Tema" numFmtId="0">
      <sharedItems/>
    </cacheField>
    <cacheField name="Estatus" numFmtId="0">
      <sharedItems/>
    </cacheField>
    <cacheField name="Grupo" numFmtId="0">
      <sharedItems/>
    </cacheField>
    <cacheField name="Nivel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6-10-14T00:00:00"/>
    <x v="0"/>
    <s v="Acumula Hidalgo 160 homicidios dolosos"/>
    <x v="0"/>
    <s v="Presidencia"/>
    <s v="Presidencia"/>
    <s v="Incidencia Delictiva"/>
    <s v="Informativa"/>
    <s v="Presidencia de la República"/>
    <s v="Otros"/>
  </r>
  <r>
    <d v="2026-10-14T00:00:00"/>
    <x v="0"/>
    <s v="Estiman entrega de viviendas en diciembre"/>
    <x v="0"/>
    <s v="Presidencia"/>
    <s v="Infonavit"/>
    <s v="Plan Nacional De Vivienda"/>
    <s v="Informativa"/>
    <s v="Presidencia de la República"/>
    <s v="Otros"/>
  </r>
  <r>
    <d v="2026-10-14T00:00:00"/>
    <x v="0"/>
    <s v="Se manifiestan en contra de ajuste salarial"/>
    <x v="1"/>
    <s v="Presidencia"/>
    <s v="IMSS"/>
    <s v="Protesta sindical"/>
    <s v="Negativa"/>
    <s v="Presidencia de la República"/>
    <s v="Otros"/>
  </r>
  <r>
    <d v="2026-10-14T00:00:00"/>
    <x v="0"/>
    <s v="Aumenta 96% ingreso propio"/>
    <x v="0"/>
    <s v="Hacienda"/>
    <s v="Titular"/>
    <s v="Comparecencias"/>
    <s v="Positiva"/>
    <s v="Gobierno del estado"/>
    <s v="Gabinete"/>
  </r>
  <r>
    <d v="2026-10-14T00:00:00"/>
    <x v="0"/>
    <s v="Por viaje en tren, no pagarían más de $100"/>
    <x v="2"/>
    <s v="Presidencia"/>
    <s v="SICT"/>
    <s v="Tren AIFA"/>
    <s v="Positiva"/>
    <s v="Presidencia de la República"/>
    <s v="Otros"/>
  </r>
  <r>
    <d v="2026-10-14T00:00:00"/>
    <x v="0"/>
    <s v="Delincuencia da nuevo uso al aceite comestible"/>
    <x v="0"/>
    <s v="Otros"/>
    <s v="Otros"/>
    <s v="Temas varios"/>
    <s v="Informativa"/>
    <s v="Otros"/>
    <s v="Otros"/>
  </r>
  <r>
    <d v="2026-10-14T00:00:00"/>
    <x v="1"/>
    <s v="Destacan estudiantes en Olimpiada de Informática"/>
    <x v="1"/>
    <s v="SEPH"/>
    <s v="SEPH"/>
    <s v="Olimpiada de informática"/>
    <s v="Positiva"/>
    <s v="Gobierno del estado"/>
    <s v="Gabinete"/>
  </r>
  <r>
    <d v="2026-10-14T00:00:00"/>
    <x v="1"/>
    <s v="Crecen 96% recursos propios en la entidad"/>
    <x v="2"/>
    <s v="Hacienda"/>
    <s v="Titular"/>
    <s v="Comparecencias"/>
    <s v="Positiva"/>
    <s v="Gobierno del estado"/>
    <s v="Gabinete"/>
  </r>
  <r>
    <d v="2026-10-14T00:00:00"/>
    <x v="1"/>
    <s v="Homicidios dolosos bajan 52% en 2 años: Sheinbaum"/>
    <x v="0"/>
    <s v="Presidencia"/>
    <s v="Presidencia"/>
    <s v="Incidencia Delictiva"/>
    <s v="Positiva"/>
    <s v="Presidencia de la República"/>
    <s v="Otros"/>
  </r>
  <r>
    <d v="2026-10-14T00:00:00"/>
    <x v="1"/>
    <s v="Estiman ahorro de 238 mdp"/>
    <x v="0"/>
    <s v="Ayuntamiento"/>
    <s v="Ayuntamiento"/>
    <s v="Reforma a contrataciones municipales"/>
    <s v="Informativa"/>
    <s v="Alcaldías"/>
    <s v="Otros"/>
  </r>
  <r>
    <d v="2026-10-14T00:00:00"/>
    <x v="1"/>
    <s v="Reprueban en turismo a Real del Monte"/>
    <x v="0"/>
    <s v="Turismo"/>
    <s v="Titular"/>
    <s v="Comparecencias"/>
    <s v="Negativa"/>
    <s v="Gobierno del estado"/>
    <s v="Gabinete"/>
  </r>
  <r>
    <d v="2026-10-14T00:00:00"/>
    <x v="1"/>
    <s v="Van 50 municipios en bloque vs reforma a cabildos"/>
    <x v="0"/>
    <s v="Ayuntamiento"/>
    <s v="Regidor"/>
    <s v="Reforma a contrataciones municipales"/>
    <s v="Informativa"/>
    <s v="Alcaldías"/>
    <s v="Otros"/>
  </r>
  <r>
    <d v="2026-10-14T00:00:00"/>
    <x v="2"/>
    <s v="Desploman la esperanza"/>
    <x v="0"/>
    <s v="Otros"/>
    <s v="Otros"/>
    <s v="Deportes"/>
    <s v="Informativa"/>
    <s v="Otros"/>
    <s v="Otros"/>
  </r>
  <r>
    <d v="2026-10-14T00:00:00"/>
    <x v="2"/>
    <s v="Los grandes marcan el paso en la Champions"/>
    <x v="0"/>
    <s v="Otros"/>
    <s v="Otros"/>
    <s v="Deportes"/>
    <s v="Informativa"/>
    <s v="Otros"/>
    <s v="Otros"/>
  </r>
  <r>
    <d v="2026-10-14T00:00:00"/>
    <x v="2"/>
    <s v="Casas del Bienestar: Hidalgo donará a la Federación predios"/>
    <x v="2"/>
    <s v="Presidencia"/>
    <s v="Presidencia"/>
    <s v="Plan Nacional De Vivienda"/>
    <s v="Informativa"/>
    <s v="Presidencia de la República"/>
    <s v="Otros"/>
  </r>
  <r>
    <d v="2026-10-14T00:00:00"/>
    <x v="2"/>
    <s v="Alma Carolina Viggiano acusa estrategia para desprestigiarla"/>
    <x v="0"/>
    <s v="Aspirantes"/>
    <s v="Viggiano"/>
    <s v="Enriquecimiento ilícito"/>
    <s v="Informativa"/>
    <s v="Sucesión gubernamental"/>
    <s v="Otros"/>
  </r>
  <r>
    <d v="2026-10-14T00:00:00"/>
    <x v="2"/>
    <s v="Siguen pendientes recursos para los afectados por la vaguada de 2025"/>
    <x v="0"/>
    <s v="Hacienda"/>
    <s v="Titular"/>
    <s v="Comparecencias"/>
    <s v="Informativa"/>
    <s v="Gobierno del estado"/>
    <s v="Gabinete"/>
  </r>
  <r>
    <d v="2026-10-14T00:00:00"/>
    <x v="2"/>
    <s v="Movilización del IMSS reúne a más de 1,500 trabajadores"/>
    <x v="1"/>
    <s v="Presidencia"/>
    <s v="IMSS"/>
    <s v="Protesta sindical"/>
    <s v="Negativa"/>
    <s v="Presidencia de la República"/>
    <s v="Otros"/>
  </r>
  <r>
    <d v="2026-10-14T00:00:00"/>
    <x v="2"/>
    <s v="Julio Soto levanta la mano: Buscará el ayuntamiento de Tulancingo en 2027"/>
    <x v="0"/>
    <s v="Otros"/>
    <s v="Otros"/>
    <s v="Aspirantes"/>
    <s v="Informativa"/>
    <s v="Otros"/>
    <s v="Otros"/>
  </r>
  <r>
    <d v="2026-10-14T00:00:00"/>
    <x v="3"/>
    <s v="Despresurizan al Poder Judicial con 40% de asuntos a mediación"/>
    <x v="2"/>
    <s v="TSJEH"/>
    <s v="Titular"/>
    <s v="Procuración de Justicia"/>
    <s v="Positiva"/>
    <s v="Otros"/>
    <s v="Otros"/>
  </r>
  <r>
    <d v="2026-10-14T00:00:00"/>
    <x v="3"/>
    <s v="Stephen King cierra ciclo con Carrie en serie"/>
    <x v="0"/>
    <s v="Otros"/>
    <s v="Otros"/>
    <s v="Temas varios"/>
    <s v="Informativa"/>
    <s v="Otros"/>
    <s v="Otros"/>
  </r>
  <r>
    <d v="2026-10-14T00:00:00"/>
    <x v="3"/>
    <s v="Goza Hidalgo de estabilidad y finanzas sanas"/>
    <x v="1"/>
    <s v="Hacienda"/>
    <s v="Titular"/>
    <s v="Comparecencias"/>
    <s v="Positiva"/>
    <s v="Gobierno del estado"/>
    <s v="Gabinete"/>
  </r>
  <r>
    <d v="2026-10-14T00:00:00"/>
    <x v="3"/>
    <s v="Río de las Avenidas: Prevén que la ampliación costará $500 millones"/>
    <x v="0"/>
    <s v="Sipdus"/>
    <s v="Sipdus"/>
    <s v="Rehabilitación Vial"/>
    <s v="Informativa"/>
    <s v="Gobierno del estado"/>
    <s v="Gabinete"/>
  </r>
  <r>
    <d v="2026-10-14T00:00:00"/>
    <x v="3"/>
    <s v="Instalan 556 nuevas cámaras para vigilar la ciudad"/>
    <x v="0"/>
    <s v="Ayuntamiento"/>
    <s v="Alcalde"/>
    <s v="Videovigilancia"/>
    <s v="Informativa"/>
    <s v="Alcaldías"/>
    <s v="Otros"/>
  </r>
  <r>
    <d v="2026-10-14T00:00:00"/>
    <x v="3"/>
    <s v="La FGR dobla recompensas por capos y proyectan seis nuevos penales en el país"/>
    <x v="0"/>
    <s v="Presidencia"/>
    <s v="FGR"/>
    <s v="Combate a la delincuencia"/>
    <s v="Informativa"/>
    <s v="Presidencia de la República"/>
    <s v="Otros"/>
  </r>
  <r>
    <d v="2026-10-14T00:00:00"/>
    <x v="3"/>
    <s v="Infraestructura y vivienda: Espera Claudia inversión por 8.4 biilones de pesos"/>
    <x v="0"/>
    <s v="Presidencia"/>
    <s v="Presidencia"/>
    <s v="Proyectos Federales"/>
    <s v="Informativa"/>
    <s v="Presidencia de la República"/>
    <s v="Otros"/>
  </r>
  <r>
    <d v="2026-10-14T00:00:00"/>
    <x v="3"/>
    <s v="Agrupaciones variopintas se unen a trabajadores del IMSS"/>
    <x v="0"/>
    <s v="Presidencia"/>
    <s v="IMSS"/>
    <s v="Protesta sindical"/>
    <s v="Negativa"/>
    <s v="Presidencia de la República"/>
    <s v="Otros"/>
  </r>
  <r>
    <d v="2026-10-14T00:00:00"/>
    <x v="3"/>
    <s v="Fideicomiso del Polo de desarrollo de Zapotlán para el mes de octubre"/>
    <x v="0"/>
    <s v="Sedeco"/>
    <s v="Sedeco"/>
    <s v="Polos del Bienestar"/>
    <s v="Positiva"/>
    <s v="Gobierno del estado"/>
    <s v="Gabinete"/>
  </r>
  <r>
    <d v="2026-10-14T00:00:00"/>
    <x v="4"/>
    <s v="Asignan 800 mdp para obras que atiendan daños por la vaguada"/>
    <x v="2"/>
    <s v="Hacienda"/>
    <s v="Titular"/>
    <s v="Comparecencias"/>
    <s v="Positiva"/>
    <s v="Gobierno del estado"/>
    <s v="Gabinete"/>
  </r>
  <r>
    <d v="2026-10-14T00:00:00"/>
    <x v="4"/>
    <s v="Puntual, comparecencia de García Harfuch: Ochoa"/>
    <x v="1"/>
    <s v="Aspirantes"/>
    <s v="Ochoa"/>
    <s v="Comparecencias"/>
    <s v="Informativa"/>
    <s v="Sucesión gubernamental"/>
    <s v="Otros"/>
  </r>
  <r>
    <d v="2026-10-14T00:00:00"/>
    <x v="4"/>
    <s v="NINDE MOLRE: La protesta  nunca debe ser leída de  forma aislada, todas sus  manifestaciones tienen un origen anterior,  en el que la mayoría de las veces las  autoridades han sido omisas o deficientes  frente a esa problemática mayor que nos  impacta a todas las personas”."/>
    <x v="0"/>
    <s v="Otros"/>
    <s v="Otros"/>
    <s v="Omisión"/>
    <s v="Informativa"/>
    <s v="Otros"/>
    <s v="Otros"/>
  </r>
  <r>
    <d v="2026-10-14T00:00:00"/>
    <x v="4"/>
    <s v="Harfuch captura a más de 70 mil"/>
    <x v="0"/>
    <s v="Presidencia"/>
    <s v="Seguridad Ciudadana"/>
    <s v="Combate a la delincuencia"/>
    <s v="Informativa"/>
    <s v="Presidencia de la República"/>
    <s v="Otros"/>
  </r>
  <r>
    <d v="2026-10-14T00:00:00"/>
    <x v="4"/>
    <s v="Personal del IMSS sale a las calles por cuarta ocasión"/>
    <x v="0"/>
    <s v="Presidencia"/>
    <s v="IMSS"/>
    <s v="Protesta sindical"/>
    <s v="Negativa"/>
    <s v="Presidencia de la República"/>
    <s v="Otros"/>
  </r>
  <r>
    <d v="2026-10-14T00:00:00"/>
    <x v="5"/>
    <s v="Marchan en Pachuca más de mil trabajadores del IMSS contra aumento salarial de 2.9%"/>
    <x v="2"/>
    <s v="Gobierno"/>
    <s v="Gobierno"/>
    <s v="Protesta sindical"/>
    <s v="Negativa"/>
    <s v="Gobierno del estado"/>
    <s v="Gabinete"/>
  </r>
  <r>
    <d v="2026-10-14T00:00:00"/>
    <x v="5"/>
    <s v="A un año de la vaguada, Hidalgo ejecuta el 82% de recursos estatales para reconstrucción"/>
    <x v="0"/>
    <s v="Hacienda"/>
    <s v="Titular"/>
    <s v="Comparecencias"/>
    <s v="Informativa"/>
    <s v="Gobierno del estado"/>
    <s v="Gabinete"/>
  </r>
  <r>
    <d v="2026-10-14T00:00:00"/>
    <x v="5"/>
    <s v="Hidalgo registra reducción del 30.1% en homicidios dolosos"/>
    <x v="0"/>
    <s v="Presidencia"/>
    <s v="Presidencia"/>
    <s v="Incidencia Delictiva"/>
    <s v="Positiva"/>
    <s v="Presidencia de la República"/>
    <s v="Otros"/>
  </r>
  <r>
    <d v="2026-10-14T00:00:00"/>
    <x v="5"/>
    <s v="Jorge Reyes supervisa funcionamiento de cámaras de videovigilancia en La Loma"/>
    <x v="0"/>
    <s v="Ayuntamiento"/>
    <s v="Alcalde"/>
    <s v="Videovigilancia"/>
    <s v="Informativa"/>
    <s v="Alcaldías"/>
    <s v="Otros"/>
  </r>
  <r>
    <d v="2026-10-14T00:00:00"/>
    <x v="6"/>
    <s v="Ingresos propios de Hidalgo crecieron 96 por ciento: Secretaría de Hacienda"/>
    <x v="2"/>
    <s v="Hacienda"/>
    <s v="Titular"/>
    <s v="Comparecencias"/>
    <s v="Positiva"/>
    <s v="Gobierno del estado"/>
    <s v="Gabinete"/>
  </r>
  <r>
    <d v="2026-10-14T00:00:00"/>
    <x v="6"/>
    <s v="En dos años, los homicidios dolosos en México disminuyeron un 52%"/>
    <x v="0"/>
    <s v="Presidencia"/>
    <s v="Presidencia"/>
    <s v="Incidencia Delictiva"/>
    <s v="Positiva"/>
    <s v="Presidencia de la República"/>
    <s v="Otros"/>
  </r>
  <r>
    <d v="2026-10-14T00:00:00"/>
    <x v="6"/>
    <s v="Es doloroso y vergonzoso  que los médicos tengan  que salir a las calles a pedir  medicamentos y  equipamiento y  peor que no sean  escuchados por la  federación…"/>
    <x v="3"/>
    <s v="Presidencia"/>
    <s v="IMSS"/>
    <s v="Protesta sindical"/>
    <s v="Negativa"/>
    <s v="Presidencia de la República"/>
    <s v="Otros"/>
  </r>
  <r>
    <d v="2026-10-14T00:00:00"/>
    <x v="6"/>
    <s v="Trabajadores del IMSS exigen mejores condiciones laborales"/>
    <x v="0"/>
    <s v="Presidencia"/>
    <s v="IMSS"/>
    <s v="Protesta sindical"/>
    <s v="Negativa"/>
    <s v="Presidencia de la República"/>
    <s v="Otros"/>
  </r>
  <r>
    <d v="2026-10-14T00:00:00"/>
    <x v="6"/>
    <s v="Primera condena por violencia vicaria en Hidalgo"/>
    <x v="0"/>
    <s v="TSJEH"/>
    <s v="TSJEH"/>
    <s v="Violencia Vicaria"/>
    <s v="Positiva"/>
    <s v="Otros"/>
    <s v="Otros"/>
  </r>
  <r>
    <d v="2026-10-14T00:00:00"/>
    <x v="7"/>
    <s v="Hidalgo, entre los 5 estados con mejor manejo de deuda pública"/>
    <x v="2"/>
    <s v="Hacienda"/>
    <s v="Titular"/>
    <s v="Comparecencias"/>
    <s v="Informativa"/>
    <s v="Gobierno del estado"/>
    <s v="Gabinete"/>
  </r>
  <r>
    <d v="2026-10-14T00:00:00"/>
    <x v="7"/>
    <s v="IMSS protagoniza tercera protesta en Pachuca"/>
    <x v="1"/>
    <s v="Presidencia"/>
    <s v="IMSS"/>
    <s v="Protesta sindical"/>
    <s v="Negativa"/>
    <s v="Presidencia de la República"/>
    <s v="Otros"/>
  </r>
  <r>
    <d v="2026-10-14T00:00:00"/>
    <x v="7"/>
    <s v="Andrés Velázquez reconoce interés electoral entre diputados"/>
    <x v="0"/>
    <s v="Congreso"/>
    <s v="Junta de Gobierno"/>
    <s v="Aspirantes"/>
    <s v="Informativa"/>
    <s v="Otros"/>
    <s v="Otros"/>
  </r>
  <r>
    <d v="2026-10-14T00:00:00"/>
    <x v="7"/>
    <s v="Real del Monte, el pueblo mágico peor calificado de Hidalgo"/>
    <x v="0"/>
    <s v="Turismo"/>
    <s v="Titular"/>
    <s v="Comparecencias"/>
    <s v="Informativa"/>
    <s v="Gobierno del estado"/>
    <s v="Gabinete"/>
  </r>
  <r>
    <d v="2026-10-14T00:00:00"/>
    <x v="7"/>
    <s v="Instalan nuevas cámaras de vigilancia en La Loma"/>
    <x v="0"/>
    <s v="Ayuntamiento"/>
    <s v="Alcalde"/>
    <s v="Videovigilancia"/>
    <s v="Informativa"/>
    <s v="Alcaldías"/>
    <s v="Otros"/>
  </r>
  <r>
    <d v="2026-10-14T00:00:00"/>
    <x v="7"/>
    <s v="Hidalgo reduce 30.1% los homicidios dolosos"/>
    <x v="0"/>
    <s v="Presidencia"/>
    <s v="Presidencia"/>
    <s v="Incidencia Delictiva"/>
    <s v="Positiva"/>
    <s v="Presidencia de la República"/>
    <s v="Otros"/>
  </r>
  <r>
    <d v="2026-10-14T00:00:00"/>
    <x v="8"/>
    <s v="2 lesionados tras accidentar 4 vehículos en la Jorobas-Tula"/>
    <x v="4"/>
    <s v="Otros"/>
    <s v="Otros"/>
    <s v="Accidente Carretero"/>
    <s v="Informativa"/>
    <s v="Otros"/>
    <s v="Otros"/>
  </r>
  <r>
    <d v="2026-10-14T00:00:00"/>
    <x v="8"/>
    <s v="Hidalgo vive un momento histórico: finanzas sólidas e inversión récord"/>
    <x v="0"/>
    <s v="Hacienda"/>
    <s v="Titular"/>
    <s v="Comparecencias"/>
    <s v="Positiva"/>
    <s v="Gobierno del estado"/>
    <s v="Gabinete"/>
  </r>
  <r>
    <d v="2026-10-14T00:00:00"/>
    <x v="8"/>
    <s v="El Vaticano confirma que el Papa León XIV padece cáncer de pulmón"/>
    <x v="2"/>
    <s v="Otros"/>
    <s v="Otros"/>
    <s v="Temas internacionales"/>
    <s v="Informativa"/>
    <s v="Otros"/>
    <s v="Otros"/>
  </r>
  <r>
    <d v="2026-10-14T00:00:00"/>
    <x v="8"/>
    <s v="Diálogo abierto y atención directa con la ciudadanía en la Mesa de Seguridad de Tenango de Doria"/>
    <x v="0"/>
    <s v="Segobh"/>
    <s v="Titular"/>
    <s v="Mesas de acercamiento"/>
    <s v="Positiva"/>
    <s v="Gobierno del estado"/>
    <s v="Gabinete"/>
  </r>
  <r>
    <d v="2026-10-14T00:00:00"/>
    <x v="8"/>
    <s v="Nuevas cámaras de videovigilancia en La Loma, Pachuca; Jorge Reyes supervisa su funcionamiento"/>
    <x v="0"/>
    <s v="Ayuntamiento"/>
    <s v="Alcalde"/>
    <s v="Videovigilancia"/>
    <s v="Informativa"/>
    <s v="Alcaldías"/>
    <s v="Otros"/>
  </r>
  <r>
    <d v="2026-10-14T00:00:00"/>
    <x v="8"/>
    <s v="Hidalgo fortalece la atención a la infancia desde sus primeros años de vida"/>
    <x v="0"/>
    <s v="SSH"/>
    <s v="titul"/>
    <s v="Atención médica"/>
    <s v="Positiva"/>
    <s v="Gobierno del estado"/>
    <s v="Gabinete"/>
  </r>
  <r>
    <d v="2026-10-14T00:00:00"/>
    <x v="8"/>
    <s v="Desde Molango continúa la nueva historia del magisterio con encuentro de jubilados del SNTE"/>
    <x v="0"/>
    <s v="Otros"/>
    <s v="Otros"/>
    <s v="Reunión con sindicato"/>
    <s v="Informativa"/>
    <s v="Otros"/>
    <s v="Otros"/>
  </r>
  <r>
    <d v="2026-10-14T00:00:00"/>
    <x v="8"/>
    <s v="Marchan nuevamente trabajadores del IMSS en Pachuca; exigen destitución de líder sindical"/>
    <x v="0"/>
    <s v="Presidencia"/>
    <s v="IMSS"/>
    <s v="Protesta sindical"/>
    <s v="Negativa"/>
    <s v="Presidencia de la República"/>
    <s v="Otros"/>
  </r>
  <r>
    <d v="2026-10-14T00:00:00"/>
    <x v="8"/>
    <s v="25 años Pueblos Mágicos"/>
    <x v="5"/>
    <s v="Turismo"/>
    <s v="Turismo"/>
    <s v="Pueblos Mágicos"/>
    <s v="Informativa"/>
    <s v="Gobierno del estado"/>
    <s v="Gabinete"/>
  </r>
  <r>
    <d v="2026-10-14T00:00:00"/>
    <x v="9"/>
    <s v="Nuevas cámaras de videovigilancia en La Loma, Pachuca; Jorge Reyes supervisa su funcionamiento"/>
    <x v="2"/>
    <s v="Ayuntamiento"/>
    <s v="Alcalde"/>
    <s v="Videovigilancia"/>
    <s v="Informativa"/>
    <s v="Alcaldías"/>
    <s v="Otros"/>
  </r>
  <r>
    <d v="2026-10-14T00:00:00"/>
    <x v="9"/>
    <s v="Todo listo para Pachuca Rock Fest en su nueva sede"/>
    <x v="0"/>
    <s v="Otros"/>
    <s v="Otros"/>
    <s v="Cartelera De Eventos"/>
    <s v="Informativa"/>
    <s v="Otros"/>
    <s v="Otros"/>
  </r>
  <r>
    <d v="2026-10-14T00:00:00"/>
    <x v="9"/>
    <s v="Talento hidalguense destaca en las Olimpiadas Mexicanas de Informática 2026"/>
    <x v="0"/>
    <s v="SEPH"/>
    <s v="SEPH"/>
    <s v="Olimpiada de informática"/>
    <s v="Positiva"/>
    <s v="Gobierno del estado"/>
    <s v="Gabinete"/>
  </r>
  <r>
    <d v="2026-10-14T00:00:00"/>
    <x v="9"/>
    <s v="Hidlago vive un momento histórico con finanzas sólidas e inversión récord: Hacienda"/>
    <x v="0"/>
    <s v="Hacienda"/>
    <s v="Titular"/>
    <s v="Comparecencias"/>
    <s v="Positiva"/>
    <s v="Gobierno del estado"/>
    <s v="Gabinete"/>
  </r>
  <r>
    <d v="2026-10-14T00:00:00"/>
    <x v="9"/>
    <s v="ariana Seoane y La Casetera hicieron bailar a la feria"/>
    <x v="0"/>
    <s v="Turismo"/>
    <s v="OEEH"/>
    <s v="Feria Pachuca"/>
    <s v="Positiva"/>
    <s v="Gobierno del estado"/>
    <s v="Gabinete"/>
  </r>
  <r>
    <d v="2026-10-14T00:00:00"/>
    <x v="9"/>
    <s v="61 niñas, niños y adolescentes encontraron un hogar a través de la adopción"/>
    <x v="5"/>
    <s v="DIFH"/>
    <s v="DIFH"/>
    <s v="Informe de actividades"/>
    <s v="Informativa"/>
    <s v="Gobierno del estado"/>
    <s v="Gabinete"/>
  </r>
  <r>
    <d v="2026-10-14T00:00:00"/>
    <x v="9"/>
    <s v="Recuerda: La detección temprana salva vidas"/>
    <x v="0"/>
    <s v="Ayuntamiento"/>
    <s v="Ayuntamiento"/>
    <s v="Prevención cáncer de mama"/>
    <s v="Informativa"/>
    <s v="Alcaldías"/>
    <s v="Otr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ED8E4-C61E-4489-B373-2D4A90347DB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45" firstHeaderRow="1" firstDataRow="1" firstDataCol="1"/>
  <pivotFields count="10">
    <pivotField numFmtId="164" showAll="0"/>
    <pivotField axis="axisRow" showAll="0">
      <items count="11">
        <item x="2"/>
        <item x="0"/>
        <item x="1"/>
        <item x="4"/>
        <item x="8"/>
        <item x="3"/>
        <item x="6"/>
        <item x="5"/>
        <item x="7"/>
        <item x="9"/>
        <item t="default"/>
      </items>
    </pivotField>
    <pivotField showAll="0"/>
    <pivotField axis="axisRow" dataField="1"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41">
    <i>
      <x/>
    </i>
    <i r="1">
      <x v="2"/>
    </i>
    <i r="1">
      <x v="3"/>
    </i>
    <i r="1">
      <x v="4"/>
    </i>
    <i>
      <x v="1"/>
    </i>
    <i r="1">
      <x v="2"/>
    </i>
    <i r="1">
      <x v="3"/>
    </i>
    <i r="1">
      <x v="4"/>
    </i>
    <i>
      <x v="2"/>
    </i>
    <i r="1">
      <x v="2"/>
    </i>
    <i r="1">
      <x v="3"/>
    </i>
    <i r="1">
      <x v="4"/>
    </i>
    <i>
      <x v="3"/>
    </i>
    <i r="1">
      <x v="2"/>
    </i>
    <i r="1">
      <x v="3"/>
    </i>
    <i r="1">
      <x v="4"/>
    </i>
    <i>
      <x v="4"/>
    </i>
    <i r="1">
      <x/>
    </i>
    <i r="1">
      <x v="3"/>
    </i>
    <i r="1">
      <x v="4"/>
    </i>
    <i r="1">
      <x v="5"/>
    </i>
    <i>
      <x v="5"/>
    </i>
    <i r="1">
      <x v="2"/>
    </i>
    <i r="1">
      <x v="3"/>
    </i>
    <i r="1">
      <x v="4"/>
    </i>
    <i>
      <x v="6"/>
    </i>
    <i r="1">
      <x v="1"/>
    </i>
    <i r="1">
      <x v="3"/>
    </i>
    <i r="1">
      <x v="4"/>
    </i>
    <i>
      <x v="7"/>
    </i>
    <i r="1">
      <x v="3"/>
    </i>
    <i r="1">
      <x v="4"/>
    </i>
    <i>
      <x v="8"/>
    </i>
    <i r="1">
      <x v="2"/>
    </i>
    <i r="1">
      <x v="3"/>
    </i>
    <i r="1">
      <x v="4"/>
    </i>
    <i>
      <x v="9"/>
    </i>
    <i r="1">
      <x v="3"/>
    </i>
    <i r="1">
      <x v="4"/>
    </i>
    <i r="1">
      <x v="5"/>
    </i>
    <i t="grand">
      <x/>
    </i>
  </rowItems>
  <colItems count="1">
    <i/>
  </colItems>
  <dataFields count="1">
    <dataField name="Cuenta de Recurso editori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3606E-308D-4113-AE3C-6E714B763B6E}" name="Tabla1" displayName="Tabla1" ref="A1:J64" totalsRowShown="0" headerRowDxfId="7" headerRowBorderDxfId="6">
  <autoFilter ref="A1:J64" xr:uid="{5593606E-308D-4113-AE3C-6E714B763B6E}"/>
  <tableColumns count="10">
    <tableColumn id="1" xr3:uid="{9D9ACAF2-1710-400E-A0E5-0A5BB378D4A0}" name="Fecha" dataDxfId="5"/>
    <tableColumn id="2" xr3:uid="{03A139BE-A997-45E6-81E6-5F7467162FC5}" name="Medio"/>
    <tableColumn id="3" xr3:uid="{4CA37DD5-010E-43EE-907D-87C1845DB2AB}" name="Titular" dataDxfId="4"/>
    <tableColumn id="4" xr3:uid="{1E763E28-25D7-4FE7-AD1A-91C7A0FE0E7A}" name="Recurso editorial"/>
    <tableColumn id="5" xr3:uid="{F8C19AF2-6D19-449B-9F8B-6424964B1BCF}" name="Dependencia"/>
    <tableColumn id="6" xr3:uid="{46DF0510-7A9A-4625-979E-4EBC30CC7AA3}" name="Organismo"/>
    <tableColumn id="7" xr3:uid="{0346BCE5-FC3A-4C2D-AD63-638130FA44B5}" name="Tema"/>
    <tableColumn id="8" xr3:uid="{856528EE-30CD-49DE-A952-541B9C188AD4}" name="Estatus"/>
    <tableColumn id="9" xr3:uid="{7C008830-8647-4095-A4E2-1C816D51B364}" name="Grupo">
      <calculatedColumnFormula>_xlfn.XLOOKUP(Tabla1[[#This Row],[Dependencia]],Tabla2[Dependencia],Tabla2[Clasificación],"XXX",0)</calculatedColumnFormula>
    </tableColumn>
    <tableColumn id="10" xr3:uid="{1D518E9C-586D-449F-BCFC-7A0ACD0D0C7F}" name="Nivel">
      <calculatedColumnFormula>_xlfn.XLOOKUP(Tabla1[[#This Row],[Dependencia]],Tabla3[Dependencia],Tabla3[Nivel],"Otros",0)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4FD058-EAFD-43DC-A6D6-05775ECA6C1B}" name="Tabla2" displayName="Tabla2" ref="A1:B49" totalsRowShown="0">
  <autoFilter ref="A1:B49" xr:uid="{E94FD058-EAFD-43DC-A6D6-05775ECA6C1B}"/>
  <sortState xmlns:xlrd2="http://schemas.microsoft.com/office/spreadsheetml/2017/richdata2" ref="A2:B48">
    <sortCondition ref="A1:A48"/>
  </sortState>
  <tableColumns count="2">
    <tableColumn id="1" xr3:uid="{93B0A253-FCC3-494E-8F5B-B579F2FA8B2F}" name="Dependencia"/>
    <tableColumn id="2" xr3:uid="{BEA478F0-1142-489E-85D3-F5715BB2214A}" name="Clas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AFAA35-C663-4971-9820-992B55167F9C}" name="Tabla3" displayName="Tabla3" ref="D1:E27" totalsRowShown="0" tableBorderDxfId="3">
  <autoFilter ref="D1:E27" xr:uid="{80AFAA35-C663-4971-9820-992B55167F9C}"/>
  <sortState xmlns:xlrd2="http://schemas.microsoft.com/office/spreadsheetml/2017/richdata2" ref="D2:E27">
    <sortCondition ref="D1:D27"/>
  </sortState>
  <tableColumns count="2">
    <tableColumn id="1" xr3:uid="{A040A308-8C62-4D4B-B3BE-EC124A9B961C}" name="Dependencia" dataDxfId="2"/>
    <tableColumn id="2" xr3:uid="{2B2FFCF1-496A-4D37-8C8B-790A66FD9968}" name="Ni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67DB-D046-44C0-B978-386A50233412}">
  <dimension ref="A4:B45"/>
  <sheetViews>
    <sheetView topLeftCell="A16" workbookViewId="0">
      <selection activeCell="A27" sqref="A27"/>
    </sheetView>
  </sheetViews>
  <sheetFormatPr baseColWidth="10" defaultRowHeight="15" x14ac:dyDescent="0.25"/>
  <cols>
    <col min="1" max="1" width="20.85546875" bestFit="1" customWidth="1"/>
    <col min="2" max="2" width="26.5703125" bestFit="1" customWidth="1"/>
  </cols>
  <sheetData>
    <row r="4" spans="1:2" x14ac:dyDescent="0.25">
      <c r="A4" s="12" t="s">
        <v>97</v>
      </c>
      <c r="B4" t="s">
        <v>96</v>
      </c>
    </row>
    <row r="5" spans="1:2" x14ac:dyDescent="0.25">
      <c r="A5" s="13" t="s">
        <v>71</v>
      </c>
      <c r="B5">
        <v>7</v>
      </c>
    </row>
    <row r="6" spans="1:2" x14ac:dyDescent="0.25">
      <c r="A6" s="14" t="s">
        <v>9</v>
      </c>
      <c r="B6">
        <v>1</v>
      </c>
    </row>
    <row r="7" spans="1:2" x14ac:dyDescent="0.25">
      <c r="A7" s="14" t="s">
        <v>12</v>
      </c>
      <c r="B7">
        <v>5</v>
      </c>
    </row>
    <row r="8" spans="1:2" x14ac:dyDescent="0.25">
      <c r="A8" s="14" t="s">
        <v>13</v>
      </c>
      <c r="B8">
        <v>1</v>
      </c>
    </row>
    <row r="9" spans="1:2" x14ac:dyDescent="0.25">
      <c r="A9" s="13" t="s">
        <v>80</v>
      </c>
      <c r="B9">
        <v>6</v>
      </c>
    </row>
    <row r="10" spans="1:2" x14ac:dyDescent="0.25">
      <c r="A10" s="14" t="s">
        <v>9</v>
      </c>
      <c r="B10">
        <v>1</v>
      </c>
    </row>
    <row r="11" spans="1:2" x14ac:dyDescent="0.25">
      <c r="A11" s="14" t="s">
        <v>12</v>
      </c>
      <c r="B11">
        <v>4</v>
      </c>
    </row>
    <row r="12" spans="1:2" x14ac:dyDescent="0.25">
      <c r="A12" s="14" t="s">
        <v>13</v>
      </c>
      <c r="B12">
        <v>1</v>
      </c>
    </row>
    <row r="13" spans="1:2" x14ac:dyDescent="0.25">
      <c r="A13" s="13" t="s">
        <v>69</v>
      </c>
      <c r="B13">
        <v>6</v>
      </c>
    </row>
    <row r="14" spans="1:2" x14ac:dyDescent="0.25">
      <c r="A14" s="14" t="s">
        <v>9</v>
      </c>
      <c r="B14">
        <v>1</v>
      </c>
    </row>
    <row r="15" spans="1:2" x14ac:dyDescent="0.25">
      <c r="A15" s="14" t="s">
        <v>12</v>
      </c>
      <c r="B15">
        <v>4</v>
      </c>
    </row>
    <row r="16" spans="1:2" x14ac:dyDescent="0.25">
      <c r="A16" s="14" t="s">
        <v>13</v>
      </c>
      <c r="B16">
        <v>1</v>
      </c>
    </row>
    <row r="17" spans="1:2" x14ac:dyDescent="0.25">
      <c r="A17" s="13" t="s">
        <v>78</v>
      </c>
      <c r="B17">
        <v>5</v>
      </c>
    </row>
    <row r="18" spans="1:2" x14ac:dyDescent="0.25">
      <c r="A18" s="14" t="s">
        <v>9</v>
      </c>
      <c r="B18">
        <v>1</v>
      </c>
    </row>
    <row r="19" spans="1:2" x14ac:dyDescent="0.25">
      <c r="A19" s="14" t="s">
        <v>12</v>
      </c>
      <c r="B19">
        <v>3</v>
      </c>
    </row>
    <row r="20" spans="1:2" x14ac:dyDescent="0.25">
      <c r="A20" s="14" t="s">
        <v>13</v>
      </c>
      <c r="B20">
        <v>1</v>
      </c>
    </row>
    <row r="21" spans="1:2" x14ac:dyDescent="0.25">
      <c r="A21" s="13" t="s">
        <v>81</v>
      </c>
      <c r="B21">
        <v>9</v>
      </c>
    </row>
    <row r="22" spans="1:2" x14ac:dyDescent="0.25">
      <c r="A22" s="14" t="s">
        <v>82</v>
      </c>
      <c r="B22">
        <v>1</v>
      </c>
    </row>
    <row r="23" spans="1:2" x14ac:dyDescent="0.25">
      <c r="A23" s="14" t="s">
        <v>12</v>
      </c>
      <c r="B23">
        <v>6</v>
      </c>
    </row>
    <row r="24" spans="1:2" x14ac:dyDescent="0.25">
      <c r="A24" s="14" t="s">
        <v>13</v>
      </c>
      <c r="B24">
        <v>1</v>
      </c>
    </row>
    <row r="25" spans="1:2" x14ac:dyDescent="0.25">
      <c r="A25" s="14" t="s">
        <v>79</v>
      </c>
      <c r="B25">
        <v>1</v>
      </c>
    </row>
    <row r="26" spans="1:2" x14ac:dyDescent="0.25">
      <c r="A26" s="13" t="s">
        <v>74</v>
      </c>
      <c r="B26">
        <v>9</v>
      </c>
    </row>
    <row r="27" spans="1:2" x14ac:dyDescent="0.25">
      <c r="A27" s="14" t="s">
        <v>9</v>
      </c>
      <c r="B27">
        <v>1</v>
      </c>
    </row>
    <row r="28" spans="1:2" x14ac:dyDescent="0.25">
      <c r="A28" s="14" t="s">
        <v>12</v>
      </c>
      <c r="B28">
        <v>7</v>
      </c>
    </row>
    <row r="29" spans="1:2" x14ac:dyDescent="0.25">
      <c r="A29" s="14" t="s">
        <v>13</v>
      </c>
      <c r="B29">
        <v>1</v>
      </c>
    </row>
    <row r="30" spans="1:2" x14ac:dyDescent="0.25">
      <c r="A30" s="13" t="s">
        <v>76</v>
      </c>
      <c r="B30">
        <v>5</v>
      </c>
    </row>
    <row r="31" spans="1:2" x14ac:dyDescent="0.25">
      <c r="A31" s="14" t="s">
        <v>92</v>
      </c>
      <c r="B31">
        <v>1</v>
      </c>
    </row>
    <row r="32" spans="1:2" x14ac:dyDescent="0.25">
      <c r="A32" s="14" t="s">
        <v>12</v>
      </c>
      <c r="B32">
        <v>3</v>
      </c>
    </row>
    <row r="33" spans="1:2" x14ac:dyDescent="0.25">
      <c r="A33" s="14" t="s">
        <v>13</v>
      </c>
      <c r="B33">
        <v>1</v>
      </c>
    </row>
    <row r="34" spans="1:2" x14ac:dyDescent="0.25">
      <c r="A34" s="13" t="s">
        <v>73</v>
      </c>
      <c r="B34">
        <v>4</v>
      </c>
    </row>
    <row r="35" spans="1:2" x14ac:dyDescent="0.25">
      <c r="A35" s="14" t="s">
        <v>12</v>
      </c>
      <c r="B35">
        <v>3</v>
      </c>
    </row>
    <row r="36" spans="1:2" x14ac:dyDescent="0.25">
      <c r="A36" s="14" t="s">
        <v>13</v>
      </c>
      <c r="B36">
        <v>1</v>
      </c>
    </row>
    <row r="37" spans="1:2" x14ac:dyDescent="0.25">
      <c r="A37" s="13" t="s">
        <v>99</v>
      </c>
      <c r="B37">
        <v>6</v>
      </c>
    </row>
    <row r="38" spans="1:2" x14ac:dyDescent="0.25">
      <c r="A38" s="14" t="s">
        <v>9</v>
      </c>
      <c r="B38">
        <v>1</v>
      </c>
    </row>
    <row r="39" spans="1:2" x14ac:dyDescent="0.25">
      <c r="A39" s="14" t="s">
        <v>12</v>
      </c>
      <c r="B39">
        <v>4</v>
      </c>
    </row>
    <row r="40" spans="1:2" x14ac:dyDescent="0.25">
      <c r="A40" s="14" t="s">
        <v>13</v>
      </c>
      <c r="B40">
        <v>1</v>
      </c>
    </row>
    <row r="41" spans="1:2" x14ac:dyDescent="0.25">
      <c r="A41" s="13" t="s">
        <v>100</v>
      </c>
      <c r="B41">
        <v>7</v>
      </c>
    </row>
    <row r="42" spans="1:2" x14ac:dyDescent="0.25">
      <c r="A42" s="14" t="s">
        <v>12</v>
      </c>
      <c r="B42">
        <v>5</v>
      </c>
    </row>
    <row r="43" spans="1:2" x14ac:dyDescent="0.25">
      <c r="A43" s="14" t="s">
        <v>13</v>
      </c>
      <c r="B43">
        <v>1</v>
      </c>
    </row>
    <row r="44" spans="1:2" x14ac:dyDescent="0.25">
      <c r="A44" s="14" t="s">
        <v>79</v>
      </c>
      <c r="B44">
        <v>1</v>
      </c>
    </row>
    <row r="45" spans="1:2" x14ac:dyDescent="0.25">
      <c r="A45" s="13" t="s">
        <v>98</v>
      </c>
      <c r="B45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D41B-EE15-4091-8762-C3A670C9D896}">
  <dimension ref="A1:J64"/>
  <sheetViews>
    <sheetView tabSelected="1" topLeftCell="A43" workbookViewId="0">
      <selection activeCell="H49" sqref="H49"/>
    </sheetView>
  </sheetViews>
  <sheetFormatPr baseColWidth="10" defaultRowHeight="15" x14ac:dyDescent="0.25"/>
  <cols>
    <col min="1" max="1" width="10.42578125" bestFit="1" customWidth="1"/>
    <col min="2" max="2" width="18.7109375" bestFit="1" customWidth="1"/>
    <col min="3" max="3" width="50.7109375" customWidth="1"/>
    <col min="4" max="4" width="18.85546875" bestFit="1" customWidth="1"/>
    <col min="5" max="5" width="15.28515625" bestFit="1" customWidth="1"/>
    <col min="6" max="6" width="14.42578125" bestFit="1" customWidth="1"/>
    <col min="7" max="7" width="27.7109375" bestFit="1" customWidth="1"/>
    <col min="8" max="8" width="11.140625" bestFit="1" customWidth="1"/>
    <col min="9" max="9" width="25.7109375" bestFit="1" customWidth="1"/>
    <col min="10" max="10" width="12.140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6" t="s">
        <v>65</v>
      </c>
    </row>
    <row r="2" spans="1:10" x14ac:dyDescent="0.25">
      <c r="A2" s="11">
        <v>46310</v>
      </c>
      <c r="B2" t="s">
        <v>80</v>
      </c>
      <c r="C2" s="5" t="s">
        <v>101</v>
      </c>
      <c r="D2" t="s">
        <v>12</v>
      </c>
      <c r="E2" t="s">
        <v>22</v>
      </c>
      <c r="F2" t="s">
        <v>22</v>
      </c>
      <c r="G2" t="s">
        <v>84</v>
      </c>
      <c r="H2" t="s">
        <v>11</v>
      </c>
      <c r="I2" t="str">
        <f>_xlfn.XLOOKUP(Tabla1[[#This Row],[Dependencia]],Tabla2[Dependencia],Tabla2[Clasificación],"XXX",0)</f>
        <v>Gobierno del estado</v>
      </c>
      <c r="J2" t="str">
        <f>_xlfn.XLOOKUP(Tabla1[[#This Row],[Dependencia]],Tabla3[Dependencia],Tabla3[Nivel],"Otros",0)</f>
        <v>Gabinete</v>
      </c>
    </row>
    <row r="3" spans="1:10" x14ac:dyDescent="0.25">
      <c r="A3" s="11">
        <v>46310</v>
      </c>
      <c r="B3" t="s">
        <v>80</v>
      </c>
      <c r="C3" s="5" t="s">
        <v>102</v>
      </c>
      <c r="D3" t="s">
        <v>12</v>
      </c>
      <c r="E3" t="s">
        <v>14</v>
      </c>
      <c r="F3" t="s">
        <v>103</v>
      </c>
      <c r="G3" t="s">
        <v>88</v>
      </c>
      <c r="H3" t="s">
        <v>68</v>
      </c>
      <c r="I3" t="str">
        <f>_xlfn.XLOOKUP(Tabla1[[#This Row],[Dependencia]],Tabla2[Dependencia],Tabla2[Clasificación],"XXX",0)</f>
        <v>Presidencia de la República</v>
      </c>
      <c r="J3" t="str">
        <f>_xlfn.XLOOKUP(Tabla1[[#This Row],[Dependencia]],Tabla3[Dependencia],Tabla3[Nivel],"Otros",0)</f>
        <v>Otros</v>
      </c>
    </row>
    <row r="4" spans="1:10" x14ac:dyDescent="0.25">
      <c r="A4" s="11">
        <v>46310</v>
      </c>
      <c r="B4" t="s">
        <v>80</v>
      </c>
      <c r="C4" s="5" t="s">
        <v>104</v>
      </c>
      <c r="D4" t="s">
        <v>12</v>
      </c>
      <c r="E4" t="s">
        <v>54</v>
      </c>
      <c r="F4" t="s">
        <v>2</v>
      </c>
      <c r="G4" t="s">
        <v>90</v>
      </c>
      <c r="H4" t="s">
        <v>72</v>
      </c>
      <c r="I4" t="str">
        <f>_xlfn.XLOOKUP(Tabla1[[#This Row],[Dependencia]],Tabla2[Dependencia],Tabla2[Clasificación],"XXX",0)</f>
        <v>Gobierno del estado</v>
      </c>
      <c r="J4" t="str">
        <f>_xlfn.XLOOKUP(Tabla1[[#This Row],[Dependencia]],Tabla3[Dependencia],Tabla3[Nivel],"Otros",0)</f>
        <v>Gabinete</v>
      </c>
    </row>
    <row r="5" spans="1:10" x14ac:dyDescent="0.25">
      <c r="A5" s="11">
        <v>46310</v>
      </c>
      <c r="B5" t="s">
        <v>80</v>
      </c>
      <c r="C5" s="5" t="s">
        <v>105</v>
      </c>
      <c r="D5" t="s">
        <v>13</v>
      </c>
      <c r="E5" t="s">
        <v>25</v>
      </c>
      <c r="F5" t="s">
        <v>25</v>
      </c>
      <c r="G5" t="s">
        <v>106</v>
      </c>
      <c r="H5" t="s">
        <v>68</v>
      </c>
      <c r="I5" t="str">
        <f>_xlfn.XLOOKUP(Tabla1[[#This Row],[Dependencia]],Tabla2[Dependencia],Tabla2[Clasificación],"XXX",0)</f>
        <v>Otros</v>
      </c>
      <c r="J5" t="str">
        <f>_xlfn.XLOOKUP(Tabla1[[#This Row],[Dependencia]],Tabla3[Dependencia],Tabla3[Nivel],"Otros",0)</f>
        <v>Otros</v>
      </c>
    </row>
    <row r="6" spans="1:10" x14ac:dyDescent="0.25">
      <c r="A6" s="11">
        <v>46310</v>
      </c>
      <c r="B6" t="s">
        <v>80</v>
      </c>
      <c r="C6" s="5" t="s">
        <v>107</v>
      </c>
      <c r="D6" t="s">
        <v>12</v>
      </c>
      <c r="E6" t="s">
        <v>14</v>
      </c>
      <c r="F6" t="s">
        <v>108</v>
      </c>
      <c r="G6" t="s">
        <v>109</v>
      </c>
      <c r="H6" t="s">
        <v>11</v>
      </c>
      <c r="I6" t="str">
        <f>_xlfn.XLOOKUP(Tabla1[[#This Row],[Dependencia]],Tabla2[Dependencia],Tabla2[Clasificación],"XXX",0)</f>
        <v>Presidencia de la República</v>
      </c>
      <c r="J6" t="str">
        <f>_xlfn.XLOOKUP(Tabla1[[#This Row],[Dependencia]],Tabla3[Dependencia],Tabla3[Nivel],"Otros",0)</f>
        <v>Otros</v>
      </c>
    </row>
    <row r="7" spans="1:10" x14ac:dyDescent="0.25">
      <c r="A7" s="11">
        <v>46310</v>
      </c>
      <c r="B7" t="s">
        <v>80</v>
      </c>
      <c r="C7" s="5" t="s">
        <v>110</v>
      </c>
      <c r="D7" t="s">
        <v>12</v>
      </c>
      <c r="E7" t="s">
        <v>14</v>
      </c>
      <c r="F7" t="s">
        <v>85</v>
      </c>
      <c r="G7" t="s">
        <v>93</v>
      </c>
      <c r="H7" t="s">
        <v>68</v>
      </c>
      <c r="I7" t="str">
        <f>_xlfn.XLOOKUP(Tabla1[[#This Row],[Dependencia]],Tabla2[Dependencia],Tabla2[Clasificación],"XXX",0)</f>
        <v>Presidencia de la República</v>
      </c>
      <c r="J7" t="str">
        <f>_xlfn.XLOOKUP(Tabla1[[#This Row],[Dependencia]],Tabla3[Dependencia],Tabla3[Nivel],"Otros",0)</f>
        <v>Otros</v>
      </c>
    </row>
    <row r="8" spans="1:10" x14ac:dyDescent="0.25">
      <c r="A8" s="11">
        <v>46310</v>
      </c>
      <c r="B8" t="s">
        <v>80</v>
      </c>
      <c r="C8" s="5" t="s">
        <v>111</v>
      </c>
      <c r="D8" t="s">
        <v>9</v>
      </c>
      <c r="E8" t="s">
        <v>23</v>
      </c>
      <c r="F8" t="s">
        <v>112</v>
      </c>
      <c r="G8" t="s">
        <v>113</v>
      </c>
      <c r="H8" t="s">
        <v>68</v>
      </c>
      <c r="I8" t="str">
        <f>_xlfn.XLOOKUP(Tabla1[[#This Row],[Dependencia]],Tabla2[Dependencia],Tabla2[Clasificación],"XXX",0)</f>
        <v>Gobierno del estado</v>
      </c>
      <c r="J8" t="str">
        <f>_xlfn.XLOOKUP(Tabla1[[#This Row],[Dependencia]],Tabla3[Dependencia],Tabla3[Nivel],"Otros",0)</f>
        <v>Gabinete</v>
      </c>
    </row>
    <row r="9" spans="1:10" x14ac:dyDescent="0.25">
      <c r="A9" s="11">
        <v>46310</v>
      </c>
      <c r="B9" t="s">
        <v>69</v>
      </c>
      <c r="C9" s="5" t="s">
        <v>114</v>
      </c>
      <c r="D9" t="s">
        <v>12</v>
      </c>
      <c r="E9" t="s">
        <v>34</v>
      </c>
      <c r="F9" t="s">
        <v>34</v>
      </c>
      <c r="G9" t="s">
        <v>90</v>
      </c>
      <c r="H9" t="s">
        <v>11</v>
      </c>
      <c r="I9" t="str">
        <f>_xlfn.XLOOKUP(Tabla1[[#This Row],[Dependencia]],Tabla2[Dependencia],Tabla2[Clasificación],"XXX",0)</f>
        <v>Gobierno del estado</v>
      </c>
      <c r="J9" t="str">
        <f>_xlfn.XLOOKUP(Tabla1[[#This Row],[Dependencia]],Tabla3[Dependencia],Tabla3[Nivel],"Otros",0)</f>
        <v>Gabinete</v>
      </c>
    </row>
    <row r="10" spans="1:10" x14ac:dyDescent="0.25">
      <c r="A10" s="11">
        <v>46310</v>
      </c>
      <c r="B10" t="s">
        <v>69</v>
      </c>
      <c r="C10" s="5" t="s">
        <v>114</v>
      </c>
      <c r="D10" t="s">
        <v>12</v>
      </c>
      <c r="E10" t="s">
        <v>28</v>
      </c>
      <c r="F10" t="s">
        <v>2</v>
      </c>
      <c r="G10" t="s">
        <v>115</v>
      </c>
      <c r="H10" t="s">
        <v>68</v>
      </c>
      <c r="I10" t="str">
        <f>_xlfn.XLOOKUP(Tabla1[[#This Row],[Dependencia]],Tabla2[Dependencia],Tabla2[Clasificación],"XXX",0)</f>
        <v>Gobierno del estado</v>
      </c>
      <c r="J10" t="str">
        <f>_xlfn.XLOOKUP(Tabla1[[#This Row],[Dependencia]],Tabla3[Dependencia],Tabla3[Nivel],"Otros",0)</f>
        <v>Gabinete</v>
      </c>
    </row>
    <row r="11" spans="1:10" x14ac:dyDescent="0.25">
      <c r="A11" s="11">
        <v>46310</v>
      </c>
      <c r="B11" t="s">
        <v>69</v>
      </c>
      <c r="C11" s="5" t="s">
        <v>116</v>
      </c>
      <c r="D11" t="s">
        <v>9</v>
      </c>
      <c r="E11" t="s">
        <v>10</v>
      </c>
      <c r="F11" t="s">
        <v>10</v>
      </c>
      <c r="G11" t="s">
        <v>117</v>
      </c>
      <c r="H11" t="s">
        <v>72</v>
      </c>
      <c r="I11" t="str">
        <f>_xlfn.XLOOKUP(Tabla1[[#This Row],[Dependencia]],Tabla2[Dependencia],Tabla2[Clasificación],"XXX",0)</f>
        <v>Otros</v>
      </c>
      <c r="J11" t="str">
        <f>_xlfn.XLOOKUP(Tabla1[[#This Row],[Dependencia]],Tabla3[Dependencia],Tabla3[Nivel],"Otros",0)</f>
        <v>Otros</v>
      </c>
    </row>
    <row r="12" spans="1:10" x14ac:dyDescent="0.25">
      <c r="A12" s="11">
        <v>46310</v>
      </c>
      <c r="B12" t="s">
        <v>69</v>
      </c>
      <c r="C12" s="5" t="s">
        <v>118</v>
      </c>
      <c r="D12" t="s">
        <v>13</v>
      </c>
      <c r="E12" t="s">
        <v>54</v>
      </c>
      <c r="F12" t="s">
        <v>2</v>
      </c>
      <c r="G12" t="s">
        <v>90</v>
      </c>
      <c r="H12" t="s">
        <v>72</v>
      </c>
      <c r="I12" t="str">
        <f>_xlfn.XLOOKUP(Tabla1[[#This Row],[Dependencia]],Tabla2[Dependencia],Tabla2[Clasificación],"XXX",0)</f>
        <v>Gobierno del estado</v>
      </c>
      <c r="J12" t="str">
        <f>_xlfn.XLOOKUP(Tabla1[[#This Row],[Dependencia]],Tabla3[Dependencia],Tabla3[Nivel],"Otros",0)</f>
        <v>Gabinete</v>
      </c>
    </row>
    <row r="13" spans="1:10" x14ac:dyDescent="0.25">
      <c r="A13" s="11">
        <v>46310</v>
      </c>
      <c r="B13" t="s">
        <v>69</v>
      </c>
      <c r="C13" s="5" t="s">
        <v>119</v>
      </c>
      <c r="D13" t="s">
        <v>12</v>
      </c>
      <c r="E13" t="s">
        <v>23</v>
      </c>
      <c r="F13" t="s">
        <v>112</v>
      </c>
      <c r="G13" t="s">
        <v>120</v>
      </c>
      <c r="H13" t="s">
        <v>68</v>
      </c>
      <c r="I13" t="str">
        <f>_xlfn.XLOOKUP(Tabla1[[#This Row],[Dependencia]],Tabla2[Dependencia],Tabla2[Clasificación],"XXX",0)</f>
        <v>Gobierno del estado</v>
      </c>
      <c r="J13" t="str">
        <f>_xlfn.XLOOKUP(Tabla1[[#This Row],[Dependencia]],Tabla3[Dependencia],Tabla3[Nivel],"Otros",0)</f>
        <v>Gabinete</v>
      </c>
    </row>
    <row r="14" spans="1:10" x14ac:dyDescent="0.25">
      <c r="A14" s="11">
        <v>46310</v>
      </c>
      <c r="B14" t="s">
        <v>69</v>
      </c>
      <c r="C14" s="5" t="s">
        <v>121</v>
      </c>
      <c r="D14" t="s">
        <v>12</v>
      </c>
      <c r="E14" t="s">
        <v>14</v>
      </c>
      <c r="F14" t="s">
        <v>122</v>
      </c>
      <c r="G14" t="s">
        <v>123</v>
      </c>
      <c r="H14" t="s">
        <v>11</v>
      </c>
      <c r="I14" t="str">
        <f>_xlfn.XLOOKUP(Tabla1[[#This Row],[Dependencia]],Tabla2[Dependencia],Tabla2[Clasificación],"XXX",0)</f>
        <v>Presidencia de la República</v>
      </c>
      <c r="J14" t="str">
        <f>_xlfn.XLOOKUP(Tabla1[[#This Row],[Dependencia]],Tabla3[Dependencia],Tabla3[Nivel],"Otros",0)</f>
        <v>Otros</v>
      </c>
    </row>
    <row r="15" spans="1:10" x14ac:dyDescent="0.25">
      <c r="A15" s="11">
        <v>46310</v>
      </c>
      <c r="B15" t="s">
        <v>69</v>
      </c>
      <c r="C15" s="5" t="s">
        <v>124</v>
      </c>
      <c r="D15" t="s">
        <v>12</v>
      </c>
      <c r="E15" t="s">
        <v>16</v>
      </c>
      <c r="F15" t="s">
        <v>95</v>
      </c>
      <c r="G15" t="s">
        <v>94</v>
      </c>
      <c r="H15" t="s">
        <v>11</v>
      </c>
      <c r="I15" t="str">
        <f>_xlfn.XLOOKUP(Tabla1[[#This Row],[Dependencia]],Tabla2[Dependencia],Tabla2[Clasificación],"XXX",0)</f>
        <v>Alcaldías</v>
      </c>
      <c r="J15" t="str">
        <f>_xlfn.XLOOKUP(Tabla1[[#This Row],[Dependencia]],Tabla3[Dependencia],Tabla3[Nivel],"Otros",0)</f>
        <v>Otros</v>
      </c>
    </row>
    <row r="16" spans="1:10" x14ac:dyDescent="0.25">
      <c r="A16" s="11">
        <v>46310</v>
      </c>
      <c r="B16" t="s">
        <v>71</v>
      </c>
      <c r="C16" s="5" t="s">
        <v>125</v>
      </c>
      <c r="D16" t="s">
        <v>12</v>
      </c>
      <c r="E16" t="s">
        <v>10</v>
      </c>
      <c r="F16" t="s">
        <v>10</v>
      </c>
      <c r="G16" t="s">
        <v>70</v>
      </c>
      <c r="H16" t="s">
        <v>11</v>
      </c>
      <c r="I16" t="str">
        <f>_xlfn.XLOOKUP(Tabla1[[#This Row],[Dependencia]],Tabla2[Dependencia],Tabla2[Clasificación],"XXX",0)</f>
        <v>Otros</v>
      </c>
      <c r="J16" t="str">
        <f>_xlfn.XLOOKUP(Tabla1[[#This Row],[Dependencia]],Tabla3[Dependencia],Tabla3[Nivel],"Otros",0)</f>
        <v>Otros</v>
      </c>
    </row>
    <row r="17" spans="1:10" x14ac:dyDescent="0.25">
      <c r="A17" s="11">
        <v>46310</v>
      </c>
      <c r="B17" t="s">
        <v>71</v>
      </c>
      <c r="C17" s="5" t="s">
        <v>126</v>
      </c>
      <c r="D17" t="s">
        <v>12</v>
      </c>
      <c r="E17" t="s">
        <v>10</v>
      </c>
      <c r="F17" t="s">
        <v>10</v>
      </c>
      <c r="G17" t="s">
        <v>70</v>
      </c>
      <c r="H17" t="s">
        <v>11</v>
      </c>
      <c r="I17" t="str">
        <f>_xlfn.XLOOKUP(Tabla1[[#This Row],[Dependencia]],Tabla2[Dependencia],Tabla2[Clasificación],"XXX",0)</f>
        <v>Otros</v>
      </c>
      <c r="J17" t="str">
        <f>_xlfn.XLOOKUP(Tabla1[[#This Row],[Dependencia]],Tabla3[Dependencia],Tabla3[Nivel],"Otros",0)</f>
        <v>Otros</v>
      </c>
    </row>
    <row r="18" spans="1:10" ht="30" x14ac:dyDescent="0.25">
      <c r="A18" s="11">
        <v>46310</v>
      </c>
      <c r="B18" t="s">
        <v>71</v>
      </c>
      <c r="C18" s="5" t="s">
        <v>127</v>
      </c>
      <c r="D18" t="s">
        <v>9</v>
      </c>
      <c r="E18" t="s">
        <v>23</v>
      </c>
      <c r="F18" t="s">
        <v>112</v>
      </c>
      <c r="G18" t="s">
        <v>113</v>
      </c>
      <c r="H18" t="s">
        <v>68</v>
      </c>
      <c r="I18" t="str">
        <f>_xlfn.XLOOKUP(Tabla1[[#This Row],[Dependencia]],Tabla2[Dependencia],Tabla2[Clasificación],"XXX",0)</f>
        <v>Gobierno del estado</v>
      </c>
      <c r="J18" t="str">
        <f>_xlfn.XLOOKUP(Tabla1[[#This Row],[Dependencia]],Tabla3[Dependencia],Tabla3[Nivel],"Otros",0)</f>
        <v>Gabinete</v>
      </c>
    </row>
    <row r="19" spans="1:10" x14ac:dyDescent="0.25">
      <c r="A19" s="11">
        <v>46310</v>
      </c>
      <c r="B19" t="s">
        <v>71</v>
      </c>
      <c r="C19" s="5" t="s">
        <v>128</v>
      </c>
      <c r="D19" t="s">
        <v>12</v>
      </c>
      <c r="E19" t="s">
        <v>28</v>
      </c>
      <c r="F19" t="s">
        <v>2</v>
      </c>
      <c r="G19" t="s">
        <v>115</v>
      </c>
      <c r="H19" t="s">
        <v>68</v>
      </c>
      <c r="I19" t="str">
        <f>_xlfn.XLOOKUP(Tabla1[[#This Row],[Dependencia]],Tabla2[Dependencia],Tabla2[Clasificación],"XXX",0)</f>
        <v>Gobierno del estado</v>
      </c>
      <c r="J19" t="str">
        <f>_xlfn.XLOOKUP(Tabla1[[#This Row],[Dependencia]],Tabla3[Dependencia],Tabla3[Nivel],"Otros",0)</f>
        <v>Gabinete</v>
      </c>
    </row>
    <row r="20" spans="1:10" x14ac:dyDescent="0.25">
      <c r="A20" s="11">
        <v>46310</v>
      </c>
      <c r="B20" t="s">
        <v>71</v>
      </c>
      <c r="C20" s="5" t="s">
        <v>128</v>
      </c>
      <c r="D20" t="s">
        <v>12</v>
      </c>
      <c r="E20" t="s">
        <v>34</v>
      </c>
      <c r="F20" t="s">
        <v>2</v>
      </c>
      <c r="G20" t="s">
        <v>90</v>
      </c>
      <c r="H20" t="s">
        <v>11</v>
      </c>
      <c r="I20" t="str">
        <f>_xlfn.XLOOKUP(Tabla1[[#This Row],[Dependencia]],Tabla2[Dependencia],Tabla2[Clasificación],"XXX",0)</f>
        <v>Gobierno del estado</v>
      </c>
      <c r="J20" t="str">
        <f>_xlfn.XLOOKUP(Tabla1[[#This Row],[Dependencia]],Tabla3[Dependencia],Tabla3[Nivel],"Otros",0)</f>
        <v>Gabinete</v>
      </c>
    </row>
    <row r="21" spans="1:10" x14ac:dyDescent="0.25">
      <c r="A21" s="11">
        <v>46310</v>
      </c>
      <c r="B21" t="s">
        <v>71</v>
      </c>
      <c r="C21" s="5" t="s">
        <v>129</v>
      </c>
      <c r="D21" t="s">
        <v>12</v>
      </c>
      <c r="E21" t="s">
        <v>54</v>
      </c>
      <c r="F21" t="s">
        <v>2</v>
      </c>
      <c r="G21" t="s">
        <v>90</v>
      </c>
      <c r="H21" t="s">
        <v>68</v>
      </c>
      <c r="I21" t="str">
        <f>_xlfn.XLOOKUP(Tabla1[[#This Row],[Dependencia]],Tabla2[Dependencia],Tabla2[Clasificación],"XXX",0)</f>
        <v>Gobierno del estado</v>
      </c>
      <c r="J21" t="str">
        <f>_xlfn.XLOOKUP(Tabla1[[#This Row],[Dependencia]],Tabla3[Dependencia],Tabla3[Nivel],"Otros",0)</f>
        <v>Gabinete</v>
      </c>
    </row>
    <row r="22" spans="1:10" ht="30" x14ac:dyDescent="0.25">
      <c r="A22" s="11">
        <v>46310</v>
      </c>
      <c r="B22" t="s">
        <v>71</v>
      </c>
      <c r="C22" s="5" t="s">
        <v>130</v>
      </c>
      <c r="D22" t="s">
        <v>13</v>
      </c>
      <c r="E22" t="s">
        <v>17</v>
      </c>
      <c r="F22" t="s">
        <v>17</v>
      </c>
      <c r="G22" t="s">
        <v>120</v>
      </c>
      <c r="H22" t="s">
        <v>68</v>
      </c>
      <c r="I22" t="str">
        <f>_xlfn.XLOOKUP(Tabla1[[#This Row],[Dependencia]],Tabla2[Dependencia],Tabla2[Clasificación],"XXX",0)</f>
        <v>Gobierno del estado</v>
      </c>
      <c r="J22" t="str">
        <f>_xlfn.XLOOKUP(Tabla1[[#This Row],[Dependencia]],Tabla3[Dependencia],Tabla3[Nivel],"Otros",0)</f>
        <v>Gabinete</v>
      </c>
    </row>
    <row r="23" spans="1:10" x14ac:dyDescent="0.25">
      <c r="A23" s="11">
        <v>46310</v>
      </c>
      <c r="B23" t="s">
        <v>71</v>
      </c>
      <c r="C23" s="5" t="s">
        <v>131</v>
      </c>
      <c r="D23" t="s">
        <v>12</v>
      </c>
      <c r="E23" t="s">
        <v>10</v>
      </c>
      <c r="F23" t="s">
        <v>10</v>
      </c>
      <c r="G23" t="s">
        <v>61</v>
      </c>
      <c r="H23" t="s">
        <v>11</v>
      </c>
      <c r="I23" t="str">
        <f>_xlfn.XLOOKUP(Tabla1[[#This Row],[Dependencia]],Tabla2[Dependencia],Tabla2[Clasificación],"XXX",0)</f>
        <v>Otros</v>
      </c>
      <c r="J23" t="str">
        <f>_xlfn.XLOOKUP(Tabla1[[#This Row],[Dependencia]],Tabla3[Dependencia],Tabla3[Nivel],"Otros",0)</f>
        <v>Otros</v>
      </c>
    </row>
    <row r="24" spans="1:10" ht="30" x14ac:dyDescent="0.25">
      <c r="A24" s="11">
        <v>46310</v>
      </c>
      <c r="B24" t="s">
        <v>74</v>
      </c>
      <c r="C24" s="5" t="s">
        <v>132</v>
      </c>
      <c r="D24" t="s">
        <v>13</v>
      </c>
      <c r="E24" t="s">
        <v>34</v>
      </c>
      <c r="F24" t="s">
        <v>2</v>
      </c>
      <c r="G24" t="s">
        <v>90</v>
      </c>
      <c r="H24" t="s">
        <v>72</v>
      </c>
      <c r="I24" t="str">
        <f>_xlfn.XLOOKUP(Tabla1[[#This Row],[Dependencia]],Tabla2[Dependencia],Tabla2[Clasificación],"XXX",0)</f>
        <v>Gobierno del estado</v>
      </c>
      <c r="J24" t="str">
        <f>_xlfn.XLOOKUP(Tabla1[[#This Row],[Dependencia]],Tabla3[Dependencia],Tabla3[Nivel],"Otros",0)</f>
        <v>Gabinete</v>
      </c>
    </row>
    <row r="25" spans="1:10" ht="30" x14ac:dyDescent="0.25">
      <c r="A25" s="11">
        <v>46310</v>
      </c>
      <c r="B25" t="s">
        <v>74</v>
      </c>
      <c r="C25" s="5" t="s">
        <v>133</v>
      </c>
      <c r="D25" t="s">
        <v>12</v>
      </c>
      <c r="E25" t="s">
        <v>25</v>
      </c>
      <c r="F25" t="s">
        <v>25</v>
      </c>
      <c r="G25" t="s">
        <v>106</v>
      </c>
      <c r="H25" t="s">
        <v>11</v>
      </c>
      <c r="I25" t="str">
        <f>_xlfn.XLOOKUP(Tabla1[[#This Row],[Dependencia]],Tabla2[Dependencia],Tabla2[Clasificación],"XXX",0)</f>
        <v>Otros</v>
      </c>
      <c r="J25" t="str">
        <f>_xlfn.XLOOKUP(Tabla1[[#This Row],[Dependencia]],Tabla3[Dependencia],Tabla3[Nivel],"Otros",0)</f>
        <v>Otros</v>
      </c>
    </row>
    <row r="26" spans="1:10" ht="30" x14ac:dyDescent="0.25">
      <c r="A26" s="11">
        <v>46310</v>
      </c>
      <c r="B26" t="s">
        <v>74</v>
      </c>
      <c r="C26" s="5" t="s">
        <v>134</v>
      </c>
      <c r="D26" t="s">
        <v>12</v>
      </c>
      <c r="E26" t="s">
        <v>39</v>
      </c>
      <c r="F26" t="s">
        <v>39</v>
      </c>
      <c r="G26" t="s">
        <v>135</v>
      </c>
      <c r="H26" t="s">
        <v>11</v>
      </c>
      <c r="I26" t="str">
        <f>_xlfn.XLOOKUP(Tabla1[[#This Row],[Dependencia]],Tabla2[Dependencia],Tabla2[Clasificación],"XXX",0)</f>
        <v>Gobierno del estado</v>
      </c>
      <c r="J26" t="str">
        <f>_xlfn.XLOOKUP(Tabla1[[#This Row],[Dependencia]],Tabla3[Dependencia],Tabla3[Nivel],"Otros",0)</f>
        <v>Gabinete</v>
      </c>
    </row>
    <row r="27" spans="1:10" x14ac:dyDescent="0.25">
      <c r="A27" s="11">
        <v>46310</v>
      </c>
      <c r="B27" t="s">
        <v>74</v>
      </c>
      <c r="C27" s="5" t="s">
        <v>136</v>
      </c>
      <c r="D27" t="s">
        <v>12</v>
      </c>
      <c r="E27" t="s">
        <v>10</v>
      </c>
      <c r="F27" t="s">
        <v>10</v>
      </c>
      <c r="G27" t="s">
        <v>91</v>
      </c>
      <c r="H27" t="s">
        <v>68</v>
      </c>
      <c r="I27" t="str">
        <f>_xlfn.XLOOKUP(Tabla1[[#This Row],[Dependencia]],Tabla2[Dependencia],Tabla2[Clasificación],"XXX",0)</f>
        <v>Otros</v>
      </c>
      <c r="J27" t="str">
        <f>_xlfn.XLOOKUP(Tabla1[[#This Row],[Dependencia]],Tabla3[Dependencia],Tabla3[Nivel],"Otros",0)</f>
        <v>Otros</v>
      </c>
    </row>
    <row r="28" spans="1:10" ht="30" x14ac:dyDescent="0.25">
      <c r="A28" s="11">
        <v>46310</v>
      </c>
      <c r="B28" t="s">
        <v>74</v>
      </c>
      <c r="C28" s="5" t="s">
        <v>137</v>
      </c>
      <c r="D28" t="s">
        <v>9</v>
      </c>
      <c r="E28" t="s">
        <v>16</v>
      </c>
      <c r="F28" t="s">
        <v>138</v>
      </c>
      <c r="G28" t="s">
        <v>139</v>
      </c>
      <c r="H28" t="s">
        <v>11</v>
      </c>
      <c r="I28" t="str">
        <f>_xlfn.XLOOKUP(Tabla1[[#This Row],[Dependencia]],Tabla2[Dependencia],Tabla2[Clasificación],"XXX",0)</f>
        <v>Alcaldías</v>
      </c>
      <c r="J28" t="str">
        <f>_xlfn.XLOOKUP(Tabla1[[#This Row],[Dependencia]],Tabla3[Dependencia],Tabla3[Nivel],"Otros",0)</f>
        <v>Otros</v>
      </c>
    </row>
    <row r="29" spans="1:10" ht="30" x14ac:dyDescent="0.25">
      <c r="A29" s="11">
        <v>46310</v>
      </c>
      <c r="B29" t="s">
        <v>74</v>
      </c>
      <c r="C29" s="5" t="s">
        <v>140</v>
      </c>
      <c r="D29" t="s">
        <v>12</v>
      </c>
      <c r="E29" t="s">
        <v>29</v>
      </c>
      <c r="F29" t="s">
        <v>2</v>
      </c>
      <c r="G29" t="s">
        <v>90</v>
      </c>
      <c r="H29" t="s">
        <v>72</v>
      </c>
      <c r="I29" t="str">
        <f>_xlfn.XLOOKUP(Tabla1[[#This Row],[Dependencia]],Tabla2[Dependencia],Tabla2[Clasificación],"XXX",0)</f>
        <v>Gobierno del estado</v>
      </c>
      <c r="J29" t="str">
        <f>_xlfn.XLOOKUP(Tabla1[[#This Row],[Dependencia]],Tabla3[Dependencia],Tabla3[Nivel],"Otros",0)</f>
        <v>Gabinete</v>
      </c>
    </row>
    <row r="30" spans="1:10" ht="30" x14ac:dyDescent="0.25">
      <c r="A30" s="11">
        <v>46310</v>
      </c>
      <c r="B30" t="s">
        <v>74</v>
      </c>
      <c r="C30" s="5" t="s">
        <v>141</v>
      </c>
      <c r="D30" t="s">
        <v>12</v>
      </c>
      <c r="E30" t="s">
        <v>10</v>
      </c>
      <c r="F30" t="s">
        <v>10</v>
      </c>
      <c r="G30" t="s">
        <v>77</v>
      </c>
      <c r="H30" t="s">
        <v>11</v>
      </c>
      <c r="I30" t="str">
        <f>_xlfn.XLOOKUP(Tabla1[[#This Row],[Dependencia]],Tabla2[Dependencia],Tabla2[Clasificación],"XXX",0)</f>
        <v>Otros</v>
      </c>
      <c r="J30" t="str">
        <f>_xlfn.XLOOKUP(Tabla1[[#This Row],[Dependencia]],Tabla3[Dependencia],Tabla3[Nivel],"Otros",0)</f>
        <v>Otros</v>
      </c>
    </row>
    <row r="31" spans="1:10" ht="30" x14ac:dyDescent="0.25">
      <c r="A31" s="11">
        <v>46310</v>
      </c>
      <c r="B31" t="s">
        <v>74</v>
      </c>
      <c r="C31" s="5" t="s">
        <v>142</v>
      </c>
      <c r="D31" t="s">
        <v>12</v>
      </c>
      <c r="E31" t="s">
        <v>10</v>
      </c>
      <c r="F31" t="s">
        <v>10</v>
      </c>
      <c r="G31" t="s">
        <v>77</v>
      </c>
      <c r="H31" t="s">
        <v>11</v>
      </c>
      <c r="I31" t="str">
        <f>_xlfn.XLOOKUP(Tabla1[[#This Row],[Dependencia]],Tabla2[Dependencia],Tabla2[Clasificación],"XXX",0)</f>
        <v>Otros</v>
      </c>
      <c r="J31" t="str">
        <f>_xlfn.XLOOKUP(Tabla1[[#This Row],[Dependencia]],Tabla3[Dependencia],Tabla3[Nivel],"Otros",0)</f>
        <v>Otros</v>
      </c>
    </row>
    <row r="32" spans="1:10" x14ac:dyDescent="0.25">
      <c r="A32" s="11">
        <v>46310</v>
      </c>
      <c r="B32" t="s">
        <v>78</v>
      </c>
      <c r="C32" s="5" t="s">
        <v>143</v>
      </c>
      <c r="D32" t="s">
        <v>12</v>
      </c>
      <c r="E32" t="s">
        <v>17</v>
      </c>
      <c r="F32" t="s">
        <v>17</v>
      </c>
      <c r="G32" t="s">
        <v>120</v>
      </c>
      <c r="H32" t="s">
        <v>11</v>
      </c>
      <c r="I32" t="str">
        <f>_xlfn.XLOOKUP(Tabla1[[#This Row],[Dependencia]],Tabla2[Dependencia],Tabla2[Clasificación],"XXX",0)</f>
        <v>Gobierno del estado</v>
      </c>
      <c r="J32" t="str">
        <f>_xlfn.XLOOKUP(Tabla1[[#This Row],[Dependencia]],Tabla3[Dependencia],Tabla3[Nivel],"Otros",0)</f>
        <v>Gabinete</v>
      </c>
    </row>
    <row r="33" spans="1:10" ht="30" x14ac:dyDescent="0.25">
      <c r="A33" s="11">
        <v>46310</v>
      </c>
      <c r="B33" t="s">
        <v>78</v>
      </c>
      <c r="C33" s="5" t="s">
        <v>144</v>
      </c>
      <c r="D33" t="s">
        <v>13</v>
      </c>
      <c r="E33" t="s">
        <v>14</v>
      </c>
      <c r="F33" t="s">
        <v>14</v>
      </c>
      <c r="G33" t="s">
        <v>145</v>
      </c>
      <c r="H33" t="s">
        <v>72</v>
      </c>
      <c r="I33" t="str">
        <f>_xlfn.XLOOKUP(Tabla1[[#This Row],[Dependencia]],Tabla2[Dependencia],Tabla2[Clasificación],"XXX",0)</f>
        <v>Presidencia de la República</v>
      </c>
      <c r="J33" t="str">
        <f>_xlfn.XLOOKUP(Tabla1[[#This Row],[Dependencia]],Tabla3[Dependencia],Tabla3[Nivel],"Otros",0)</f>
        <v>Otros</v>
      </c>
    </row>
    <row r="34" spans="1:10" ht="30" x14ac:dyDescent="0.25">
      <c r="A34" s="11">
        <v>46310</v>
      </c>
      <c r="B34" t="s">
        <v>78</v>
      </c>
      <c r="C34" s="5" t="s">
        <v>146</v>
      </c>
      <c r="D34" t="s">
        <v>12</v>
      </c>
      <c r="E34" t="s">
        <v>10</v>
      </c>
      <c r="F34" t="s">
        <v>10</v>
      </c>
      <c r="G34" t="s">
        <v>77</v>
      </c>
      <c r="H34" t="s">
        <v>11</v>
      </c>
      <c r="I34" t="str">
        <f>_xlfn.XLOOKUP(Tabla1[[#This Row],[Dependencia]],Tabla2[Dependencia],Tabla2[Clasificación],"XXX",0)</f>
        <v>Otros</v>
      </c>
      <c r="J34" t="str">
        <f>_xlfn.XLOOKUP(Tabla1[[#This Row],[Dependencia]],Tabla3[Dependencia],Tabla3[Nivel],"Otros",0)</f>
        <v>Otros</v>
      </c>
    </row>
    <row r="35" spans="1:10" ht="30" x14ac:dyDescent="0.25">
      <c r="A35" s="11">
        <v>46310</v>
      </c>
      <c r="B35" t="s">
        <v>78</v>
      </c>
      <c r="C35" s="5" t="s">
        <v>147</v>
      </c>
      <c r="D35" t="s">
        <v>9</v>
      </c>
      <c r="E35" t="s">
        <v>54</v>
      </c>
      <c r="F35" t="s">
        <v>2</v>
      </c>
      <c r="G35" t="s">
        <v>90</v>
      </c>
      <c r="H35" t="s">
        <v>72</v>
      </c>
      <c r="I35" t="str">
        <f>_xlfn.XLOOKUP(Tabla1[[#This Row],[Dependencia]],Tabla2[Dependencia],Tabla2[Clasificación],"XXX",0)</f>
        <v>Gobierno del estado</v>
      </c>
      <c r="J35" t="str">
        <f>_xlfn.XLOOKUP(Tabla1[[#This Row],[Dependencia]],Tabla3[Dependencia],Tabla3[Nivel],"Otros",0)</f>
        <v>Gabinete</v>
      </c>
    </row>
    <row r="36" spans="1:10" ht="90" x14ac:dyDescent="0.25">
      <c r="A36" s="11">
        <v>46310</v>
      </c>
      <c r="B36" t="s">
        <v>78</v>
      </c>
      <c r="C36" s="5" t="s">
        <v>148</v>
      </c>
      <c r="D36" t="s">
        <v>12</v>
      </c>
      <c r="E36" t="s">
        <v>51</v>
      </c>
      <c r="F36" t="s">
        <v>51</v>
      </c>
      <c r="G36" t="s">
        <v>149</v>
      </c>
      <c r="H36" t="s">
        <v>68</v>
      </c>
      <c r="I36" t="str">
        <f>_xlfn.XLOOKUP(Tabla1[[#This Row],[Dependencia]],Tabla2[Dependencia],Tabla2[Clasificación],"XXX",0)</f>
        <v>Partidos</v>
      </c>
      <c r="J36" t="str">
        <f>_xlfn.XLOOKUP(Tabla1[[#This Row],[Dependencia]],Tabla3[Dependencia],Tabla3[Nivel],"Otros",0)</f>
        <v>Otros</v>
      </c>
    </row>
    <row r="37" spans="1:10" ht="30" x14ac:dyDescent="0.25">
      <c r="A37" s="11">
        <v>46310</v>
      </c>
      <c r="B37" t="s">
        <v>73</v>
      </c>
      <c r="C37" s="5" t="s">
        <v>150</v>
      </c>
      <c r="D37" t="s">
        <v>13</v>
      </c>
      <c r="E37" t="s">
        <v>23</v>
      </c>
      <c r="F37" t="s">
        <v>112</v>
      </c>
      <c r="G37" t="s">
        <v>113</v>
      </c>
      <c r="H37" t="s">
        <v>68</v>
      </c>
      <c r="I37" t="str">
        <f>_xlfn.XLOOKUP(Tabla1[[#This Row],[Dependencia]],Tabla2[Dependencia],Tabla2[Clasificación],"XXX",0)</f>
        <v>Gobierno del estado</v>
      </c>
      <c r="J37" t="str">
        <f>_xlfn.XLOOKUP(Tabla1[[#This Row],[Dependencia]],Tabla3[Dependencia],Tabla3[Nivel],"Otros",0)</f>
        <v>Gabinete</v>
      </c>
    </row>
    <row r="38" spans="1:10" ht="30" x14ac:dyDescent="0.25">
      <c r="A38" s="11">
        <v>46310</v>
      </c>
      <c r="B38" t="s">
        <v>73</v>
      </c>
      <c r="C38" s="5" t="s">
        <v>151</v>
      </c>
      <c r="D38" t="s">
        <v>12</v>
      </c>
      <c r="E38" t="s">
        <v>54</v>
      </c>
      <c r="F38" t="s">
        <v>2</v>
      </c>
      <c r="G38" t="s">
        <v>90</v>
      </c>
      <c r="H38" t="s">
        <v>11</v>
      </c>
      <c r="I38" t="str">
        <f>_xlfn.XLOOKUP(Tabla1[[#This Row],[Dependencia]],Tabla2[Dependencia],Tabla2[Clasificación],"XXX",0)</f>
        <v>Gobierno del estado</v>
      </c>
      <c r="J38" t="str">
        <f>_xlfn.XLOOKUP(Tabla1[[#This Row],[Dependencia]],Tabla3[Dependencia],Tabla3[Nivel],"Otros",0)</f>
        <v>Gabinete</v>
      </c>
    </row>
    <row r="39" spans="1:10" x14ac:dyDescent="0.25">
      <c r="A39" s="11">
        <v>46310</v>
      </c>
      <c r="B39" t="s">
        <v>73</v>
      </c>
      <c r="C39" s="5" t="s">
        <v>152</v>
      </c>
      <c r="D39" t="s">
        <v>12</v>
      </c>
      <c r="E39" t="s">
        <v>17</v>
      </c>
      <c r="F39" t="s">
        <v>17</v>
      </c>
      <c r="G39" t="s">
        <v>120</v>
      </c>
      <c r="H39" t="s">
        <v>68</v>
      </c>
      <c r="I39" t="str">
        <f>_xlfn.XLOOKUP(Tabla1[[#This Row],[Dependencia]],Tabla2[Dependencia],Tabla2[Clasificación],"XXX",0)</f>
        <v>Gobierno del estado</v>
      </c>
      <c r="J39" t="str">
        <f>_xlfn.XLOOKUP(Tabla1[[#This Row],[Dependencia]],Tabla3[Dependencia],Tabla3[Nivel],"Otros",0)</f>
        <v>Gabinete</v>
      </c>
    </row>
    <row r="40" spans="1:10" ht="30" x14ac:dyDescent="0.25">
      <c r="A40" s="11">
        <v>46310</v>
      </c>
      <c r="B40" t="s">
        <v>73</v>
      </c>
      <c r="C40" s="5" t="s">
        <v>153</v>
      </c>
      <c r="D40" t="s">
        <v>12</v>
      </c>
      <c r="E40" t="s">
        <v>25</v>
      </c>
      <c r="F40" t="s">
        <v>2</v>
      </c>
      <c r="G40" t="s">
        <v>106</v>
      </c>
      <c r="H40" t="s">
        <v>11</v>
      </c>
      <c r="I40" t="str">
        <f>_xlfn.XLOOKUP(Tabla1[[#This Row],[Dependencia]],Tabla2[Dependencia],Tabla2[Clasificación],"XXX",0)</f>
        <v>Otros</v>
      </c>
      <c r="J40" t="str">
        <f>_xlfn.XLOOKUP(Tabla1[[#This Row],[Dependencia]],Tabla3[Dependencia],Tabla3[Nivel],"Otros",0)</f>
        <v>Otros</v>
      </c>
    </row>
    <row r="41" spans="1:10" ht="30" x14ac:dyDescent="0.25">
      <c r="A41" s="11">
        <v>46310</v>
      </c>
      <c r="B41" t="s">
        <v>73</v>
      </c>
      <c r="C41" s="5" t="s">
        <v>154</v>
      </c>
      <c r="D41" t="s">
        <v>12</v>
      </c>
      <c r="E41" t="s">
        <v>10</v>
      </c>
      <c r="F41" t="s">
        <v>10</v>
      </c>
      <c r="G41" t="s">
        <v>155</v>
      </c>
      <c r="H41" t="s">
        <v>11</v>
      </c>
      <c r="I41" t="str">
        <f>_xlfn.XLOOKUP(Tabla1[[#This Row],[Dependencia]],Tabla2[Dependencia],Tabla2[Clasificación],"XXX",0)</f>
        <v>Otros</v>
      </c>
      <c r="J41" t="str">
        <f>_xlfn.XLOOKUP(Tabla1[[#This Row],[Dependencia]],Tabla3[Dependencia],Tabla3[Nivel],"Otros",0)</f>
        <v>Otros</v>
      </c>
    </row>
    <row r="42" spans="1:10" x14ac:dyDescent="0.25">
      <c r="A42" s="11">
        <v>46310</v>
      </c>
      <c r="B42" t="s">
        <v>76</v>
      </c>
      <c r="C42" s="5" t="s">
        <v>156</v>
      </c>
      <c r="D42" t="s">
        <v>13</v>
      </c>
      <c r="E42" t="s">
        <v>17</v>
      </c>
      <c r="F42" t="s">
        <v>17</v>
      </c>
      <c r="G42" t="s">
        <v>120</v>
      </c>
      <c r="H42" t="s">
        <v>68</v>
      </c>
      <c r="I42" t="str">
        <f>_xlfn.XLOOKUP(Tabla1[[#This Row],[Dependencia]],Tabla2[Dependencia],Tabla2[Clasificación],"XXX",0)</f>
        <v>Gobierno del estado</v>
      </c>
      <c r="J42" t="str">
        <f>_xlfn.XLOOKUP(Tabla1[[#This Row],[Dependencia]],Tabla3[Dependencia],Tabla3[Nivel],"Otros",0)</f>
        <v>Gabinete</v>
      </c>
    </row>
    <row r="43" spans="1:10" x14ac:dyDescent="0.25">
      <c r="A43" s="11">
        <v>46310</v>
      </c>
      <c r="B43" t="s">
        <v>76</v>
      </c>
      <c r="C43" s="5" t="s">
        <v>157</v>
      </c>
      <c r="D43" t="s">
        <v>12</v>
      </c>
      <c r="E43" t="s">
        <v>10</v>
      </c>
      <c r="F43" t="s">
        <v>10</v>
      </c>
      <c r="G43" t="s">
        <v>158</v>
      </c>
      <c r="H43" t="s">
        <v>11</v>
      </c>
      <c r="I43" t="str">
        <f>_xlfn.XLOOKUP(Tabla1[[#This Row],[Dependencia]],Tabla2[Dependencia],Tabla2[Clasificación],"XXX",0)</f>
        <v>Otros</v>
      </c>
      <c r="J43" t="str">
        <f>_xlfn.XLOOKUP(Tabla1[[#This Row],[Dependencia]],Tabla3[Dependencia],Tabla3[Nivel],"Otros",0)</f>
        <v>Otros</v>
      </c>
    </row>
    <row r="44" spans="1:10" ht="30" x14ac:dyDescent="0.25">
      <c r="A44" s="11">
        <v>46310</v>
      </c>
      <c r="B44" t="s">
        <v>76</v>
      </c>
      <c r="C44" s="5" t="s">
        <v>159</v>
      </c>
      <c r="D44" t="s">
        <v>12</v>
      </c>
      <c r="E44" t="s">
        <v>14</v>
      </c>
      <c r="F44" t="s">
        <v>14</v>
      </c>
      <c r="G44" t="s">
        <v>93</v>
      </c>
      <c r="H44" t="s">
        <v>72</v>
      </c>
      <c r="I44" t="str">
        <f>_xlfn.XLOOKUP(Tabla1[[#This Row],[Dependencia]],Tabla2[Dependencia],Tabla2[Clasificación],"XXX",0)</f>
        <v>Presidencia de la República</v>
      </c>
      <c r="J44" t="str">
        <f>_xlfn.XLOOKUP(Tabla1[[#This Row],[Dependencia]],Tabla3[Dependencia],Tabla3[Nivel],"Otros",0)</f>
        <v>Otros</v>
      </c>
    </row>
    <row r="45" spans="1:10" x14ac:dyDescent="0.25">
      <c r="A45" s="11">
        <v>46310</v>
      </c>
      <c r="B45" t="s">
        <v>76</v>
      </c>
      <c r="C45" s="5" t="s">
        <v>160</v>
      </c>
      <c r="D45" t="s">
        <v>12</v>
      </c>
      <c r="E45" t="s">
        <v>54</v>
      </c>
      <c r="F45" t="s">
        <v>2</v>
      </c>
      <c r="G45" t="s">
        <v>90</v>
      </c>
      <c r="H45" t="s">
        <v>72</v>
      </c>
      <c r="I45" t="str">
        <f>_xlfn.XLOOKUP(Tabla1[[#This Row],[Dependencia]],Tabla2[Dependencia],Tabla2[Clasificación],"XXX",0)</f>
        <v>Gobierno del estado</v>
      </c>
      <c r="J45" t="str">
        <f>_xlfn.XLOOKUP(Tabla1[[#This Row],[Dependencia]],Tabla3[Dependencia],Tabla3[Nivel],"Otros",0)</f>
        <v>Gabinete</v>
      </c>
    </row>
    <row r="46" spans="1:10" ht="30" x14ac:dyDescent="0.25">
      <c r="A46" s="11">
        <v>46310</v>
      </c>
      <c r="B46" t="s">
        <v>99</v>
      </c>
      <c r="C46" s="5" t="s">
        <v>161</v>
      </c>
      <c r="D46" t="s">
        <v>13</v>
      </c>
      <c r="E46" t="s">
        <v>33</v>
      </c>
      <c r="F46" t="s">
        <v>33</v>
      </c>
      <c r="G46" t="s">
        <v>162</v>
      </c>
      <c r="H46" t="s">
        <v>11</v>
      </c>
      <c r="I46" t="str">
        <f>_xlfn.XLOOKUP(Tabla1[[#This Row],[Dependencia]],Tabla2[Dependencia],Tabla2[Clasificación],"XXX",0)</f>
        <v>Otros</v>
      </c>
      <c r="J46" t="str">
        <f>_xlfn.XLOOKUP(Tabla1[[#This Row],[Dependencia]],Tabla3[Dependencia],Tabla3[Nivel],"Otros",0)</f>
        <v>Otros</v>
      </c>
    </row>
    <row r="47" spans="1:10" ht="45" x14ac:dyDescent="0.25">
      <c r="A47" s="11">
        <v>46310</v>
      </c>
      <c r="B47" t="s">
        <v>99</v>
      </c>
      <c r="C47" s="5" t="s">
        <v>163</v>
      </c>
      <c r="D47" t="s">
        <v>9</v>
      </c>
      <c r="E47" t="s">
        <v>23</v>
      </c>
      <c r="F47" t="s">
        <v>112</v>
      </c>
      <c r="G47" t="s">
        <v>113</v>
      </c>
      <c r="H47" t="s">
        <v>68</v>
      </c>
      <c r="I47" t="str">
        <f>_xlfn.XLOOKUP(Tabla1[[#This Row],[Dependencia]],Tabla2[Dependencia],Tabla2[Clasificación],"XXX",0)</f>
        <v>Gobierno del estado</v>
      </c>
      <c r="J47" t="str">
        <f>_xlfn.XLOOKUP(Tabla1[[#This Row],[Dependencia]],Tabla3[Dependencia],Tabla3[Nivel],"Otros",0)</f>
        <v>Gabinete</v>
      </c>
    </row>
    <row r="48" spans="1:10" x14ac:dyDescent="0.25">
      <c r="A48" s="11">
        <v>46310</v>
      </c>
      <c r="B48" t="s">
        <v>99</v>
      </c>
      <c r="C48" s="5" t="s">
        <v>164</v>
      </c>
      <c r="D48" t="s">
        <v>12</v>
      </c>
      <c r="E48" t="s">
        <v>34</v>
      </c>
      <c r="F48" t="s">
        <v>2</v>
      </c>
      <c r="G48" t="s">
        <v>90</v>
      </c>
      <c r="H48" t="s">
        <v>11</v>
      </c>
      <c r="I48" t="str">
        <f>_xlfn.XLOOKUP(Tabla1[[#This Row],[Dependencia]],Tabla2[Dependencia],Tabla2[Clasificación],"XXX",0)</f>
        <v>Gobierno del estado</v>
      </c>
      <c r="J48" t="str">
        <f>_xlfn.XLOOKUP(Tabla1[[#This Row],[Dependencia]],Tabla3[Dependencia],Tabla3[Nivel],"Otros",0)</f>
        <v>Gabinete</v>
      </c>
    </row>
    <row r="49" spans="1:10" ht="30" x14ac:dyDescent="0.25">
      <c r="A49" s="11">
        <v>46310</v>
      </c>
      <c r="B49" t="s">
        <v>99</v>
      </c>
      <c r="C49" s="5" t="s">
        <v>165</v>
      </c>
      <c r="D49" t="s">
        <v>12</v>
      </c>
      <c r="E49" t="s">
        <v>54</v>
      </c>
      <c r="F49" t="s">
        <v>2</v>
      </c>
      <c r="G49" t="s">
        <v>90</v>
      </c>
      <c r="H49" t="s">
        <v>68</v>
      </c>
      <c r="I49" t="str">
        <f>_xlfn.XLOOKUP(Tabla1[[#This Row],[Dependencia]],Tabla2[Dependencia],Tabla2[Clasificación],"XXX",0)</f>
        <v>Gobierno del estado</v>
      </c>
      <c r="J49" t="str">
        <f>_xlfn.XLOOKUP(Tabla1[[#This Row],[Dependencia]],Tabla3[Dependencia],Tabla3[Nivel],"Otros",0)</f>
        <v>Gabinete</v>
      </c>
    </row>
    <row r="50" spans="1:10" ht="30" x14ac:dyDescent="0.25">
      <c r="A50" s="11">
        <v>46310</v>
      </c>
      <c r="B50" t="s">
        <v>99</v>
      </c>
      <c r="C50" s="5" t="s">
        <v>166</v>
      </c>
      <c r="D50" t="s">
        <v>12</v>
      </c>
      <c r="E50" t="s">
        <v>54</v>
      </c>
      <c r="F50" t="s">
        <v>2</v>
      </c>
      <c r="G50" t="s">
        <v>90</v>
      </c>
      <c r="H50" t="s">
        <v>11</v>
      </c>
      <c r="I50" t="str">
        <f>_xlfn.XLOOKUP(Tabla1[[#This Row],[Dependencia]],Tabla2[Dependencia],Tabla2[Clasificación],"XXX",0)</f>
        <v>Gobierno del estado</v>
      </c>
      <c r="J50" t="str">
        <f>_xlfn.XLOOKUP(Tabla1[[#This Row],[Dependencia]],Tabla3[Dependencia],Tabla3[Nivel],"Otros",0)</f>
        <v>Gabinete</v>
      </c>
    </row>
    <row r="51" spans="1:10" ht="30" x14ac:dyDescent="0.25">
      <c r="A51" s="11">
        <v>46310</v>
      </c>
      <c r="B51" t="s">
        <v>81</v>
      </c>
      <c r="C51" s="5" t="s">
        <v>167</v>
      </c>
      <c r="D51" t="s">
        <v>82</v>
      </c>
      <c r="E51" t="s">
        <v>19</v>
      </c>
      <c r="F51" t="s">
        <v>19</v>
      </c>
      <c r="G51" t="s">
        <v>168</v>
      </c>
      <c r="H51" t="s">
        <v>11</v>
      </c>
      <c r="I51" t="str">
        <f>_xlfn.XLOOKUP(Tabla1[[#This Row],[Dependencia]],Tabla2[Dependencia],Tabla2[Clasificación],"XXX",0)</f>
        <v>Gobierno del estado</v>
      </c>
      <c r="J51" t="str">
        <f>_xlfn.XLOOKUP(Tabla1[[#This Row],[Dependencia]],Tabla3[Dependencia],Tabla3[Nivel],"Otros",0)</f>
        <v>Gabinete</v>
      </c>
    </row>
    <row r="52" spans="1:10" ht="45" x14ac:dyDescent="0.25">
      <c r="A52" s="11">
        <v>46310</v>
      </c>
      <c r="B52" t="s">
        <v>99</v>
      </c>
      <c r="C52" s="5" t="s">
        <v>169</v>
      </c>
      <c r="D52" t="s">
        <v>12</v>
      </c>
      <c r="E52" t="s">
        <v>23</v>
      </c>
      <c r="F52" t="s">
        <v>112</v>
      </c>
      <c r="G52" t="s">
        <v>120</v>
      </c>
      <c r="H52" t="s">
        <v>68</v>
      </c>
      <c r="I52" t="str">
        <f>_xlfn.XLOOKUP(Tabla1[[#This Row],[Dependencia]],Tabla2[Dependencia],Tabla2[Clasificación],"XXX",0)</f>
        <v>Gobierno del estado</v>
      </c>
      <c r="J52" t="str">
        <f>_xlfn.XLOOKUP(Tabla1[[#This Row],[Dependencia]],Tabla3[Dependencia],Tabla3[Nivel],"Otros",0)</f>
        <v>Gabinete</v>
      </c>
    </row>
    <row r="53" spans="1:10" ht="30" x14ac:dyDescent="0.25">
      <c r="A53" s="11">
        <v>46310</v>
      </c>
      <c r="B53" t="s">
        <v>81</v>
      </c>
      <c r="C53" s="5" t="s">
        <v>170</v>
      </c>
      <c r="D53" t="s">
        <v>13</v>
      </c>
      <c r="E53" t="s">
        <v>24</v>
      </c>
      <c r="F53" t="s">
        <v>24</v>
      </c>
      <c r="G53" t="s">
        <v>171</v>
      </c>
      <c r="H53" t="s">
        <v>11</v>
      </c>
      <c r="I53" t="str">
        <f>_xlfn.XLOOKUP(Tabla1[[#This Row],[Dependencia]],Tabla2[Dependencia],Tabla2[Clasificación],"XXX",0)</f>
        <v>Gobierno del estado</v>
      </c>
      <c r="J53" t="str">
        <f>_xlfn.XLOOKUP(Tabla1[[#This Row],[Dependencia]],Tabla3[Dependencia],Tabla3[Nivel],"Otros",0)</f>
        <v>Gobernador</v>
      </c>
    </row>
    <row r="54" spans="1:10" ht="30" x14ac:dyDescent="0.25">
      <c r="A54" s="11">
        <v>46310</v>
      </c>
      <c r="B54" t="s">
        <v>81</v>
      </c>
      <c r="C54" s="5" t="s">
        <v>172</v>
      </c>
      <c r="D54" t="s">
        <v>12</v>
      </c>
      <c r="E54" t="s">
        <v>23</v>
      </c>
      <c r="F54" t="s">
        <v>2</v>
      </c>
      <c r="G54" t="s">
        <v>173</v>
      </c>
      <c r="H54" t="s">
        <v>72</v>
      </c>
      <c r="I54" t="str">
        <f>_xlfn.XLOOKUP(Tabla1[[#This Row],[Dependencia]],Tabla2[Dependencia],Tabla2[Clasificación],"XXX",0)</f>
        <v>Gobierno del estado</v>
      </c>
      <c r="J54" t="str">
        <f>_xlfn.XLOOKUP(Tabla1[[#This Row],[Dependencia]],Tabla3[Dependencia],Tabla3[Nivel],"Otros",0)</f>
        <v>Gabinete</v>
      </c>
    </row>
    <row r="55" spans="1:10" ht="45" x14ac:dyDescent="0.25">
      <c r="A55" s="11">
        <v>46310</v>
      </c>
      <c r="B55" t="s">
        <v>81</v>
      </c>
      <c r="C55" s="5" t="s">
        <v>174</v>
      </c>
      <c r="D55" t="s">
        <v>12</v>
      </c>
      <c r="E55" t="s">
        <v>16</v>
      </c>
      <c r="F55" t="s">
        <v>86</v>
      </c>
      <c r="G55" t="s">
        <v>139</v>
      </c>
      <c r="H55" t="s">
        <v>11</v>
      </c>
      <c r="I55" t="str">
        <f>_xlfn.XLOOKUP(Tabla1[[#This Row],[Dependencia]],Tabla2[Dependencia],Tabla2[Clasificación],"XXX",0)</f>
        <v>Alcaldías</v>
      </c>
      <c r="J55" t="str">
        <f>_xlfn.XLOOKUP(Tabla1[[#This Row],[Dependencia]],Tabla3[Dependencia],Tabla3[Nivel],"Otros",0)</f>
        <v>Otros</v>
      </c>
    </row>
    <row r="56" spans="1:10" ht="30" x14ac:dyDescent="0.25">
      <c r="A56" s="11">
        <v>46310</v>
      </c>
      <c r="B56" t="s">
        <v>81</v>
      </c>
      <c r="C56" s="5" t="s">
        <v>175</v>
      </c>
      <c r="D56" t="s">
        <v>12</v>
      </c>
      <c r="E56" t="s">
        <v>16</v>
      </c>
      <c r="F56" t="s">
        <v>16</v>
      </c>
      <c r="G56" t="s">
        <v>176</v>
      </c>
      <c r="H56" t="s">
        <v>11</v>
      </c>
      <c r="I56" t="str">
        <f>_xlfn.XLOOKUP(Tabla1[[#This Row],[Dependencia]],Tabla2[Dependencia],Tabla2[Clasificación],"XXX",0)</f>
        <v>Alcaldías</v>
      </c>
      <c r="J56" t="str">
        <f>_xlfn.XLOOKUP(Tabla1[[#This Row],[Dependencia]],Tabla3[Dependencia],Tabla3[Nivel],"Otros",0)</f>
        <v>Otros</v>
      </c>
    </row>
    <row r="57" spans="1:10" ht="30" x14ac:dyDescent="0.25">
      <c r="A57" s="11">
        <v>46310</v>
      </c>
      <c r="B57" t="s">
        <v>81</v>
      </c>
      <c r="C57" s="5" t="s">
        <v>177</v>
      </c>
      <c r="D57" t="s">
        <v>79</v>
      </c>
      <c r="E57" t="s">
        <v>36</v>
      </c>
      <c r="F57" t="s">
        <v>36</v>
      </c>
      <c r="G57" t="s">
        <v>89</v>
      </c>
      <c r="H57" t="s">
        <v>11</v>
      </c>
      <c r="I57" t="str">
        <f>_xlfn.XLOOKUP(Tabla1[[#This Row],[Dependencia]],Tabla2[Dependencia],Tabla2[Clasificación],"XXX",0)</f>
        <v>Gobierno del estado</v>
      </c>
      <c r="J57" t="str">
        <f>_xlfn.XLOOKUP(Tabla1[[#This Row],[Dependencia]],Tabla3[Dependencia],Tabla3[Nivel],"Otros",0)</f>
        <v>Gabinete</v>
      </c>
    </row>
    <row r="58" spans="1:10" ht="30" x14ac:dyDescent="0.25">
      <c r="A58" s="11">
        <v>46310</v>
      </c>
      <c r="B58" t="s">
        <v>100</v>
      </c>
      <c r="C58" s="5" t="s">
        <v>178</v>
      </c>
      <c r="D58" t="s">
        <v>13</v>
      </c>
      <c r="E58" t="s">
        <v>29</v>
      </c>
      <c r="F58" t="s">
        <v>87</v>
      </c>
      <c r="G58" t="s">
        <v>84</v>
      </c>
      <c r="H58" t="s">
        <v>72</v>
      </c>
      <c r="I58" t="str">
        <f>_xlfn.XLOOKUP(Tabla1[[#This Row],[Dependencia]],Tabla2[Dependencia],Tabla2[Clasificación],"XXX",0)</f>
        <v>Gobierno del estado</v>
      </c>
      <c r="J58" t="str">
        <f>_xlfn.XLOOKUP(Tabla1[[#This Row],[Dependencia]],Tabla3[Dependencia],Tabla3[Nivel],"Otros",0)</f>
        <v>Gabinete</v>
      </c>
    </row>
    <row r="59" spans="1:10" ht="30" x14ac:dyDescent="0.25">
      <c r="A59" s="11">
        <v>46310</v>
      </c>
      <c r="B59" t="s">
        <v>100</v>
      </c>
      <c r="C59" s="5" t="s">
        <v>179</v>
      </c>
      <c r="D59" t="s">
        <v>12</v>
      </c>
      <c r="E59" t="s">
        <v>54</v>
      </c>
      <c r="F59" t="s">
        <v>2</v>
      </c>
      <c r="G59" t="s">
        <v>90</v>
      </c>
      <c r="H59" t="s">
        <v>11</v>
      </c>
      <c r="I59" t="str">
        <f>_xlfn.XLOOKUP(Tabla1[[#This Row],[Dependencia]],Tabla2[Dependencia],Tabla2[Clasificación],"XXX",0)</f>
        <v>Gobierno del estado</v>
      </c>
      <c r="J59" t="str">
        <f>_xlfn.XLOOKUP(Tabla1[[#This Row],[Dependencia]],Tabla3[Dependencia],Tabla3[Nivel],"Otros",0)</f>
        <v>Gabinete</v>
      </c>
    </row>
    <row r="60" spans="1:10" ht="30" x14ac:dyDescent="0.25">
      <c r="A60" s="11">
        <v>46310</v>
      </c>
      <c r="B60" t="s">
        <v>100</v>
      </c>
      <c r="C60" s="5" t="s">
        <v>180</v>
      </c>
      <c r="D60" t="s">
        <v>12</v>
      </c>
      <c r="E60" t="s">
        <v>34</v>
      </c>
      <c r="F60" t="s">
        <v>2</v>
      </c>
      <c r="G60" t="s">
        <v>90</v>
      </c>
      <c r="H60" t="s">
        <v>72</v>
      </c>
      <c r="I60" t="str">
        <f>_xlfn.XLOOKUP(Tabla1[[#This Row],[Dependencia]],Tabla2[Dependencia],Tabla2[Clasificación],"XXX",0)</f>
        <v>Gobierno del estado</v>
      </c>
      <c r="J60" t="str">
        <f>_xlfn.XLOOKUP(Tabla1[[#This Row],[Dependencia]],Tabla3[Dependencia],Tabla3[Nivel],"Otros",0)</f>
        <v>Gabinete</v>
      </c>
    </row>
    <row r="61" spans="1:10" ht="30" x14ac:dyDescent="0.25">
      <c r="A61" s="11">
        <v>46310</v>
      </c>
      <c r="B61" t="s">
        <v>100</v>
      </c>
      <c r="C61" s="5" t="s">
        <v>181</v>
      </c>
      <c r="D61" t="s">
        <v>12</v>
      </c>
      <c r="E61" t="s">
        <v>26</v>
      </c>
      <c r="F61" t="s">
        <v>2</v>
      </c>
      <c r="G61" t="s">
        <v>182</v>
      </c>
      <c r="H61" t="s">
        <v>11</v>
      </c>
      <c r="I61" t="str">
        <f>_xlfn.XLOOKUP(Tabla1[[#This Row],[Dependencia]],Tabla2[Dependencia],Tabla2[Clasificación],"XXX",0)</f>
        <v>Gobierno del estado</v>
      </c>
      <c r="J61" t="str">
        <f>_xlfn.XLOOKUP(Tabla1[[#This Row],[Dependencia]],Tabla3[Dependencia],Tabla3[Nivel],"Otros",0)</f>
        <v>Gabinete</v>
      </c>
    </row>
    <row r="62" spans="1:10" ht="30" x14ac:dyDescent="0.25">
      <c r="A62" s="11">
        <v>46310</v>
      </c>
      <c r="B62" t="s">
        <v>100</v>
      </c>
      <c r="C62" s="5" t="s">
        <v>183</v>
      </c>
      <c r="D62" t="s">
        <v>12</v>
      </c>
      <c r="E62" t="s">
        <v>16</v>
      </c>
      <c r="F62" t="s">
        <v>86</v>
      </c>
      <c r="G62" t="s">
        <v>139</v>
      </c>
      <c r="H62" t="s">
        <v>11</v>
      </c>
      <c r="I62" t="str">
        <f>_xlfn.XLOOKUP(Tabla1[[#This Row],[Dependencia]],Tabla2[Dependencia],Tabla2[Clasificación],"XXX",0)</f>
        <v>Alcaldías</v>
      </c>
      <c r="J62" t="str">
        <f>_xlfn.XLOOKUP(Tabla1[[#This Row],[Dependencia]],Tabla3[Dependencia],Tabla3[Nivel],"Otros",0)</f>
        <v>Otros</v>
      </c>
    </row>
    <row r="63" spans="1:10" x14ac:dyDescent="0.25">
      <c r="A63" s="11">
        <v>46310</v>
      </c>
      <c r="B63" t="s">
        <v>100</v>
      </c>
      <c r="C63" s="5" t="s">
        <v>184</v>
      </c>
      <c r="D63" t="s">
        <v>79</v>
      </c>
      <c r="E63" t="s">
        <v>16</v>
      </c>
      <c r="F63" t="s">
        <v>16</v>
      </c>
      <c r="G63" t="s">
        <v>83</v>
      </c>
      <c r="H63" t="s">
        <v>11</v>
      </c>
      <c r="I63" t="str">
        <f>_xlfn.XLOOKUP(Tabla1[[#This Row],[Dependencia]],Tabla2[Dependencia],Tabla2[Clasificación],"XXX",0)</f>
        <v>Alcaldías</v>
      </c>
      <c r="J63" t="str">
        <f>_xlfn.XLOOKUP(Tabla1[[#This Row],[Dependencia]],Tabla3[Dependencia],Tabla3[Nivel],"Otros",0)</f>
        <v>Otros</v>
      </c>
    </row>
    <row r="64" spans="1:10" ht="30" x14ac:dyDescent="0.25">
      <c r="A64" s="11">
        <v>46310</v>
      </c>
      <c r="B64" t="s">
        <v>100</v>
      </c>
      <c r="C64" s="5" t="s">
        <v>185</v>
      </c>
      <c r="D64" t="s">
        <v>79</v>
      </c>
      <c r="E64" t="s">
        <v>36</v>
      </c>
      <c r="F64" t="s">
        <v>36</v>
      </c>
      <c r="G64" t="s">
        <v>89</v>
      </c>
      <c r="H64" t="s">
        <v>11</v>
      </c>
      <c r="I64" t="str">
        <f>_xlfn.XLOOKUP(Tabla1[[#This Row],[Dependencia]],Tabla2[Dependencia],Tabla2[Clasificación],"XXX",0)</f>
        <v>Gobierno del estado</v>
      </c>
      <c r="J64" t="str">
        <f>_xlfn.XLOOKUP(Tabla1[[#This Row],[Dependencia]],Tabla3[Dependencia],Tabla3[Nivel],"Otros",0)</f>
        <v>Gabinete</v>
      </c>
    </row>
  </sheetData>
  <conditionalFormatting sqref="I2:I64">
    <cfRule type="expression" dxfId="1" priority="1">
      <formula>$I2="XXX"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DEFD-FF29-4969-B1FC-DF47C7CD743C}">
  <dimension ref="A1:E49"/>
  <sheetViews>
    <sheetView workbookViewId="0">
      <selection activeCell="B48" sqref="B48"/>
    </sheetView>
  </sheetViews>
  <sheetFormatPr baseColWidth="10" defaultRowHeight="15" x14ac:dyDescent="0.25"/>
  <cols>
    <col min="1" max="1" width="20.85546875" bestFit="1" customWidth="1"/>
    <col min="2" max="2" width="25.7109375" bestFit="1" customWidth="1"/>
    <col min="4" max="4" width="15.140625" customWidth="1"/>
  </cols>
  <sheetData>
    <row r="1" spans="1:5" x14ac:dyDescent="0.25">
      <c r="A1" t="s">
        <v>4</v>
      </c>
      <c r="B1" t="s">
        <v>30</v>
      </c>
      <c r="D1" s="7" t="s">
        <v>4</v>
      </c>
      <c r="E1" t="s">
        <v>65</v>
      </c>
    </row>
    <row r="2" spans="1:5" x14ac:dyDescent="0.25">
      <c r="A2" t="s">
        <v>61</v>
      </c>
      <c r="B2" t="s">
        <v>62</v>
      </c>
      <c r="D2" s="9" t="s">
        <v>19</v>
      </c>
      <c r="E2" t="s">
        <v>66</v>
      </c>
    </row>
    <row r="3" spans="1:5" x14ac:dyDescent="0.25">
      <c r="A3" t="s">
        <v>16</v>
      </c>
      <c r="B3" t="s">
        <v>31</v>
      </c>
      <c r="D3" s="8" t="s">
        <v>67</v>
      </c>
      <c r="E3" t="s">
        <v>66</v>
      </c>
    </row>
    <row r="4" spans="1:5" x14ac:dyDescent="0.25">
      <c r="A4" t="s">
        <v>19</v>
      </c>
      <c r="B4" t="s">
        <v>32</v>
      </c>
      <c r="D4" s="8" t="s">
        <v>34</v>
      </c>
      <c r="E4" t="s">
        <v>66</v>
      </c>
    </row>
    <row r="5" spans="1:5" x14ac:dyDescent="0.25">
      <c r="A5" t="s">
        <v>60</v>
      </c>
      <c r="B5" t="s">
        <v>10</v>
      </c>
      <c r="D5" s="9" t="s">
        <v>28</v>
      </c>
      <c r="E5" t="s">
        <v>66</v>
      </c>
    </row>
    <row r="6" spans="1:5" x14ac:dyDescent="0.25">
      <c r="A6" t="s">
        <v>67</v>
      </c>
      <c r="B6" t="s">
        <v>32</v>
      </c>
      <c r="D6" s="9" t="s">
        <v>35</v>
      </c>
      <c r="E6" t="s">
        <v>66</v>
      </c>
    </row>
    <row r="7" spans="1:5" x14ac:dyDescent="0.25">
      <c r="A7" t="s">
        <v>33</v>
      </c>
      <c r="B7" t="s">
        <v>10</v>
      </c>
      <c r="D7" s="8" t="s">
        <v>36</v>
      </c>
      <c r="E7" t="s">
        <v>66</v>
      </c>
    </row>
    <row r="8" spans="1:5" x14ac:dyDescent="0.25">
      <c r="A8" t="s">
        <v>34</v>
      </c>
      <c r="B8" t="s">
        <v>32</v>
      </c>
      <c r="D8" s="8" t="s">
        <v>36</v>
      </c>
      <c r="E8" t="s">
        <v>66</v>
      </c>
    </row>
    <row r="9" spans="1:5" x14ac:dyDescent="0.25">
      <c r="A9" t="s">
        <v>28</v>
      </c>
      <c r="B9" t="s">
        <v>32</v>
      </c>
      <c r="D9" s="8" t="s">
        <v>37</v>
      </c>
      <c r="E9" t="s">
        <v>66</v>
      </c>
    </row>
    <row r="10" spans="1:5" x14ac:dyDescent="0.25">
      <c r="A10" t="s">
        <v>25</v>
      </c>
      <c r="B10" t="s">
        <v>10</v>
      </c>
      <c r="D10" s="9" t="s">
        <v>24</v>
      </c>
      <c r="E10" t="s">
        <v>24</v>
      </c>
    </row>
    <row r="11" spans="1:5" x14ac:dyDescent="0.25">
      <c r="A11" t="s">
        <v>35</v>
      </c>
      <c r="B11" t="s">
        <v>32</v>
      </c>
      <c r="D11" s="8" t="s">
        <v>38</v>
      </c>
      <c r="E11" t="s">
        <v>66</v>
      </c>
    </row>
    <row r="12" spans="1:5" x14ac:dyDescent="0.25">
      <c r="A12" t="s">
        <v>36</v>
      </c>
      <c r="B12" t="s">
        <v>32</v>
      </c>
      <c r="D12" s="9" t="s">
        <v>39</v>
      </c>
      <c r="E12" t="s">
        <v>66</v>
      </c>
    </row>
    <row r="13" spans="1:5" x14ac:dyDescent="0.25">
      <c r="A13" t="s">
        <v>36</v>
      </c>
      <c r="B13" t="s">
        <v>32</v>
      </c>
      <c r="D13" s="9" t="s">
        <v>39</v>
      </c>
      <c r="E13" t="s">
        <v>66</v>
      </c>
    </row>
    <row r="14" spans="1:5" x14ac:dyDescent="0.25">
      <c r="A14" t="s">
        <v>63</v>
      </c>
      <c r="B14" t="s">
        <v>44</v>
      </c>
      <c r="D14" s="8" t="s">
        <v>21</v>
      </c>
      <c r="E14" t="s">
        <v>66</v>
      </c>
    </row>
    <row r="15" spans="1:5" x14ac:dyDescent="0.25">
      <c r="A15" t="s">
        <v>37</v>
      </c>
      <c r="B15" t="s">
        <v>32</v>
      </c>
      <c r="D15" s="9" t="s">
        <v>17</v>
      </c>
      <c r="E15" t="s">
        <v>66</v>
      </c>
    </row>
    <row r="16" spans="1:5" x14ac:dyDescent="0.25">
      <c r="A16" t="s">
        <v>24</v>
      </c>
      <c r="B16" t="s">
        <v>32</v>
      </c>
      <c r="D16" s="8" t="s">
        <v>47</v>
      </c>
      <c r="E16" t="s">
        <v>66</v>
      </c>
    </row>
    <row r="17" spans="1:5" x14ac:dyDescent="0.25">
      <c r="A17" t="s">
        <v>38</v>
      </c>
      <c r="B17" t="s">
        <v>32</v>
      </c>
      <c r="D17" s="8" t="s">
        <v>53</v>
      </c>
      <c r="E17" t="s">
        <v>66</v>
      </c>
    </row>
    <row r="18" spans="1:5" x14ac:dyDescent="0.25">
      <c r="A18" t="s">
        <v>39</v>
      </c>
      <c r="B18" t="s">
        <v>32</v>
      </c>
      <c r="D18" s="8" t="s">
        <v>54</v>
      </c>
      <c r="E18" t="s">
        <v>66</v>
      </c>
    </row>
    <row r="19" spans="1:5" x14ac:dyDescent="0.25">
      <c r="A19" t="s">
        <v>40</v>
      </c>
      <c r="B19" t="s">
        <v>10</v>
      </c>
      <c r="D19" s="8" t="s">
        <v>23</v>
      </c>
      <c r="E19" t="s">
        <v>66</v>
      </c>
    </row>
    <row r="20" spans="1:5" x14ac:dyDescent="0.25">
      <c r="A20" t="s">
        <v>41</v>
      </c>
      <c r="B20" t="s">
        <v>42</v>
      </c>
      <c r="D20" s="9" t="s">
        <v>20</v>
      </c>
      <c r="E20" t="s">
        <v>66</v>
      </c>
    </row>
    <row r="21" spans="1:5" x14ac:dyDescent="0.25">
      <c r="A21" t="s">
        <v>43</v>
      </c>
      <c r="B21" t="s">
        <v>44</v>
      </c>
      <c r="D21" s="8" t="s">
        <v>27</v>
      </c>
      <c r="E21" t="s">
        <v>66</v>
      </c>
    </row>
    <row r="22" spans="1:5" x14ac:dyDescent="0.25">
      <c r="A22" t="s">
        <v>18</v>
      </c>
      <c r="B22" t="s">
        <v>44</v>
      </c>
      <c r="D22" s="9" t="s">
        <v>26</v>
      </c>
      <c r="E22" t="s">
        <v>66</v>
      </c>
    </row>
    <row r="23" spans="1:5" x14ac:dyDescent="0.25">
      <c r="A23" t="s">
        <v>21</v>
      </c>
      <c r="B23" t="s">
        <v>32</v>
      </c>
      <c r="D23" s="8" t="s">
        <v>55</v>
      </c>
      <c r="E23" t="s">
        <v>66</v>
      </c>
    </row>
    <row r="24" spans="1:5" x14ac:dyDescent="0.25">
      <c r="A24" t="s">
        <v>10</v>
      </c>
      <c r="B24" t="s">
        <v>10</v>
      </c>
      <c r="D24" s="8" t="s">
        <v>15</v>
      </c>
      <c r="E24" t="s">
        <v>66</v>
      </c>
    </row>
    <row r="25" spans="1:5" x14ac:dyDescent="0.25">
      <c r="A25" t="s">
        <v>45</v>
      </c>
      <c r="B25" t="s">
        <v>44</v>
      </c>
      <c r="D25" s="9" t="s">
        <v>22</v>
      </c>
      <c r="E25" t="s">
        <v>66</v>
      </c>
    </row>
    <row r="26" spans="1:5" x14ac:dyDescent="0.25">
      <c r="A26" t="s">
        <v>46</v>
      </c>
      <c r="B26" t="s">
        <v>44</v>
      </c>
      <c r="D26" s="8" t="s">
        <v>56</v>
      </c>
      <c r="E26" t="s">
        <v>66</v>
      </c>
    </row>
    <row r="27" spans="1:5" x14ac:dyDescent="0.25">
      <c r="A27" t="s">
        <v>64</v>
      </c>
      <c r="B27" t="s">
        <v>44</v>
      </c>
      <c r="D27" s="10" t="s">
        <v>29</v>
      </c>
      <c r="E27" t="s">
        <v>66</v>
      </c>
    </row>
    <row r="28" spans="1:5" x14ac:dyDescent="0.25">
      <c r="A28" t="s">
        <v>17</v>
      </c>
      <c r="B28" t="s">
        <v>32</v>
      </c>
    </row>
    <row r="29" spans="1:5" x14ac:dyDescent="0.25">
      <c r="A29" t="s">
        <v>47</v>
      </c>
      <c r="B29" t="s">
        <v>32</v>
      </c>
    </row>
    <row r="30" spans="1:5" x14ac:dyDescent="0.25">
      <c r="A30" t="s">
        <v>48</v>
      </c>
      <c r="B30" t="s">
        <v>44</v>
      </c>
    </row>
    <row r="31" spans="1:5" x14ac:dyDescent="0.25">
      <c r="A31" t="s">
        <v>14</v>
      </c>
      <c r="B31" t="s">
        <v>49</v>
      </c>
    </row>
    <row r="32" spans="1:5" x14ac:dyDescent="0.25">
      <c r="A32" t="s">
        <v>50</v>
      </c>
      <c r="B32" t="s">
        <v>44</v>
      </c>
    </row>
    <row r="33" spans="1:2" x14ac:dyDescent="0.25">
      <c r="A33" t="s">
        <v>51</v>
      </c>
      <c r="B33" t="s">
        <v>44</v>
      </c>
    </row>
    <row r="34" spans="1:2" x14ac:dyDescent="0.25">
      <c r="A34" t="s">
        <v>52</v>
      </c>
      <c r="B34" t="s">
        <v>44</v>
      </c>
    </row>
    <row r="35" spans="1:2" x14ac:dyDescent="0.25">
      <c r="A35" t="s">
        <v>53</v>
      </c>
      <c r="B35" t="s">
        <v>32</v>
      </c>
    </row>
    <row r="36" spans="1:2" x14ac:dyDescent="0.25">
      <c r="A36" t="s">
        <v>54</v>
      </c>
      <c r="B36" t="s">
        <v>32</v>
      </c>
    </row>
    <row r="37" spans="1:2" x14ac:dyDescent="0.25">
      <c r="A37" t="s">
        <v>23</v>
      </c>
      <c r="B37" t="s">
        <v>32</v>
      </c>
    </row>
    <row r="38" spans="1:2" x14ac:dyDescent="0.25">
      <c r="A38" t="s">
        <v>20</v>
      </c>
      <c r="B38" t="s">
        <v>32</v>
      </c>
    </row>
    <row r="39" spans="1:2" x14ac:dyDescent="0.25">
      <c r="A39" t="s">
        <v>27</v>
      </c>
      <c r="B39" t="s">
        <v>32</v>
      </c>
    </row>
    <row r="40" spans="1:2" x14ac:dyDescent="0.25">
      <c r="A40" t="s">
        <v>26</v>
      </c>
      <c r="B40" t="s">
        <v>32</v>
      </c>
    </row>
    <row r="41" spans="1:2" x14ac:dyDescent="0.25">
      <c r="A41" t="s">
        <v>55</v>
      </c>
      <c r="B41" t="s">
        <v>32</v>
      </c>
    </row>
    <row r="42" spans="1:2" x14ac:dyDescent="0.25">
      <c r="A42" t="s">
        <v>15</v>
      </c>
      <c r="B42" t="s">
        <v>32</v>
      </c>
    </row>
    <row r="43" spans="1:2" x14ac:dyDescent="0.25">
      <c r="A43" t="s">
        <v>22</v>
      </c>
      <c r="B43" t="s">
        <v>32</v>
      </c>
    </row>
    <row r="44" spans="1:2" x14ac:dyDescent="0.25">
      <c r="A44" t="s">
        <v>56</v>
      </c>
      <c r="B44" t="s">
        <v>32</v>
      </c>
    </row>
    <row r="45" spans="1:2" x14ac:dyDescent="0.25">
      <c r="A45" t="s">
        <v>57</v>
      </c>
      <c r="B45" t="s">
        <v>10</v>
      </c>
    </row>
    <row r="46" spans="1:2" x14ac:dyDescent="0.25">
      <c r="A46" t="s">
        <v>58</v>
      </c>
      <c r="B46" t="s">
        <v>10</v>
      </c>
    </row>
    <row r="47" spans="1:2" x14ac:dyDescent="0.25">
      <c r="A47" t="s">
        <v>29</v>
      </c>
      <c r="B47" t="s">
        <v>32</v>
      </c>
    </row>
    <row r="48" spans="1:2" x14ac:dyDescent="0.25">
      <c r="A48" t="s">
        <v>59</v>
      </c>
      <c r="B48" t="s">
        <v>10</v>
      </c>
    </row>
    <row r="49" spans="1:2" x14ac:dyDescent="0.25">
      <c r="A49" t="s">
        <v>75</v>
      </c>
      <c r="B49" t="s">
        <v>44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Villeda Velazquez</dc:creator>
  <cp:lastModifiedBy>Francisco Villeda Velazquez</cp:lastModifiedBy>
  <dcterms:created xsi:type="dcterms:W3CDTF">2026-02-26T13:38:55Z</dcterms:created>
  <dcterms:modified xsi:type="dcterms:W3CDTF">2026-10-15T16:09:00Z</dcterms:modified>
</cp:coreProperties>
</file>