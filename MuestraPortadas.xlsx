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EFFB1808-1F55-47A1-9498-9A77ADB827C2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5" i="1" l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I44" i="1"/>
  <c r="J44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I2" i="1"/>
  <c r="J2" i="1"/>
</calcChain>
</file>

<file path=xl/sharedStrings.xml><?xml version="1.0" encoding="utf-8"?>
<sst xmlns="http://schemas.openxmlformats.org/spreadsheetml/2006/main" count="587" uniqueCount="194">
  <si>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</si>
  <si>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</si>
  <si>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</si>
  <si>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</si>
  <si>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</si>
  <si>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</si>
  <si>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</si>
  <si>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</si>
  <si>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</si>
  <si>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</si>
  <si>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</si>
  <si>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</si>
  <si>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</si>
  <si>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</si>
  <si>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</si>
  <si>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</si>
  <si>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</si>
  <si>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</si>
  <si>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</si>
  <si>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</si>
  <si>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</si>
  <si>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</si>
  <si>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</si>
  <si>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</si>
  <si>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</si>
  <si>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</si>
  <si>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</si>
  <si>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</si>
  <si>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</si>
  <si>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</si>
  <si>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</si>
  <si>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</si>
  <si>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</si>
  <si>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</si>
  <si>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</si>
  <si>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</si>
  <si>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</si>
  <si>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</si>
  <si>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</si>
  <si>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</si>
  <si>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</si>
  <si>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</si>
  <si>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</si>
  <si>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</si>
  <si>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</si>
  <si>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</si>
  <si>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</si>
  <si>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</si>
  <si>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</si>
  <si>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</si>
  <si>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</si>
  <si>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</si>
  <si>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</si>
  <si>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</si>
  <si>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</si>
  <si>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</si>
  <si>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</si>
  <si>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</si>
  <si>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</si>
  <si>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</si>
  <si>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</si>
  <si>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</si>
  <si>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</si>
  <si>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</si>
  <si>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</si>
  <si>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</si>
  <si>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</si>
  <si>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</si>
  <si>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</si>
  <si>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</si>
  <si>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</si>
  <si>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</si>
  <si>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Pachuca Brilla</t>
  </si>
  <si>
    <t>Temas varios</t>
  </si>
  <si>
    <t>Deportes</t>
  </si>
  <si>
    <t>Plaza Juárez</t>
  </si>
  <si>
    <t>Publicidad</t>
  </si>
  <si>
    <t>Videovigilancia</t>
  </si>
  <si>
    <t>Zunoticia</t>
  </si>
  <si>
    <t>Sipdus</t>
  </si>
  <si>
    <t>Criterio</t>
  </si>
  <si>
    <t>Marfeca</t>
  </si>
  <si>
    <t>Cintillo</t>
  </si>
  <si>
    <t>Simey</t>
  </si>
  <si>
    <t>Reforestación</t>
  </si>
  <si>
    <t>Positiva</t>
  </si>
  <si>
    <t>Bienestar Animal</t>
  </si>
  <si>
    <t>Sucesión alcaldía</t>
  </si>
  <si>
    <t>Síntesis</t>
  </si>
  <si>
    <t>Informe de actividades</t>
  </si>
  <si>
    <t>Policía municipal</t>
  </si>
  <si>
    <t>Detención</t>
  </si>
  <si>
    <t>Milenio Hidalgo</t>
  </si>
  <si>
    <t>El estado recauda más, invierte más... y debe menos: Hacienda</t>
  </si>
  <si>
    <t>Disciplina financiera</t>
  </si>
  <si>
    <t>Van por la eliminación del subejercicio presupuestal</t>
  </si>
  <si>
    <t>Acepta 57% de afectados apoyos para reubicación</t>
  </si>
  <si>
    <t>Reubicación de viviendas</t>
  </si>
  <si>
    <t>Buscan meter en cintura a los policías municipales</t>
  </si>
  <si>
    <t>Certificación policial</t>
  </si>
  <si>
    <t>Disfrutan de la barbacoa más grande del mundo</t>
  </si>
  <si>
    <t>Festival Gastronómico</t>
  </si>
  <si>
    <t>Buscan a cientos entre escombros</t>
  </si>
  <si>
    <t>Sismo</t>
  </si>
  <si>
    <t>La imagen urbana, sin tinte de 4T</t>
  </si>
  <si>
    <t>Alcalde</t>
  </si>
  <si>
    <t>Imagen Urbana</t>
  </si>
  <si>
    <t>Los incendios afectan 25 mil hectáreas de zonas boscosas</t>
  </si>
  <si>
    <t>Incendios forestales</t>
  </si>
  <si>
    <t>Proponen evitar que los menores sean reclutados</t>
  </si>
  <si>
    <t>Iniciativa</t>
  </si>
  <si>
    <t>Inician trabajos para rehabilitar el Felipe Ángeles</t>
  </si>
  <si>
    <t>Rehabilitación Vial</t>
  </si>
  <si>
    <t>Alcalde denuncia plan integral de imagen urbana</t>
  </si>
  <si>
    <t>En 4 años triplican inversión en obras y programas sociales</t>
  </si>
  <si>
    <t>Ofrece México su ayuda a Colombia por terremoto</t>
  </si>
  <si>
    <t>ayuda Humanitaria</t>
  </si>
  <si>
    <t>Mientras en el mundo se debate cómo ponerle límites a una tecnología capaz de tumbar un sistema de agua potable, nuestros legisladores locales andan muy concentrados discutiendo métodos realmente primitivos para simular paridad en las próximas elecciones”.</t>
  </si>
  <si>
    <t>Inteligencia Artificial</t>
  </si>
  <si>
    <t>"Pintaremos toda la ciudad": anuncia Jorge Reyes</t>
  </si>
  <si>
    <t>Recibirá Hidalgo a 5 mil deportistas en la Gimnasiada Nacional 2026</t>
  </si>
  <si>
    <t>Inhide</t>
  </si>
  <si>
    <t>Gimnasiada nacioal</t>
  </si>
  <si>
    <t>Denuncian falsas no llegan ni al 2% en Hidalgo: procurador estatal</t>
  </si>
  <si>
    <t>Denuncias falsas</t>
  </si>
  <si>
    <t>En revisión 273 casos que no aparecen en listados de posibles afectados por lluvias</t>
  </si>
  <si>
    <t>Huracán Priscilla</t>
  </si>
  <si>
    <t>Confirman 4 corridas de toros en Feria San Francisco 2026</t>
  </si>
  <si>
    <t>OEEH</t>
  </si>
  <si>
    <t>Feria Pachuca</t>
  </si>
  <si>
    <t>CFE incumplió acuerdos y bloquearon carretera</t>
  </si>
  <si>
    <t>CFE</t>
  </si>
  <si>
    <t>Cierre Carretero</t>
  </si>
  <si>
    <t>Concluye en Hidalgo etapa informativa del gobierno federal por vaguada monzónica</t>
  </si>
  <si>
    <t>Huejutla epicentro comercial, cultural y social más importante de la Huasteca</t>
  </si>
  <si>
    <t>Tarifas bajas de CFE por apoyo gubernamental</t>
  </si>
  <si>
    <t>Tarifas CFE</t>
  </si>
  <si>
    <t>Con esferas de vida, Semarnath impulsa recuperación de los bosques de Hidalgo</t>
  </si>
  <si>
    <t>IEEH convoca a participar por una Consejería Distrital para las Elecciones locales</t>
  </si>
  <si>
    <t>Dajiedhi hace historia con más de 100 borregos y 2 mil pollos en su monumental horno de barbacoa</t>
  </si>
  <si>
    <t>¡Hidalgo da la sorpresa! Se coloca entre los estados mejor evaluados y presume finanzas históricas</t>
  </si>
  <si>
    <t>En la huasteca, Simay Olvera inicia su gira de rendición de cuentas</t>
  </si>
  <si>
    <t>Claudia Sandoval apuesta por un gobierno que se evalúa y entrega resultados</t>
  </si>
  <si>
    <t>Rendición de cuentas</t>
  </si>
  <si>
    <t>Anuncia Jorge Reyes plan de imagen urbana: "Pintaremos toda la ciudad"</t>
  </si>
  <si>
    <t>Ajacuba fortalece su planeación territorial con la participación de sus comunidades</t>
  </si>
  <si>
    <t>Copladem</t>
  </si>
  <si>
    <t>¡Cayó al vender su vehículo! Policía de Pachuca detiene a hombre con mandamiento vigente</t>
  </si>
  <si>
    <t>Hidalgo, primer lugar en eficiencia recaudatoria; aumenta inversión pública</t>
  </si>
  <si>
    <t>Aseguran a 27 personas por narcomenudeo: Gabinete de Seguridad</t>
  </si>
  <si>
    <t>Reunión Gabinete De Seguridad</t>
  </si>
  <si>
    <t>Ciudad Deportiva de Alto Rendimiento recibirá Gimnasiada Nacional</t>
  </si>
  <si>
    <t>Gimnasiada Nacional</t>
  </si>
  <si>
    <t>Entrega Natividad Castrejón obra de 4.3 mdp en Conalepo plantel Tepeji</t>
  </si>
  <si>
    <t>Entrega de infraestructura escolar</t>
  </si>
  <si>
    <t>Anuncia Jorge Reyes plan de Imagen Urbana: "Pintaremos toda la ciudad"</t>
  </si>
  <si>
    <t>Canta por tu perro</t>
  </si>
  <si>
    <t>Proespa</t>
  </si>
  <si>
    <t>Más tecnología</t>
  </si>
  <si>
    <t>Gobierno reduce deuda heredada en 42 por ciento</t>
  </si>
  <si>
    <t>Terremoto de 7.4 grados sacude Colombia</t>
  </si>
  <si>
    <t>Más de 200 casos de viviendas dañadas serán analizada</t>
  </si>
  <si>
    <t>Destapan horno gigante de barbacoa de borrego</t>
  </si>
  <si>
    <t>Recuperan espacios públicos en Pachuca</t>
  </si>
  <si>
    <t>Recuperar la atención tarda 20 minutos</t>
  </si>
  <si>
    <t>Regulación de dispositivos digitales</t>
  </si>
  <si>
    <t>Hasta cien años para reforestar el Río Tula</t>
  </si>
  <si>
    <t>Conagua</t>
  </si>
  <si>
    <t>Saneamiento río Tula</t>
  </si>
  <si>
    <t>Piden participar en la toma de decisiones</t>
  </si>
  <si>
    <t>Apoyo a pueblos originarios</t>
  </si>
  <si>
    <t>Señalan daños en salud por quemar basura</t>
  </si>
  <si>
    <t>Disposición de basura</t>
  </si>
  <si>
    <t>Registran partidos nuevos una desbandada</t>
  </si>
  <si>
    <t>Registro partidos</t>
  </si>
  <si>
    <t>Abren megahorno de barbacoa</t>
  </si>
  <si>
    <t>Duplica Hidalgo recursos propios</t>
  </si>
  <si>
    <t>Van 27 pesos por venta de estupefacientes</t>
  </si>
  <si>
    <t>Combate Al Narcomenudeo</t>
  </si>
  <si>
    <t>Obesidad crece 35% en 7 meses</t>
  </si>
  <si>
    <t>Obesidad</t>
  </si>
  <si>
    <t>Obras de UAEH dejan daños en inmuebles</t>
  </si>
  <si>
    <t>Obras mal ejecutadas</t>
  </si>
  <si>
    <t>Guía para entender el conflicto del futbol</t>
  </si>
  <si>
    <t>El Pachuca, a pagar Charlotte</t>
  </si>
  <si>
    <t>SUMAN 15 POLICÍAS DETENIDOS POR ESTAR IMPLICADOS EN DELITOS</t>
  </si>
  <si>
    <t>Detención de policía</t>
  </si>
  <si>
    <t>Hidalgo, con más crecimiento de los recursos de participaciones</t>
  </si>
  <si>
    <t>La estanzuela luce a tope tras las lluvias</t>
  </si>
  <si>
    <t>Monitoreo De Presas</t>
  </si>
  <si>
    <t>Violencia vicaria sigue invisible en la entidad, señala activista</t>
  </si>
  <si>
    <t>Violencia Vicaria</t>
  </si>
  <si>
    <t>buscará PRI el regreso: va por los 84 municipios</t>
  </si>
  <si>
    <t>PRI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</si>
</sst>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2" totalsRowShown="0" headerRowDxfId="5" headerRowBorderDxfId="4">
  <autoFilter ref="A1:J62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2"/>
  <sheetViews>
    <sheetView tabSelected="1" topLeftCell="D46" workbookViewId="0">
      <selection activeCell="J62" sqref="J62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ht="29" x14ac:dyDescent="0.35">
      <c r="A2" s="11">
        <v>46245</v>
      </c>
      <c r="B2" t="s">
        <v>92</v>
      </c>
      <c r="C2" s="5" t="s">
        <v>93</v>
      </c>
      <c r="D2" t="s">
        <v>13</v>
      </c>
      <c r="E2" t="s">
        <v>39</v>
      </c>
      <c r="F2" t="s">
        <v>39</v>
      </c>
      <c r="G2" t="s">
        <v>94</v>
      </c>
      <c r="H2" t="s">
        <v>85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Gabinete</v>
      </c>
    </row>
    <row r="3" spans="1:10" x14ac:dyDescent="0.35">
      <c r="A3" s="11">
        <v>46245</v>
      </c>
      <c r="B3" t="s">
        <v>92</v>
      </c>
      <c r="C3" s="5" t="s">
        <v>95</v>
      </c>
      <c r="D3" t="s">
        <v>12</v>
      </c>
      <c r="E3" t="s">
        <v>39</v>
      </c>
      <c r="F3" t="s">
        <v>39</v>
      </c>
      <c r="G3" t="s">
        <v>94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35">
      <c r="A4" s="11">
        <v>46245</v>
      </c>
      <c r="B4" t="s">
        <v>92</v>
      </c>
      <c r="C4" s="5" t="s">
        <v>96</v>
      </c>
      <c r="D4" t="s">
        <v>12</v>
      </c>
      <c r="E4" t="s">
        <v>38</v>
      </c>
      <c r="F4" t="s">
        <v>38</v>
      </c>
      <c r="G4" t="s">
        <v>97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35">
      <c r="A5" s="11">
        <v>46245</v>
      </c>
      <c r="B5" t="s">
        <v>92</v>
      </c>
      <c r="C5" s="5" t="s">
        <v>98</v>
      </c>
      <c r="D5" t="s">
        <v>12</v>
      </c>
      <c r="E5" t="s">
        <v>22</v>
      </c>
      <c r="F5" t="s">
        <v>22</v>
      </c>
      <c r="G5" t="s">
        <v>99</v>
      </c>
      <c r="H5" t="s">
        <v>11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35">
      <c r="A6" s="11">
        <v>46245</v>
      </c>
      <c r="B6" t="s">
        <v>92</v>
      </c>
      <c r="C6" s="5" t="s">
        <v>100</v>
      </c>
      <c r="D6" t="s">
        <v>12</v>
      </c>
      <c r="E6" t="s">
        <v>16</v>
      </c>
      <c r="F6" t="s">
        <v>16</v>
      </c>
      <c r="G6" t="s">
        <v>101</v>
      </c>
      <c r="H6" t="s">
        <v>11</v>
      </c>
      <c r="I6" t="str">
        <f>_xlfn.XLOOKUP(Tabla1[[#This Row],[Dependencia]],Tabla2[Dependencia],Tabla2[Clasificación],"XXX",0)</f>
        <v>Alcaldías</v>
      </c>
      <c r="J6" t="str">
        <f>_xlfn.XLOOKUP(Tabla1[[#This Row],[Dependencia]],Tabla3[Dependencia],Tabla3[Nivel],"Otros",0)</f>
        <v>Otros</v>
      </c>
    </row>
    <row r="7" spans="1:10" x14ac:dyDescent="0.35">
      <c r="A7" s="11">
        <v>46245</v>
      </c>
      <c r="B7" t="s">
        <v>92</v>
      </c>
      <c r="C7" s="5" t="s">
        <v>102</v>
      </c>
      <c r="D7" t="s">
        <v>9</v>
      </c>
      <c r="E7" t="s">
        <v>10</v>
      </c>
      <c r="F7" t="s">
        <v>10</v>
      </c>
      <c r="G7" t="s">
        <v>103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35">
      <c r="A8" s="11">
        <v>46245</v>
      </c>
      <c r="B8" t="s">
        <v>92</v>
      </c>
      <c r="C8" s="5" t="s">
        <v>104</v>
      </c>
      <c r="D8" t="s">
        <v>12</v>
      </c>
      <c r="E8" t="s">
        <v>16</v>
      </c>
      <c r="F8" t="s">
        <v>105</v>
      </c>
      <c r="G8" t="s">
        <v>106</v>
      </c>
      <c r="H8" t="s">
        <v>11</v>
      </c>
      <c r="I8" t="str">
        <f>_xlfn.XLOOKUP(Tabla1[[#This Row],[Dependencia]],Tabla2[Dependencia],Tabla2[Clasificación],"XXX",0)</f>
        <v>Alcaldías</v>
      </c>
      <c r="J8" t="str">
        <f>_xlfn.XLOOKUP(Tabla1[[#This Row],[Dependencia]],Tabla3[Dependencia],Tabla3[Nivel],"Otros",0)</f>
        <v>Otros</v>
      </c>
    </row>
    <row r="9" spans="1:10" x14ac:dyDescent="0.35">
      <c r="A9" s="11">
        <v>46245</v>
      </c>
      <c r="B9" t="s">
        <v>92</v>
      </c>
      <c r="C9" s="5" t="s">
        <v>107</v>
      </c>
      <c r="D9" t="s">
        <v>12</v>
      </c>
      <c r="E9" t="s">
        <v>20</v>
      </c>
      <c r="F9" t="s">
        <v>20</v>
      </c>
      <c r="G9" t="s">
        <v>108</v>
      </c>
      <c r="H9" t="s">
        <v>70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35">
      <c r="A10" s="11">
        <v>46245</v>
      </c>
      <c r="B10" t="s">
        <v>92</v>
      </c>
      <c r="C10" s="5" t="s">
        <v>109</v>
      </c>
      <c r="D10" t="s">
        <v>12</v>
      </c>
      <c r="E10" t="s">
        <v>33</v>
      </c>
      <c r="F10" t="s">
        <v>33</v>
      </c>
      <c r="G10" t="s">
        <v>110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11">
        <v>46245</v>
      </c>
      <c r="B11" t="s">
        <v>68</v>
      </c>
      <c r="C11" s="5" t="s">
        <v>111</v>
      </c>
      <c r="D11" t="s">
        <v>9</v>
      </c>
      <c r="E11" t="s">
        <v>79</v>
      </c>
      <c r="F11" t="s">
        <v>79</v>
      </c>
      <c r="G11" t="s">
        <v>112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35">
      <c r="A12" s="11">
        <v>46245</v>
      </c>
      <c r="B12" t="s">
        <v>68</v>
      </c>
      <c r="C12" s="5" t="s">
        <v>113</v>
      </c>
      <c r="D12" t="s">
        <v>12</v>
      </c>
      <c r="E12" t="s">
        <v>16</v>
      </c>
      <c r="F12" t="s">
        <v>105</v>
      </c>
      <c r="G12" t="s">
        <v>106</v>
      </c>
      <c r="H12" t="s">
        <v>11</v>
      </c>
      <c r="I12" t="str">
        <f>_xlfn.XLOOKUP(Tabla1[[#This Row],[Dependencia]],Tabla2[Dependencia],Tabla2[Clasificación],"XXX",0)</f>
        <v>Alcaldías</v>
      </c>
      <c r="J12" t="str">
        <f>_xlfn.XLOOKUP(Tabla1[[#This Row],[Dependencia]],Tabla3[Dependencia],Tabla3[Nivel],"Otros",0)</f>
        <v>Otros</v>
      </c>
    </row>
    <row r="13" spans="1:10" x14ac:dyDescent="0.35">
      <c r="A13" s="11">
        <v>46245</v>
      </c>
      <c r="B13" t="s">
        <v>68</v>
      </c>
      <c r="C13" s="5" t="s">
        <v>114</v>
      </c>
      <c r="D13" t="s">
        <v>13</v>
      </c>
      <c r="E13" t="s">
        <v>39</v>
      </c>
      <c r="F13" t="s">
        <v>39</v>
      </c>
      <c r="G13" t="s">
        <v>94</v>
      </c>
      <c r="H13" t="s">
        <v>85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35">
      <c r="A14" s="11">
        <v>46245</v>
      </c>
      <c r="B14" t="s">
        <v>68</v>
      </c>
      <c r="C14" s="5" t="s">
        <v>115</v>
      </c>
      <c r="D14" t="s">
        <v>12</v>
      </c>
      <c r="E14" t="s">
        <v>14</v>
      </c>
      <c r="F14" t="s">
        <v>14</v>
      </c>
      <c r="G14" t="s">
        <v>116</v>
      </c>
      <c r="H14" t="s">
        <v>11</v>
      </c>
      <c r="I14" t="str">
        <f>_xlfn.XLOOKUP(Tabla1[[#This Row],[Dependencia]],Tabla2[Dependencia],Tabla2[Clasificación],"XXX",0)</f>
        <v>Presidencia de la República</v>
      </c>
      <c r="J14" t="str">
        <f>_xlfn.XLOOKUP(Tabla1[[#This Row],[Dependencia]],Tabla3[Dependencia],Tabla3[Nivel],"Otros",0)</f>
        <v>Otros</v>
      </c>
    </row>
    <row r="15" spans="1:10" ht="72.5" x14ac:dyDescent="0.35">
      <c r="A15" s="11">
        <v>46245</v>
      </c>
      <c r="B15" t="s">
        <v>68</v>
      </c>
      <c r="C15" s="5" t="s">
        <v>117</v>
      </c>
      <c r="D15" t="s">
        <v>12</v>
      </c>
      <c r="E15" t="s">
        <v>10</v>
      </c>
      <c r="F15" t="s">
        <v>10</v>
      </c>
      <c r="G15" t="s">
        <v>118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11">
        <v>46245</v>
      </c>
      <c r="B16" t="s">
        <v>88</v>
      </c>
      <c r="C16" s="5" t="s">
        <v>119</v>
      </c>
      <c r="D16" t="s">
        <v>13</v>
      </c>
      <c r="E16" t="s">
        <v>16</v>
      </c>
      <c r="F16" t="s">
        <v>105</v>
      </c>
      <c r="G16" t="s">
        <v>106</v>
      </c>
      <c r="H16" t="s">
        <v>11</v>
      </c>
      <c r="I16" t="str">
        <f>_xlfn.XLOOKUP(Tabla1[[#This Row],[Dependencia]],Tabla2[Dependencia],Tabla2[Clasificación],"XXX",0)</f>
        <v>Alcaldías</v>
      </c>
      <c r="J16" t="str">
        <f>_xlfn.XLOOKUP(Tabla1[[#This Row],[Dependencia]],Tabla3[Dependencia],Tabla3[Nivel],"Otros",0)</f>
        <v>Otros</v>
      </c>
    </row>
    <row r="17" spans="1:10" ht="29" x14ac:dyDescent="0.35">
      <c r="A17" s="11">
        <v>46245</v>
      </c>
      <c r="B17" t="s">
        <v>88</v>
      </c>
      <c r="C17" s="5" t="s">
        <v>120</v>
      </c>
      <c r="D17" t="s">
        <v>12</v>
      </c>
      <c r="E17" t="s">
        <v>26</v>
      </c>
      <c r="F17" t="s">
        <v>121</v>
      </c>
      <c r="G17" t="s">
        <v>122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ht="29" x14ac:dyDescent="0.35">
      <c r="A18" s="11">
        <v>46245</v>
      </c>
      <c r="B18" t="s">
        <v>88</v>
      </c>
      <c r="C18" s="5" t="s">
        <v>123</v>
      </c>
      <c r="D18" t="s">
        <v>12</v>
      </c>
      <c r="E18" t="s">
        <v>17</v>
      </c>
      <c r="F18" t="s">
        <v>17</v>
      </c>
      <c r="G18" t="s">
        <v>124</v>
      </c>
      <c r="H18" t="s">
        <v>11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ht="29" x14ac:dyDescent="0.35">
      <c r="A19" s="11">
        <v>46245</v>
      </c>
      <c r="B19" t="s">
        <v>88</v>
      </c>
      <c r="C19" s="5" t="s">
        <v>125</v>
      </c>
      <c r="D19" t="s">
        <v>12</v>
      </c>
      <c r="E19" t="s">
        <v>69</v>
      </c>
      <c r="F19" t="s">
        <v>69</v>
      </c>
      <c r="G19" t="s">
        <v>126</v>
      </c>
      <c r="H19" t="s">
        <v>11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35">
      <c r="A20" s="11">
        <v>46245</v>
      </c>
      <c r="B20" t="s">
        <v>88</v>
      </c>
      <c r="C20" s="5" t="s">
        <v>127</v>
      </c>
      <c r="D20" t="s">
        <v>12</v>
      </c>
      <c r="E20" t="s">
        <v>29</v>
      </c>
      <c r="F20" t="s">
        <v>128</v>
      </c>
      <c r="G20" t="s">
        <v>129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35">
      <c r="A21" s="11">
        <v>46245</v>
      </c>
      <c r="B21" t="s">
        <v>78</v>
      </c>
      <c r="C21" s="5" t="s">
        <v>130</v>
      </c>
      <c r="D21" t="s">
        <v>13</v>
      </c>
      <c r="E21" t="s">
        <v>14</v>
      </c>
      <c r="F21" t="s">
        <v>131</v>
      </c>
      <c r="G21" t="s">
        <v>132</v>
      </c>
      <c r="H21" t="s">
        <v>70</v>
      </c>
      <c r="I21" t="str">
        <f>_xlfn.XLOOKUP(Tabla1[[#This Row],[Dependencia]],Tabla2[Dependencia],Tabla2[Clasificación],"XXX",0)</f>
        <v>Presidencia de la República</v>
      </c>
      <c r="J21" t="str">
        <f>_xlfn.XLOOKUP(Tabla1[[#This Row],[Dependencia]],Tabla3[Dependencia],Tabla3[Nivel],"Otros",0)</f>
        <v>Otros</v>
      </c>
    </row>
    <row r="22" spans="1:10" ht="29" x14ac:dyDescent="0.35">
      <c r="A22" s="11">
        <v>46245</v>
      </c>
      <c r="B22" t="s">
        <v>78</v>
      </c>
      <c r="C22" s="5" t="s">
        <v>133</v>
      </c>
      <c r="D22" t="s">
        <v>12</v>
      </c>
      <c r="E22" t="s">
        <v>14</v>
      </c>
      <c r="F22" t="s">
        <v>14</v>
      </c>
      <c r="G22" t="s">
        <v>126</v>
      </c>
      <c r="H22" t="s">
        <v>11</v>
      </c>
      <c r="I22" t="str">
        <f>_xlfn.XLOOKUP(Tabla1[[#This Row],[Dependencia]],Tabla2[Dependencia],Tabla2[Clasificación],"XXX",0)</f>
        <v>Presidencia de la República</v>
      </c>
      <c r="J22" t="str">
        <f>_xlfn.XLOOKUP(Tabla1[[#This Row],[Dependencia]],Tabla3[Dependencia],Tabla3[Nivel],"Otros",0)</f>
        <v>Otros</v>
      </c>
    </row>
    <row r="23" spans="1:10" ht="29" x14ac:dyDescent="0.35">
      <c r="A23" s="11">
        <v>46245</v>
      </c>
      <c r="B23" t="s">
        <v>78</v>
      </c>
      <c r="C23" s="5" t="s">
        <v>134</v>
      </c>
      <c r="D23" t="s">
        <v>12</v>
      </c>
      <c r="E23" t="s">
        <v>10</v>
      </c>
      <c r="F23" t="s">
        <v>10</v>
      </c>
      <c r="G23" t="s">
        <v>73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x14ac:dyDescent="0.35">
      <c r="A24" s="11">
        <v>46245</v>
      </c>
      <c r="B24" t="s">
        <v>78</v>
      </c>
      <c r="C24" s="5" t="s">
        <v>135</v>
      </c>
      <c r="D24" t="s">
        <v>12</v>
      </c>
      <c r="E24" t="s">
        <v>14</v>
      </c>
      <c r="F24" t="s">
        <v>131</v>
      </c>
      <c r="G24" t="s">
        <v>136</v>
      </c>
      <c r="H24" t="s">
        <v>85</v>
      </c>
      <c r="I24" t="str">
        <f>_xlfn.XLOOKUP(Tabla1[[#This Row],[Dependencia]],Tabla2[Dependencia],Tabla2[Clasificación],"XXX",0)</f>
        <v>Presidencia de la República</v>
      </c>
      <c r="J24" t="str">
        <f>_xlfn.XLOOKUP(Tabla1[[#This Row],[Dependencia]],Tabla3[Dependencia],Tabla3[Nivel],"Otros",0)</f>
        <v>Otros</v>
      </c>
    </row>
    <row r="25" spans="1:10" ht="29" x14ac:dyDescent="0.35">
      <c r="A25" s="11">
        <v>46245</v>
      </c>
      <c r="B25" t="s">
        <v>78</v>
      </c>
      <c r="C25" s="5" t="s">
        <v>137</v>
      </c>
      <c r="D25" t="s">
        <v>12</v>
      </c>
      <c r="E25" t="s">
        <v>20</v>
      </c>
      <c r="F25" t="s">
        <v>20</v>
      </c>
      <c r="G25" t="s">
        <v>84</v>
      </c>
      <c r="H25" t="s">
        <v>11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ht="29" x14ac:dyDescent="0.35">
      <c r="A26" s="11">
        <v>46245</v>
      </c>
      <c r="B26" t="s">
        <v>81</v>
      </c>
      <c r="C26" s="5" t="s">
        <v>138</v>
      </c>
      <c r="D26" t="s">
        <v>82</v>
      </c>
      <c r="E26" t="s">
        <v>10</v>
      </c>
      <c r="F26" t="s">
        <v>10</v>
      </c>
      <c r="G26" t="s">
        <v>73</v>
      </c>
      <c r="H26" t="s">
        <v>11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ht="29" x14ac:dyDescent="0.35">
      <c r="A27" s="11">
        <v>46245</v>
      </c>
      <c r="B27" t="s">
        <v>81</v>
      </c>
      <c r="C27" s="5" t="s">
        <v>139</v>
      </c>
      <c r="D27" t="s">
        <v>12</v>
      </c>
      <c r="E27" t="s">
        <v>10</v>
      </c>
      <c r="F27" t="s">
        <v>10</v>
      </c>
      <c r="G27" t="s">
        <v>101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ht="29" x14ac:dyDescent="0.35">
      <c r="A28" s="11">
        <v>46245</v>
      </c>
      <c r="B28" t="s">
        <v>81</v>
      </c>
      <c r="C28" s="5" t="s">
        <v>140</v>
      </c>
      <c r="D28" t="s">
        <v>13</v>
      </c>
      <c r="E28" t="s">
        <v>39</v>
      </c>
      <c r="F28" t="s">
        <v>39</v>
      </c>
      <c r="G28" t="s">
        <v>94</v>
      </c>
      <c r="H28" t="s">
        <v>11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Gabinete</v>
      </c>
    </row>
    <row r="29" spans="1:10" ht="29" x14ac:dyDescent="0.35">
      <c r="A29" s="11">
        <v>46245</v>
      </c>
      <c r="B29" t="s">
        <v>81</v>
      </c>
      <c r="C29" s="5" t="s">
        <v>141</v>
      </c>
      <c r="D29" t="s">
        <v>12</v>
      </c>
      <c r="E29" t="s">
        <v>61</v>
      </c>
      <c r="F29" t="s">
        <v>83</v>
      </c>
      <c r="G29" t="s">
        <v>89</v>
      </c>
      <c r="H29" t="s">
        <v>11</v>
      </c>
      <c r="I29" t="str">
        <f>_xlfn.XLOOKUP(Tabla1[[#This Row],[Dependencia]],Tabla2[Dependencia],Tabla2[Clasificación],"XXX",0)</f>
        <v>Sucesión gubernamental</v>
      </c>
      <c r="J29" t="str">
        <f>_xlfn.XLOOKUP(Tabla1[[#This Row],[Dependencia]],Tabla3[Dependencia],Tabla3[Nivel],"Otros",0)</f>
        <v>Otros</v>
      </c>
    </row>
    <row r="30" spans="1:10" ht="29" x14ac:dyDescent="0.35">
      <c r="A30" s="11">
        <v>46245</v>
      </c>
      <c r="B30" t="s">
        <v>81</v>
      </c>
      <c r="C30" s="5" t="s">
        <v>142</v>
      </c>
      <c r="D30" t="s">
        <v>12</v>
      </c>
      <c r="E30" t="s">
        <v>16</v>
      </c>
      <c r="F30" t="s">
        <v>105</v>
      </c>
      <c r="G30" t="s">
        <v>143</v>
      </c>
      <c r="H30" t="s">
        <v>11</v>
      </c>
      <c r="I30" t="str">
        <f>_xlfn.XLOOKUP(Tabla1[[#This Row],[Dependencia]],Tabla2[Dependencia],Tabla2[Clasificación],"XXX",0)</f>
        <v>Alcaldías</v>
      </c>
      <c r="J30" t="str">
        <f>_xlfn.XLOOKUP(Tabla1[[#This Row],[Dependencia]],Tabla3[Dependencia],Tabla3[Nivel],"Otros",0)</f>
        <v>Otros</v>
      </c>
    </row>
    <row r="31" spans="1:10" ht="29" x14ac:dyDescent="0.35">
      <c r="A31" s="11">
        <v>46245</v>
      </c>
      <c r="B31" t="s">
        <v>81</v>
      </c>
      <c r="C31" s="5" t="s">
        <v>144</v>
      </c>
      <c r="D31" t="s">
        <v>12</v>
      </c>
      <c r="E31" t="s">
        <v>16</v>
      </c>
      <c r="F31" t="s">
        <v>105</v>
      </c>
      <c r="G31" t="s">
        <v>106</v>
      </c>
      <c r="H31" t="s">
        <v>11</v>
      </c>
      <c r="I31" t="str">
        <f>_xlfn.XLOOKUP(Tabla1[[#This Row],[Dependencia]],Tabla2[Dependencia],Tabla2[Clasificación],"XXX",0)</f>
        <v>Alcaldías</v>
      </c>
      <c r="J31" t="str">
        <f>_xlfn.XLOOKUP(Tabla1[[#This Row],[Dependencia]],Tabla3[Dependencia],Tabla3[Nivel],"Otros",0)</f>
        <v>Otros</v>
      </c>
    </row>
    <row r="32" spans="1:10" ht="29" x14ac:dyDescent="0.35">
      <c r="A32" s="11">
        <v>46245</v>
      </c>
      <c r="B32" t="s">
        <v>81</v>
      </c>
      <c r="C32" s="5" t="s">
        <v>145</v>
      </c>
      <c r="D32" t="s">
        <v>12</v>
      </c>
      <c r="E32" t="s">
        <v>16</v>
      </c>
      <c r="F32" t="s">
        <v>16</v>
      </c>
      <c r="G32" t="s">
        <v>146</v>
      </c>
      <c r="H32" t="s">
        <v>11</v>
      </c>
      <c r="I32" t="str">
        <f>_xlfn.XLOOKUP(Tabla1[[#This Row],[Dependencia]],Tabla2[Dependencia],Tabla2[Clasificación],"XXX",0)</f>
        <v>Alcaldías</v>
      </c>
      <c r="J32" t="str">
        <f>_xlfn.XLOOKUP(Tabla1[[#This Row],[Dependencia]],Tabla3[Dependencia],Tabla3[Nivel],"Otros",0)</f>
        <v>Otros</v>
      </c>
    </row>
    <row r="33" spans="1:10" ht="29" x14ac:dyDescent="0.35">
      <c r="A33" s="11">
        <v>46245</v>
      </c>
      <c r="B33" t="s">
        <v>81</v>
      </c>
      <c r="C33" s="5" t="s">
        <v>147</v>
      </c>
      <c r="D33" t="s">
        <v>12</v>
      </c>
      <c r="E33" t="s">
        <v>16</v>
      </c>
      <c r="F33" t="s">
        <v>90</v>
      </c>
      <c r="G33" t="s">
        <v>91</v>
      </c>
      <c r="H33" t="s">
        <v>11</v>
      </c>
      <c r="I33" t="str">
        <f>_xlfn.XLOOKUP(Tabla1[[#This Row],[Dependencia]],Tabla2[Dependencia],Tabla2[Clasificación],"XXX",0)</f>
        <v>Alcaldías</v>
      </c>
      <c r="J33" t="str">
        <f>_xlfn.XLOOKUP(Tabla1[[#This Row],[Dependencia]],Tabla3[Dependencia],Tabla3[Nivel],"Otros",0)</f>
        <v>Otros</v>
      </c>
    </row>
    <row r="34" spans="1:10" ht="29" x14ac:dyDescent="0.35">
      <c r="A34" s="11">
        <v>46245</v>
      </c>
      <c r="B34" t="s">
        <v>72</v>
      </c>
      <c r="C34" s="5" t="s">
        <v>148</v>
      </c>
      <c r="D34" t="s">
        <v>13</v>
      </c>
      <c r="E34" t="s">
        <v>39</v>
      </c>
      <c r="F34" t="s">
        <v>2</v>
      </c>
      <c r="G34" t="s">
        <v>94</v>
      </c>
      <c r="H34" t="s">
        <v>85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ht="29" x14ac:dyDescent="0.35">
      <c r="A35" s="11">
        <v>46245</v>
      </c>
      <c r="B35" t="s">
        <v>72</v>
      </c>
      <c r="C35" s="5" t="s">
        <v>149</v>
      </c>
      <c r="D35" t="s">
        <v>12</v>
      </c>
      <c r="E35" t="s">
        <v>24</v>
      </c>
      <c r="F35" t="s">
        <v>24</v>
      </c>
      <c r="G35" t="s">
        <v>150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Gobernador</v>
      </c>
    </row>
    <row r="36" spans="1:10" ht="29" x14ac:dyDescent="0.35">
      <c r="A36" s="11">
        <v>46245</v>
      </c>
      <c r="B36" t="s">
        <v>72</v>
      </c>
      <c r="C36" s="5" t="s">
        <v>151</v>
      </c>
      <c r="D36" t="s">
        <v>12</v>
      </c>
      <c r="E36" t="s">
        <v>26</v>
      </c>
      <c r="F36" t="s">
        <v>121</v>
      </c>
      <c r="G36" t="s">
        <v>152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29" x14ac:dyDescent="0.35">
      <c r="A37" s="11">
        <v>46245</v>
      </c>
      <c r="B37" t="s">
        <v>72</v>
      </c>
      <c r="C37" s="5" t="s">
        <v>153</v>
      </c>
      <c r="D37" t="s">
        <v>12</v>
      </c>
      <c r="E37" t="s">
        <v>26</v>
      </c>
      <c r="F37" t="s">
        <v>2</v>
      </c>
      <c r="G37" t="s">
        <v>154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29" x14ac:dyDescent="0.35">
      <c r="A38" s="11">
        <v>46245</v>
      </c>
      <c r="B38" t="s">
        <v>72</v>
      </c>
      <c r="C38" s="5" t="s">
        <v>155</v>
      </c>
      <c r="D38" t="s">
        <v>12</v>
      </c>
      <c r="E38" t="s">
        <v>16</v>
      </c>
      <c r="F38" t="s">
        <v>105</v>
      </c>
      <c r="G38" t="s">
        <v>106</v>
      </c>
      <c r="H38" t="s">
        <v>11</v>
      </c>
      <c r="I38" t="str">
        <f>_xlfn.XLOOKUP(Tabla1[[#This Row],[Dependencia]],Tabla2[Dependencia],Tabla2[Clasificación],"XXX",0)</f>
        <v>Alcaldías</v>
      </c>
      <c r="J38" t="str">
        <f>_xlfn.XLOOKUP(Tabla1[[#This Row],[Dependencia]],Tabla3[Dependencia],Tabla3[Nivel],"Otros",0)</f>
        <v>Otros</v>
      </c>
    </row>
    <row r="39" spans="1:10" x14ac:dyDescent="0.35">
      <c r="A39" s="11">
        <v>46245</v>
      </c>
      <c r="B39" t="s">
        <v>72</v>
      </c>
      <c r="C39" s="5" t="s">
        <v>156</v>
      </c>
      <c r="D39" t="s">
        <v>76</v>
      </c>
      <c r="E39" t="s">
        <v>20</v>
      </c>
      <c r="F39" t="s">
        <v>157</v>
      </c>
      <c r="G39" t="s">
        <v>86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35">
      <c r="A40" s="11">
        <v>46245</v>
      </c>
      <c r="B40" t="s">
        <v>72</v>
      </c>
      <c r="C40" s="5" t="s">
        <v>158</v>
      </c>
      <c r="D40" t="s">
        <v>76</v>
      </c>
      <c r="E40" t="s">
        <v>16</v>
      </c>
      <c r="F40" t="s">
        <v>90</v>
      </c>
      <c r="G40" t="s">
        <v>77</v>
      </c>
      <c r="H40" t="s">
        <v>11</v>
      </c>
      <c r="I40" t="str">
        <f>_xlfn.XLOOKUP(Tabla1[[#This Row],[Dependencia]],Tabla2[Dependencia],Tabla2[Clasificación],"XXX",0)</f>
        <v>Alcaldías</v>
      </c>
      <c r="J40" t="str">
        <f>_xlfn.XLOOKUP(Tabla1[[#This Row],[Dependencia]],Tabla3[Dependencia],Tabla3[Nivel],"Otros",0)</f>
        <v>Otros</v>
      </c>
    </row>
    <row r="41" spans="1:10" x14ac:dyDescent="0.35">
      <c r="A41" s="11">
        <v>46245</v>
      </c>
      <c r="B41" t="s">
        <v>75</v>
      </c>
      <c r="C41" s="5" t="s">
        <v>159</v>
      </c>
      <c r="D41" t="s">
        <v>13</v>
      </c>
      <c r="E41" t="s">
        <v>39</v>
      </c>
      <c r="F41" t="s">
        <v>2</v>
      </c>
      <c r="G41" t="s">
        <v>94</v>
      </c>
      <c r="H41" t="s">
        <v>85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35">
      <c r="A42" s="11">
        <v>46245</v>
      </c>
      <c r="B42" t="s">
        <v>75</v>
      </c>
      <c r="C42" s="5" t="s">
        <v>160</v>
      </c>
      <c r="D42" t="s">
        <v>12</v>
      </c>
      <c r="E42" t="s">
        <v>10</v>
      </c>
      <c r="F42" t="s">
        <v>10</v>
      </c>
      <c r="G42" t="s">
        <v>103</v>
      </c>
      <c r="H42" t="s">
        <v>70</v>
      </c>
      <c r="I42" t="str">
        <f>_xlfn.XLOOKUP(Tabla1[[#This Row],[Dependencia]],Tabla2[Dependencia],Tabla2[Clasificación],"XXX",0)</f>
        <v>Otros</v>
      </c>
      <c r="J42" t="str">
        <f>_xlfn.XLOOKUP(Tabla1[[#This Row],[Dependencia]],Tabla3[Dependencia],Tabla3[Nivel],"Otros",0)</f>
        <v>Otros</v>
      </c>
    </row>
    <row r="43" spans="1:10" x14ac:dyDescent="0.35">
      <c r="A43" s="11">
        <v>46245</v>
      </c>
      <c r="B43" t="s">
        <v>75</v>
      </c>
      <c r="C43" s="5" t="s">
        <v>161</v>
      </c>
      <c r="D43" t="s">
        <v>12</v>
      </c>
      <c r="E43" t="s">
        <v>38</v>
      </c>
      <c r="F43" t="s">
        <v>38</v>
      </c>
      <c r="G43" t="s">
        <v>97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x14ac:dyDescent="0.35">
      <c r="A44" s="11">
        <v>46245</v>
      </c>
      <c r="B44" t="s">
        <v>67</v>
      </c>
      <c r="C44" s="5" t="s">
        <v>162</v>
      </c>
      <c r="D44" t="s">
        <v>12</v>
      </c>
      <c r="E44" t="s">
        <v>10</v>
      </c>
      <c r="F44" t="s">
        <v>10</v>
      </c>
      <c r="G44" t="s">
        <v>101</v>
      </c>
      <c r="H44" t="s">
        <v>11</v>
      </c>
      <c r="I44" t="str">
        <f>_xlfn.XLOOKUP(Tabla1[[#This Row],[Dependencia]],Tabla2[Dependencia],Tabla2[Clasificación],"XXX",0)</f>
        <v>Otros</v>
      </c>
      <c r="J44" t="str">
        <f>_xlfn.XLOOKUP(Tabla1[[#This Row],[Dependencia]],Tabla3[Dependencia],Tabla3[Nivel],"Otros",0)</f>
        <v>Otros</v>
      </c>
    </row>
    <row r="45" spans="1:10" x14ac:dyDescent="0.35">
      <c r="A45" s="11">
        <v>46245</v>
      </c>
      <c r="B45" t="s">
        <v>67</v>
      </c>
      <c r="C45" s="5" t="s">
        <v>163</v>
      </c>
      <c r="D45" t="s">
        <v>12</v>
      </c>
      <c r="E45" t="s">
        <v>16</v>
      </c>
      <c r="F45" t="s">
        <v>16</v>
      </c>
      <c r="G45" t="s">
        <v>106</v>
      </c>
      <c r="H45" t="s">
        <v>11</v>
      </c>
      <c r="I45" t="str">
        <f>_xlfn.XLOOKUP(Tabla1[[#This Row],[Dependencia]],Tabla2[Dependencia],Tabla2[Clasificación],"XXX",0)</f>
        <v>Alcaldías</v>
      </c>
      <c r="J45" t="str">
        <f>_xlfn.XLOOKUP(Tabla1[[#This Row],[Dependencia]],Tabla3[Dependencia],Tabla3[Nivel],"Otros",0)</f>
        <v>Otros</v>
      </c>
    </row>
    <row r="46" spans="1:10" x14ac:dyDescent="0.35">
      <c r="A46" s="11">
        <v>46245</v>
      </c>
      <c r="B46" t="s">
        <v>67</v>
      </c>
      <c r="C46" s="5" t="s">
        <v>164</v>
      </c>
      <c r="D46" t="s">
        <v>12</v>
      </c>
      <c r="E46" t="s">
        <v>14</v>
      </c>
      <c r="F46" t="s">
        <v>14</v>
      </c>
      <c r="G46" t="s">
        <v>165</v>
      </c>
      <c r="H46" t="s">
        <v>11</v>
      </c>
      <c r="I46" t="str">
        <f>_xlfn.XLOOKUP(Tabla1[[#This Row],[Dependencia]],Tabla2[Dependencia],Tabla2[Clasificación],"XXX",0)</f>
        <v>Presidencia de la República</v>
      </c>
      <c r="J46" t="str">
        <f>_xlfn.XLOOKUP(Tabla1[[#This Row],[Dependencia]],Tabla3[Dependencia],Tabla3[Nivel],"Otros",0)</f>
        <v>Otros</v>
      </c>
    </row>
    <row r="47" spans="1:10" x14ac:dyDescent="0.35">
      <c r="A47" s="11">
        <v>46245</v>
      </c>
      <c r="B47" t="s">
        <v>67</v>
      </c>
      <c r="C47" s="5" t="s">
        <v>166</v>
      </c>
      <c r="D47" t="s">
        <v>13</v>
      </c>
      <c r="E47" t="s">
        <v>14</v>
      </c>
      <c r="F47" t="s">
        <v>167</v>
      </c>
      <c r="G47" t="s">
        <v>168</v>
      </c>
      <c r="H47" t="s">
        <v>11</v>
      </c>
      <c r="I47" t="str">
        <f>_xlfn.XLOOKUP(Tabla1[[#This Row],[Dependencia]],Tabla2[Dependencia],Tabla2[Clasificación],"XXX",0)</f>
        <v>Presidencia de la República</v>
      </c>
      <c r="J47" t="str">
        <f>_xlfn.XLOOKUP(Tabla1[[#This Row],[Dependencia]],Tabla3[Dependencia],Tabla3[Nivel],"Otros",0)</f>
        <v>Otros</v>
      </c>
    </row>
    <row r="48" spans="1:10" x14ac:dyDescent="0.35">
      <c r="A48" s="11">
        <v>46245</v>
      </c>
      <c r="B48" t="s">
        <v>67</v>
      </c>
      <c r="C48" s="5" t="s">
        <v>169</v>
      </c>
      <c r="D48" t="s">
        <v>12</v>
      </c>
      <c r="E48" t="s">
        <v>10</v>
      </c>
      <c r="F48" t="s">
        <v>10</v>
      </c>
      <c r="G48" t="s">
        <v>170</v>
      </c>
      <c r="H48" t="s">
        <v>11</v>
      </c>
      <c r="I48" t="str">
        <f>_xlfn.XLOOKUP(Tabla1[[#This Row],[Dependencia]],Tabla2[Dependencia],Tabla2[Clasificación],"XXX",0)</f>
        <v>Otros</v>
      </c>
      <c r="J48" t="str">
        <f>_xlfn.XLOOKUP(Tabla1[[#This Row],[Dependencia]],Tabla3[Dependencia],Tabla3[Nivel],"Otros",0)</f>
        <v>Otros</v>
      </c>
    </row>
    <row r="49" spans="1:10" x14ac:dyDescent="0.35">
      <c r="A49" s="11">
        <v>46245</v>
      </c>
      <c r="B49" t="s">
        <v>67</v>
      </c>
      <c r="C49" s="5" t="s">
        <v>171</v>
      </c>
      <c r="D49" t="s">
        <v>9</v>
      </c>
      <c r="E49" t="s">
        <v>16</v>
      </c>
      <c r="F49" t="s">
        <v>16</v>
      </c>
      <c r="G49" t="s">
        <v>172</v>
      </c>
      <c r="H49" t="s">
        <v>70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x14ac:dyDescent="0.35">
      <c r="A50" s="11">
        <v>46245</v>
      </c>
      <c r="B50" t="s">
        <v>71</v>
      </c>
      <c r="C50" s="5" t="s">
        <v>173</v>
      </c>
      <c r="D50" t="s">
        <v>13</v>
      </c>
      <c r="E50" t="s">
        <v>10</v>
      </c>
      <c r="F50" t="s">
        <v>10</v>
      </c>
      <c r="G50" t="s">
        <v>174</v>
      </c>
      <c r="H50" t="s">
        <v>11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x14ac:dyDescent="0.35">
      <c r="A51" s="11">
        <v>46245</v>
      </c>
      <c r="B51" t="s">
        <v>71</v>
      </c>
      <c r="C51" s="5" t="s">
        <v>175</v>
      </c>
      <c r="D51" t="s">
        <v>9</v>
      </c>
      <c r="E51" t="s">
        <v>10</v>
      </c>
      <c r="F51" t="s">
        <v>10</v>
      </c>
      <c r="G51" t="s">
        <v>101</v>
      </c>
      <c r="H51" t="s">
        <v>11</v>
      </c>
      <c r="I51" t="str">
        <f>_xlfn.XLOOKUP(Tabla1[[#This Row],[Dependencia]],Tabla2[Dependencia],Tabla2[Clasificación],"XXX",0)</f>
        <v>Otros</v>
      </c>
      <c r="J51" t="str">
        <f>_xlfn.XLOOKUP(Tabla1[[#This Row],[Dependencia]],Tabla3[Dependencia],Tabla3[Nivel],"Otros",0)</f>
        <v>Otros</v>
      </c>
    </row>
    <row r="52" spans="1:10" x14ac:dyDescent="0.35">
      <c r="A52" s="11">
        <v>46245</v>
      </c>
      <c r="B52" t="s">
        <v>71</v>
      </c>
      <c r="C52" s="5" t="s">
        <v>176</v>
      </c>
      <c r="D52" t="s">
        <v>12</v>
      </c>
      <c r="E52" t="s">
        <v>39</v>
      </c>
      <c r="F52" t="s">
        <v>2</v>
      </c>
      <c r="G52" t="s">
        <v>94</v>
      </c>
      <c r="H52" t="s">
        <v>85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35">
      <c r="A53" s="11">
        <v>46245</v>
      </c>
      <c r="B53" t="s">
        <v>71</v>
      </c>
      <c r="C53" s="5" t="s">
        <v>177</v>
      </c>
      <c r="D53" t="s">
        <v>12</v>
      </c>
      <c r="E53" t="s">
        <v>22</v>
      </c>
      <c r="F53" t="s">
        <v>22</v>
      </c>
      <c r="G53" t="s">
        <v>178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x14ac:dyDescent="0.35">
      <c r="A54" s="11">
        <v>46245</v>
      </c>
      <c r="B54" t="s">
        <v>71</v>
      </c>
      <c r="C54" s="5" t="s">
        <v>179</v>
      </c>
      <c r="D54" t="s">
        <v>12</v>
      </c>
      <c r="E54" t="s">
        <v>15</v>
      </c>
      <c r="F54" t="s">
        <v>15</v>
      </c>
      <c r="G54" t="s">
        <v>180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x14ac:dyDescent="0.35">
      <c r="A55" s="11">
        <v>46245</v>
      </c>
      <c r="B55" t="s">
        <v>71</v>
      </c>
      <c r="C55" s="5" t="s">
        <v>181</v>
      </c>
      <c r="D55" t="s">
        <v>12</v>
      </c>
      <c r="E55" t="s">
        <v>59</v>
      </c>
      <c r="F55" t="s">
        <v>59</v>
      </c>
      <c r="G55" t="s">
        <v>182</v>
      </c>
      <c r="H55" t="s">
        <v>70</v>
      </c>
      <c r="I55" t="str">
        <f>_xlfn.XLOOKUP(Tabla1[[#This Row],[Dependencia]],Tabla2[Dependencia],Tabla2[Clasificación],"XXX",0)</f>
        <v>Otros</v>
      </c>
      <c r="J55" t="str">
        <f>_xlfn.XLOOKUP(Tabla1[[#This Row],[Dependencia]],Tabla3[Dependencia],Tabla3[Nivel],"Otros",0)</f>
        <v>Otros</v>
      </c>
    </row>
    <row r="56" spans="1:10" x14ac:dyDescent="0.35">
      <c r="A56" s="11">
        <v>46245</v>
      </c>
      <c r="B56" t="s">
        <v>80</v>
      </c>
      <c r="C56" s="5" t="s">
        <v>183</v>
      </c>
      <c r="D56" t="s">
        <v>12</v>
      </c>
      <c r="E56" t="s">
        <v>10</v>
      </c>
      <c r="F56" t="s">
        <v>10</v>
      </c>
      <c r="G56" t="s">
        <v>74</v>
      </c>
      <c r="H56" t="s">
        <v>11</v>
      </c>
      <c r="I56" t="str">
        <f>_xlfn.XLOOKUP(Tabla1[[#This Row],[Dependencia]],Tabla2[Dependencia],Tabla2[Clasificación],"XXX",0)</f>
        <v>Otros</v>
      </c>
      <c r="J56" t="str">
        <f>_xlfn.XLOOKUP(Tabla1[[#This Row],[Dependencia]],Tabla3[Dependencia],Tabla3[Nivel],"Otros",0)</f>
        <v>Otros</v>
      </c>
    </row>
    <row r="57" spans="1:10" x14ac:dyDescent="0.35">
      <c r="A57" s="11">
        <v>46245</v>
      </c>
      <c r="B57" t="s">
        <v>80</v>
      </c>
      <c r="C57" s="5" t="s">
        <v>184</v>
      </c>
      <c r="D57" t="s">
        <v>12</v>
      </c>
      <c r="E57" t="s">
        <v>10</v>
      </c>
      <c r="F57" t="s">
        <v>10</v>
      </c>
      <c r="G57" t="s">
        <v>74</v>
      </c>
      <c r="H57" t="s">
        <v>11</v>
      </c>
      <c r="I57" t="str">
        <f>_xlfn.XLOOKUP(Tabla1[[#This Row],[Dependencia]],Tabla2[Dependencia],Tabla2[Clasificación],"XXX",0)</f>
        <v>Otros</v>
      </c>
      <c r="J57" t="str">
        <f>_xlfn.XLOOKUP(Tabla1[[#This Row],[Dependencia]],Tabla3[Dependencia],Tabla3[Nivel],"Otros",0)</f>
        <v>Otros</v>
      </c>
    </row>
    <row r="58" spans="1:10" ht="29" x14ac:dyDescent="0.35">
      <c r="A58" s="11">
        <v>46245</v>
      </c>
      <c r="B58" t="s">
        <v>80</v>
      </c>
      <c r="C58" s="5" t="s">
        <v>185</v>
      </c>
      <c r="D58" t="s">
        <v>13</v>
      </c>
      <c r="E58" t="s">
        <v>22</v>
      </c>
      <c r="F58" t="s">
        <v>22</v>
      </c>
      <c r="G58" t="s">
        <v>186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ht="29" x14ac:dyDescent="0.35">
      <c r="A59" s="11">
        <v>46245</v>
      </c>
      <c r="B59" t="s">
        <v>80</v>
      </c>
      <c r="C59" s="5" t="s">
        <v>187</v>
      </c>
      <c r="D59" t="s">
        <v>12</v>
      </c>
      <c r="E59" t="s">
        <v>39</v>
      </c>
      <c r="F59" t="s">
        <v>39</v>
      </c>
      <c r="G59" t="s">
        <v>94</v>
      </c>
      <c r="H59" t="s">
        <v>85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x14ac:dyDescent="0.35">
      <c r="A60" s="11">
        <v>46245</v>
      </c>
      <c r="B60" t="s">
        <v>80</v>
      </c>
      <c r="C60" s="5" t="s">
        <v>188</v>
      </c>
      <c r="D60" t="s">
        <v>9</v>
      </c>
      <c r="E60" t="s">
        <v>10</v>
      </c>
      <c r="F60" t="s">
        <v>10</v>
      </c>
      <c r="G60" t="s">
        <v>189</v>
      </c>
      <c r="H60" t="s">
        <v>85</v>
      </c>
      <c r="I60" t="str">
        <f>_xlfn.XLOOKUP(Tabla1[[#This Row],[Dependencia]],Tabla2[Dependencia],Tabla2[Clasificación],"XXX",0)</f>
        <v>Otros</v>
      </c>
      <c r="J60" t="str">
        <f>_xlfn.XLOOKUP(Tabla1[[#This Row],[Dependencia]],Tabla3[Dependencia],Tabla3[Nivel],"Otros",0)</f>
        <v>Otros</v>
      </c>
    </row>
    <row r="61" spans="1:10" x14ac:dyDescent="0.35">
      <c r="A61" s="11">
        <v>46245</v>
      </c>
      <c r="B61" t="s">
        <v>80</v>
      </c>
      <c r="C61" s="5" t="s">
        <v>190</v>
      </c>
      <c r="D61" t="s">
        <v>12</v>
      </c>
      <c r="E61" t="s">
        <v>10</v>
      </c>
      <c r="F61" t="s">
        <v>10</v>
      </c>
      <c r="G61" t="s">
        <v>191</v>
      </c>
      <c r="H61" t="s">
        <v>11</v>
      </c>
      <c r="I61" t="str">
        <f>_xlfn.XLOOKUP(Tabla1[[#This Row],[Dependencia]],Tabla2[Dependencia],Tabla2[Clasificación],"XXX",0)</f>
        <v>Otros</v>
      </c>
      <c r="J61" t="str">
        <f>_xlfn.XLOOKUP(Tabla1[[#This Row],[Dependencia]],Tabla3[Dependencia],Tabla3[Nivel],"Otros",0)</f>
        <v>Otros</v>
      </c>
    </row>
    <row r="62" spans="1:10" x14ac:dyDescent="0.35">
      <c r="A62" s="11">
        <v>46245</v>
      </c>
      <c r="B62" t="s">
        <v>80</v>
      </c>
      <c r="C62" s="5" t="s">
        <v>192</v>
      </c>
      <c r="D62" t="s">
        <v>12</v>
      </c>
      <c r="E62" t="s">
        <v>193</v>
      </c>
      <c r="F62" t="s">
        <v>193</v>
      </c>
      <c r="G62" t="s">
        <v>87</v>
      </c>
      <c r="H62" t="s">
        <v>11</v>
      </c>
      <c r="I62" t="str">
        <f>_xlfn.XLOOKUP(Tabla1[[#This Row],[Dependencia]],Tabla2[Dependencia],Tabla2[Clasificación],"XXX",0)</f>
        <v>Partidos</v>
      </c>
      <c r="J62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69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69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2026-08-11T19:33:07Z</dcterms:modified>
</cp:coreProperties>
</file>