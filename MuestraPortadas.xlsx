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DE644BD0-FE8B-4AF7-821E-D237E9EE54DE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<sst xmlns="http://schemas.openxmlformats.org/spreadsheetml/2006/main" count="629" uniqueCount="203">
  <si>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</si>
  <si>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</si>
  <si>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</si>
  <si>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</si>
  <si>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</si>
  <si>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</si>
  <si>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</si>
  <si>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</si>
  <si>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</si>
  <si>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</si>
  <si>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</si>
  <si>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</si>
  <si>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</si>
  <si>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</si>
  <si>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</si>
  <si>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</si>
  <si>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</si>
  <si>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</si>
  <si>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</si>
  <si>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</si>
  <si>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</si>
  <si>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</si>
  <si>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</si>
  <si>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</si>
  <si>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</si>
  <si>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</si>
  <si>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</si>
  <si>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</si>
  <si>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</si>
  <si>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</si>
  <si>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</si>
  <si>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</si>
  <si>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</si>
  <si>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</si>
  <si>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</si>
  <si>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</si>
  <si>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</si>
  <si>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</si>
  <si>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</si>
  <si>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</si>
  <si>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</si>
  <si>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</si>
  <si>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</si>
  <si>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</si>
  <si>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</si>
  <si>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</si>
  <si>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</si>
  <si>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</si>
  <si>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</si>
  <si>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</si>
  <si>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</si>
  <si>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</si>
  <si>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</si>
  <si>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</si>
  <si>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</si>
  <si>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</si>
  <si>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</si>
  <si>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</si>
  <si>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</si>
  <si>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</si>
  <si>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</si>
  <si>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</si>
  <si>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</si>
  <si>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</si>
  <si>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</si>
  <si>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</si>
  <si>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</si>
  <si>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</si>
  <si>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</si>
  <si>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</si>
  <si>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</si>
  <si>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</si>
  <si>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</si>
  <si>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</si>
  <si>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</si>
  <si>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</si>
  <si>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</si>
  <si>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</si>
  <si>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</si>
  <si>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</si>
  <si>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</si>
  <si>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Usa el puente peatonal</t>
  </si>
  <si>
    <t>Positiva</t>
  </si>
  <si>
    <t>Iniciativa</t>
  </si>
  <si>
    <t>Mundial De Futbol</t>
  </si>
  <si>
    <t>Sitmah</t>
  </si>
  <si>
    <t>La Jornada Hidalgo</t>
  </si>
  <si>
    <t>Alianzas Electorales</t>
  </si>
  <si>
    <t>Máquina del tiempo</t>
  </si>
  <si>
    <t>Tauromaquia</t>
  </si>
  <si>
    <t>Ambulantaje</t>
  </si>
  <si>
    <t>Criterio</t>
  </si>
  <si>
    <t>Modernización Tuzobús</t>
  </si>
  <si>
    <t>Sipdus</t>
  </si>
  <si>
    <t>Cintillo</t>
  </si>
  <si>
    <t>Hasta 20 años de cárcel a choferes que causen muertes</t>
  </si>
  <si>
    <t>Barrido y regado</t>
  </si>
  <si>
    <t>Vacunas al 90% de cobertura</t>
  </si>
  <si>
    <t>Vacunación</t>
  </si>
  <si>
    <t>Asusta humareda en refinería de Tula</t>
  </si>
  <si>
    <t>Pemex</t>
  </si>
  <si>
    <t>Refinería</t>
  </si>
  <si>
    <t>En México estamos acostumbrados a escuchar lo mismo: discurso contra la corrupción, promesas, señalamientos</t>
  </si>
  <si>
    <t>Combate a la corrupción</t>
  </si>
  <si>
    <t>El PESH deberá pagar multas del INE, señala Tribunal Electoral</t>
  </si>
  <si>
    <t>Multas Partidos</t>
  </si>
  <si>
    <t>Exitosa jornada de emisión de licencias</t>
  </si>
  <si>
    <t>Licencia de conducir</t>
  </si>
  <si>
    <t>Reordenamiento deja baja actividad comercial</t>
  </si>
  <si>
    <t>Falta de representantes frena obra del Tren a Querétaro</t>
  </si>
  <si>
    <t>SICT</t>
  </si>
  <si>
    <t>Tren México Querétaro</t>
  </si>
  <si>
    <t>Exhiben a gasolineras por sus precios altos</t>
  </si>
  <si>
    <t>Analizan dejar de sembrar maíz por bajo precio</t>
  </si>
  <si>
    <t>Precio de garantía</t>
  </si>
  <si>
    <t>Piden atención por crisis en el Río Tepeji</t>
  </si>
  <si>
    <t>Lirio Acuático</t>
  </si>
  <si>
    <t>SOLARI QUIERE PICO MÁXIMO</t>
  </si>
  <si>
    <t>UNA TARDE QUE  PUEDE MARCAR</t>
  </si>
  <si>
    <t>ACUMULÓ HIDALGO  SIETE HOMICIDIOS</t>
  </si>
  <si>
    <t>Homicidios</t>
  </si>
  <si>
    <t>Incrementaron casos de violencia familiar</t>
  </si>
  <si>
    <t>Violencia familiar</t>
  </si>
  <si>
    <t>Exigirán licencia a los aspirantes a la reelección</t>
  </si>
  <si>
    <t>Sucesión alcaldía</t>
  </si>
  <si>
    <t>Queja ante la CDHEH por "confusión", dice Proespa</t>
  </si>
  <si>
    <t>Proespa</t>
  </si>
  <si>
    <t>Queja CDHEH</t>
  </si>
  <si>
    <t>Nuevo espacio con lugares para 120 vendedores</t>
  </si>
  <si>
    <t>La Reforma  atiende 55 casos  de violencia  familiar  en marzo</t>
  </si>
  <si>
    <t>Con Mundial Social fortalecen la infraestructura deportiva</t>
  </si>
  <si>
    <t>Buscan garantizar  defensa legal para menores migrantes</t>
  </si>
  <si>
    <t>Apoyo A Migrantes</t>
  </si>
  <si>
    <t>Asume Citlalli  estrategia  electoral  de Morena</t>
  </si>
  <si>
    <t>Dirigencia Partidista</t>
  </si>
  <si>
    <t>Hasta ahora, muchos regidores desconocen plenamente el alcance de sus funciones, lo mismo que algunos  síndicos. Otros han abierto los ojos y por convicción y ética personal, o bien, por venganza política,  desvelan actos irregulares”.</t>
  </si>
  <si>
    <t>Regidor</t>
  </si>
  <si>
    <t>Regidurías</t>
  </si>
  <si>
    <t>Estado rediseña Tuzobús tras fallas en la concesión</t>
  </si>
  <si>
    <t>Medio ambiente llega a más de 10 millones de semillas</t>
  </si>
  <si>
    <t>Reforestación</t>
  </si>
  <si>
    <t>Salud realiza vigilancia sanitaria por el Mundial</t>
  </si>
  <si>
    <t>Dan vida a estaciones del tren en Apulco y Minas</t>
  </si>
  <si>
    <t>Estaciones ferroviarias</t>
  </si>
  <si>
    <t>Liberan de ambulantes la Plaza Constitución</t>
  </si>
  <si>
    <t>Crece empleo en ele estado durante primer trimestre de 2026</t>
  </si>
  <si>
    <t>Generación De Empleo</t>
  </si>
  <si>
    <t>Prende alertas incidente en la refinería Miguel Hidalgo</t>
  </si>
  <si>
    <t>Incendio en refinería</t>
  </si>
  <si>
    <t>No intentaré emular el cine de HOllywod</t>
  </si>
  <si>
    <t>Hay reglas y el nepotismo no será la excepción, dice Morena al Partido Verde</t>
  </si>
  <si>
    <t>Ley de nepotismo</t>
  </si>
  <si>
    <t>Citlali deja la Secretaría de Mujeres</t>
  </si>
  <si>
    <t>Termina era del internet como lo concemos</t>
  </si>
  <si>
    <t>Incrementa HIdalgo presupuesto para desarrollar proyectos científicos</t>
  </si>
  <si>
    <t>Becas De Posgrado</t>
  </si>
  <si>
    <t>Pemex niega incendio en refinería de Tula; fue ""incidente menor""</t>
  </si>
  <si>
    <t>Aumentan casos de violencia familiar en la Reforma; suman 55 en marzo</t>
  </si>
  <si>
    <t>ALerta PC por intensa temporada de calor</t>
  </si>
  <si>
    <t>Alerta Meteorológica</t>
  </si>
  <si>
    <t>Mundial social llega con impulso a infraestructura deportiva comunitaria</t>
  </si>
  <si>
    <t>Inhide</t>
  </si>
  <si>
    <t>Invitan a la final de veteranos en Atlapexco</t>
  </si>
  <si>
    <t>Invitan a sumarse a celebración del Día del Niño</t>
  </si>
  <si>
    <t>Día del Niño</t>
  </si>
  <si>
    <t>Refuerzan atención a casos de violencia de género en Huichapan</t>
  </si>
  <si>
    <t>Erradicación Violencia De Género</t>
  </si>
  <si>
    <t>No hay rompimiento pero tampoco acuerdos</t>
  </si>
  <si>
    <t>México es taurino""</t>
  </si>
  <si>
    <t>No hay marcha atrás""</t>
  </si>
  <si>
    <t>Alcalde</t>
  </si>
  <si>
    <t>Analiza Medécigo cambios en su gabinete</t>
  </si>
  <si>
    <t>Cambios En El Gabinete</t>
  </si>
  <si>
    <t>Don Humberto murió sin aceder a apoyos sociales por falta de documentos</t>
  </si>
  <si>
    <t>La plaza que el ayuntamiento recuperó</t>
  </si>
  <si>
    <t>Bomberos de Atitalaquia controlan incendio de pastizal</t>
  </si>
  <si>
    <t>Incendio de pastizales</t>
  </si>
  <si>
    <t>Claudia Sandoval lleva el Gobierno del Pueblo a Tlamaco con servicios y cercanía</t>
  </si>
  <si>
    <t>Falso que se registrara incendio en refinería Tula, fue un incidente aislado</t>
  </si>
  <si>
    <t>En Tula mejoran infraestructura en San Pedro Alpuyeca con pavimentación de la calle Veintiocho de Octubre</t>
  </si>
  <si>
    <t>Pavimentación</t>
  </si>
  <si>
    <t>Alejandro Alcántara destaca trabajo interinstitucional en favor del emprendimiento</t>
  </si>
  <si>
    <t>Ajacuba presente en la Feria del Emprendedor</t>
  </si>
  <si>
    <t>Emprendimiento</t>
  </si>
  <si>
    <t>Arrancan actividades de la Ganadera Hidalgo</t>
  </si>
  <si>
    <t>OEEH</t>
  </si>
  <si>
    <t>Expo feria</t>
  </si>
  <si>
    <t>Fondo de Ciencia y Tecnología apoya a personas investigadoras</t>
  </si>
  <si>
    <t>Citnova</t>
  </si>
  <si>
    <t>Caen 5 presuntos narcomenudistas en la capital tras operativo</t>
  </si>
  <si>
    <t>Combate Al Narcomenudeo</t>
  </si>
  <si>
    <t>Buscan a hombre desaparecido en Pachuca hace casi 34 años</t>
  </si>
  <si>
    <t>CBPEH</t>
  </si>
  <si>
    <t>Búsqueda de personas</t>
  </si>
  <si>
    <t>Abrirán la avenida del Tezontle durante este mes</t>
  </si>
  <si>
    <t>Rehabilitación Vial</t>
  </si>
  <si>
    <t>¡Alto al fuego entre Israel y El Líbano!</t>
  </si>
  <si>
    <t>Trump y Netanyahu provocan las guerras y cuando las paran, quieren el Nóbel de la Paz</t>
  </si>
  <si>
    <t>Temas internacionales</t>
  </si>
  <si>
    <t>Autoridades cubren su obras, muralista rechaza la decisión</t>
  </si>
  <si>
    <t>Rehabilitación de espacios públicos</t>
  </si>
  <si>
    <t>Lanzan plan para contener el alza en la canasta básica</t>
  </si>
  <si>
    <t>Alerta al consumidor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</si>
</sst>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D56" workbookViewId="0">
      <selection activeCell="J68" sqref="J6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71</v>
      </c>
    </row>
    <row r="2" spans="1:10" x14ac:dyDescent="0.35">
      <c r="A2" s="5">
        <v>46129</v>
      </c>
      <c r="B2" t="s">
        <v>69</v>
      </c>
      <c r="C2" s="6" t="s">
        <v>95</v>
      </c>
      <c r="D2" t="s">
        <v>13</v>
      </c>
      <c r="E2" t="s">
        <v>36</v>
      </c>
      <c r="F2" t="s">
        <v>36</v>
      </c>
      <c r="G2" t="s">
        <v>83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46129</v>
      </c>
      <c r="B3" t="s">
        <v>69</v>
      </c>
      <c r="C3" s="6" t="s">
        <v>96</v>
      </c>
      <c r="D3" t="s">
        <v>9</v>
      </c>
      <c r="E3" t="s">
        <v>17</v>
      </c>
      <c r="F3" t="s">
        <v>17</v>
      </c>
      <c r="G3" t="s">
        <v>90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46129</v>
      </c>
      <c r="B4" t="s">
        <v>69</v>
      </c>
      <c r="C4" s="6" t="s">
        <v>97</v>
      </c>
      <c r="D4" t="s">
        <v>12</v>
      </c>
      <c r="E4" t="s">
        <v>17</v>
      </c>
      <c r="F4" t="s">
        <v>17</v>
      </c>
      <c r="G4" t="s">
        <v>98</v>
      </c>
      <c r="H4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46129</v>
      </c>
      <c r="B5" t="s">
        <v>69</v>
      </c>
      <c r="C5" s="6" t="s">
        <v>99</v>
      </c>
      <c r="D5" t="s">
        <v>12</v>
      </c>
      <c r="E5" t="s">
        <v>14</v>
      </c>
      <c r="F5" t="s">
        <v>100</v>
      </c>
      <c r="G5" t="s">
        <v>101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ht="29" x14ac:dyDescent="0.35">
      <c r="A6" s="5">
        <v>46129</v>
      </c>
      <c r="B6" t="s">
        <v>69</v>
      </c>
      <c r="C6" s="6" t="s">
        <v>102</v>
      </c>
      <c r="D6" t="s">
        <v>12</v>
      </c>
      <c r="E6" t="s">
        <v>37</v>
      </c>
      <c r="F6" t="s">
        <v>2</v>
      </c>
      <c r="G6" t="s">
        <v>103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ht="29" x14ac:dyDescent="0.35">
      <c r="A7" s="5">
        <v>46129</v>
      </c>
      <c r="B7" t="s">
        <v>69</v>
      </c>
      <c r="C7" s="6" t="s">
        <v>104</v>
      </c>
      <c r="D7" t="s">
        <v>12</v>
      </c>
      <c r="E7" t="s">
        <v>67</v>
      </c>
      <c r="F7" t="s">
        <v>67</v>
      </c>
      <c r="G7" t="s">
        <v>105</v>
      </c>
      <c r="H7" t="s">
        <v>11</v>
      </c>
      <c r="I7" t="str">
        <f>_xlfn.XLOOKUP(Tabla1[[#This Row],[Dependencia]],Tabla2[Dependencia],Tabla2[Clasificación],"No indexado")</f>
        <v>Partidos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46129</v>
      </c>
      <c r="B8" t="s">
        <v>79</v>
      </c>
      <c r="C8" s="6" t="s">
        <v>106</v>
      </c>
      <c r="D8" t="s">
        <v>12</v>
      </c>
      <c r="E8" t="s">
        <v>17</v>
      </c>
      <c r="F8" t="s">
        <v>17</v>
      </c>
      <c r="G8" t="s">
        <v>107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46129</v>
      </c>
      <c r="B9" t="s">
        <v>79</v>
      </c>
      <c r="C9" s="6" t="s">
        <v>108</v>
      </c>
      <c r="D9" t="s">
        <v>12</v>
      </c>
      <c r="E9" t="s">
        <v>17</v>
      </c>
      <c r="F9" t="s">
        <v>17</v>
      </c>
      <c r="G9" t="s">
        <v>90</v>
      </c>
      <c r="H9" t="s">
        <v>16</v>
      </c>
      <c r="I9" t="str">
        <f>_xlfn.XLOOKUP(Tabla1[[#This Row],[Dependencia]],Tabla2[Dependencia],Tabla2[Clasificación],"No indexado")</f>
        <v>Alcaldías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46129</v>
      </c>
      <c r="B10" t="s">
        <v>79</v>
      </c>
      <c r="C10" s="6" t="s">
        <v>109</v>
      </c>
      <c r="D10" t="s">
        <v>12</v>
      </c>
      <c r="E10" t="s">
        <v>14</v>
      </c>
      <c r="F10" t="s">
        <v>110</v>
      </c>
      <c r="G10" t="s">
        <v>111</v>
      </c>
      <c r="H10" t="s">
        <v>11</v>
      </c>
      <c r="I10" t="str">
        <f>_xlfn.XLOOKUP(Tabla1[[#This Row],[Dependencia]],Tabla2[Dependencia],Tabla2[Clasificación],"No indexado")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46129</v>
      </c>
      <c r="B11" t="s">
        <v>79</v>
      </c>
      <c r="C11" s="6" t="s">
        <v>112</v>
      </c>
      <c r="D11" t="s">
        <v>13</v>
      </c>
      <c r="E11" t="s">
        <v>14</v>
      </c>
      <c r="F11" t="s">
        <v>14</v>
      </c>
      <c r="G11" t="s">
        <v>68</v>
      </c>
      <c r="H11" t="s">
        <v>11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46129</v>
      </c>
      <c r="B12" t="s">
        <v>79</v>
      </c>
      <c r="C12" s="6" t="s">
        <v>113</v>
      </c>
      <c r="D12" t="s">
        <v>12</v>
      </c>
      <c r="E12" t="s">
        <v>14</v>
      </c>
      <c r="F12" t="s">
        <v>14</v>
      </c>
      <c r="G12" t="s">
        <v>114</v>
      </c>
      <c r="H12" t="s">
        <v>16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46129</v>
      </c>
      <c r="B13" t="s">
        <v>79</v>
      </c>
      <c r="C13" s="6" t="s">
        <v>115</v>
      </c>
      <c r="D13" t="s">
        <v>9</v>
      </c>
      <c r="E13" t="s">
        <v>21</v>
      </c>
      <c r="F13" t="s">
        <v>21</v>
      </c>
      <c r="G13" t="s">
        <v>116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5">
        <v>46129</v>
      </c>
      <c r="B14" t="s">
        <v>91</v>
      </c>
      <c r="C14" s="6" t="s">
        <v>117</v>
      </c>
      <c r="D14" t="s">
        <v>12</v>
      </c>
      <c r="E14" t="s">
        <v>10</v>
      </c>
      <c r="F14" t="s">
        <v>10</v>
      </c>
      <c r="G14" t="s">
        <v>68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46129</v>
      </c>
      <c r="B15" t="s">
        <v>91</v>
      </c>
      <c r="C15" s="6" t="s">
        <v>118</v>
      </c>
      <c r="D15" t="s">
        <v>12</v>
      </c>
      <c r="E15" t="s">
        <v>10</v>
      </c>
      <c r="F15" t="s">
        <v>10</v>
      </c>
      <c r="G15" t="s">
        <v>68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46129</v>
      </c>
      <c r="B16" t="s">
        <v>91</v>
      </c>
      <c r="C16" s="6" t="s">
        <v>119</v>
      </c>
      <c r="D16" t="s">
        <v>13</v>
      </c>
      <c r="E16" t="s">
        <v>18</v>
      </c>
      <c r="F16" t="s">
        <v>18</v>
      </c>
      <c r="G16" t="s">
        <v>120</v>
      </c>
      <c r="H16" t="s">
        <v>16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46129</v>
      </c>
      <c r="B17" t="s">
        <v>91</v>
      </c>
      <c r="C17" s="6" t="s">
        <v>121</v>
      </c>
      <c r="D17" t="s">
        <v>12</v>
      </c>
      <c r="E17" t="s">
        <v>17</v>
      </c>
      <c r="F17" t="s">
        <v>17</v>
      </c>
      <c r="G17" t="s">
        <v>122</v>
      </c>
      <c r="H17" t="s">
        <v>16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46129</v>
      </c>
      <c r="B18" t="s">
        <v>91</v>
      </c>
      <c r="C18" s="6" t="s">
        <v>123</v>
      </c>
      <c r="D18" t="s">
        <v>12</v>
      </c>
      <c r="E18" t="s">
        <v>19</v>
      </c>
      <c r="F18" t="s">
        <v>19</v>
      </c>
      <c r="G18" t="s">
        <v>124</v>
      </c>
      <c r="H18" t="s">
        <v>11</v>
      </c>
      <c r="I18" t="str">
        <f>_xlfn.XLOOKUP(Tabla1[[#This Row],[Dependencia]],Tabla2[Dependencia],Tabla2[Clasificación],"No indexado")</f>
        <v>Partidos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46129</v>
      </c>
      <c r="B19" t="s">
        <v>91</v>
      </c>
      <c r="C19" s="6" t="s">
        <v>125</v>
      </c>
      <c r="D19" t="s">
        <v>12</v>
      </c>
      <c r="E19" t="s">
        <v>21</v>
      </c>
      <c r="F19" t="s">
        <v>126</v>
      </c>
      <c r="G19" t="s">
        <v>127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46129</v>
      </c>
      <c r="B20" t="s">
        <v>91</v>
      </c>
      <c r="C20" s="6" t="s">
        <v>128</v>
      </c>
      <c r="D20" t="s">
        <v>9</v>
      </c>
      <c r="E20" t="s">
        <v>17</v>
      </c>
      <c r="F20" t="s">
        <v>17</v>
      </c>
      <c r="G20" t="s">
        <v>90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46129</v>
      </c>
      <c r="B21" t="s">
        <v>86</v>
      </c>
      <c r="C21" s="6" t="s">
        <v>129</v>
      </c>
      <c r="D21" t="s">
        <v>12</v>
      </c>
      <c r="E21" t="s">
        <v>17</v>
      </c>
      <c r="F21" t="s">
        <v>17</v>
      </c>
      <c r="G21" t="s">
        <v>122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46129</v>
      </c>
      <c r="B22" t="s">
        <v>86</v>
      </c>
      <c r="C22" s="6" t="s">
        <v>130</v>
      </c>
      <c r="D22" t="s">
        <v>9</v>
      </c>
      <c r="E22" t="s">
        <v>27</v>
      </c>
      <c r="F22" t="s">
        <v>27</v>
      </c>
      <c r="G22" t="s">
        <v>84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46129</v>
      </c>
      <c r="B23" t="s">
        <v>86</v>
      </c>
      <c r="C23" s="6" t="s">
        <v>131</v>
      </c>
      <c r="D23" t="s">
        <v>13</v>
      </c>
      <c r="E23" t="s">
        <v>20</v>
      </c>
      <c r="F23" t="s">
        <v>20</v>
      </c>
      <c r="G23" t="s">
        <v>132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46129</v>
      </c>
      <c r="B24" t="s">
        <v>86</v>
      </c>
      <c r="C24" s="6" t="s">
        <v>133</v>
      </c>
      <c r="D24" t="s">
        <v>12</v>
      </c>
      <c r="E24" t="s">
        <v>19</v>
      </c>
      <c r="F24" t="s">
        <v>19</v>
      </c>
      <c r="G24" t="s">
        <v>134</v>
      </c>
      <c r="H24" t="s">
        <v>11</v>
      </c>
      <c r="I24" t="str">
        <f>_xlfn.XLOOKUP(Tabla1[[#This Row],[Dependencia]],Tabla2[Dependencia],Tabla2[Clasificación],"No indexado")</f>
        <v>Partidos</v>
      </c>
      <c r="J24" t="str">
        <f>_xlfn.XLOOKUP(Tabla1[[#This Row],[Dependencia]],Tabla3[Dependencia],Tabla3[Nivel],"otros",0)</f>
        <v>otros</v>
      </c>
    </row>
    <row r="25" spans="1:10" ht="58" x14ac:dyDescent="0.35">
      <c r="A25" s="5">
        <v>46129</v>
      </c>
      <c r="B25" t="s">
        <v>86</v>
      </c>
      <c r="C25" s="6" t="s">
        <v>135</v>
      </c>
      <c r="D25" t="s">
        <v>12</v>
      </c>
      <c r="E25" t="s">
        <v>17</v>
      </c>
      <c r="F25" t="s">
        <v>136</v>
      </c>
      <c r="G25" t="s">
        <v>137</v>
      </c>
      <c r="H25" t="s">
        <v>11</v>
      </c>
      <c r="I25" t="str">
        <f>_xlfn.XLOOKUP(Tabla1[[#This Row],[Dependencia]],Tabla2[Dependencia],Tabla2[Clasificación],"No indexado")</f>
        <v>Alcaldías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46129</v>
      </c>
      <c r="B26" t="s">
        <v>73</v>
      </c>
      <c r="C26" s="6" t="s">
        <v>138</v>
      </c>
      <c r="D26" t="s">
        <v>13</v>
      </c>
      <c r="E26" t="s">
        <v>29</v>
      </c>
      <c r="F26" t="s">
        <v>85</v>
      </c>
      <c r="G26" t="s">
        <v>92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5">
        <v>46129</v>
      </c>
      <c r="B27" t="s">
        <v>73</v>
      </c>
      <c r="C27" s="6" t="s">
        <v>139</v>
      </c>
      <c r="D27" t="s">
        <v>12</v>
      </c>
      <c r="E27" t="s">
        <v>21</v>
      </c>
      <c r="F27" t="s">
        <v>21</v>
      </c>
      <c r="G27" t="s">
        <v>140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5">
        <v>46129</v>
      </c>
      <c r="B28" t="s">
        <v>73</v>
      </c>
      <c r="C28" s="6" t="s">
        <v>141</v>
      </c>
      <c r="D28" t="s">
        <v>12</v>
      </c>
      <c r="E28" t="s">
        <v>15</v>
      </c>
      <c r="F28" t="s">
        <v>15</v>
      </c>
      <c r="G28" t="s">
        <v>84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35">
      <c r="A29" s="5">
        <v>46129</v>
      </c>
      <c r="B29" t="s">
        <v>73</v>
      </c>
      <c r="C29" s="6" t="s">
        <v>142</v>
      </c>
      <c r="D29" t="s">
        <v>12</v>
      </c>
      <c r="E29" t="s">
        <v>30</v>
      </c>
      <c r="F29" t="s">
        <v>30</v>
      </c>
      <c r="G29" t="s">
        <v>143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46129</v>
      </c>
      <c r="B30" t="s">
        <v>73</v>
      </c>
      <c r="C30" s="6" t="s">
        <v>144</v>
      </c>
      <c r="D30" t="s">
        <v>12</v>
      </c>
      <c r="E30" t="s">
        <v>17</v>
      </c>
      <c r="F30" t="s">
        <v>17</v>
      </c>
      <c r="G30" t="s">
        <v>90</v>
      </c>
      <c r="H30" t="s">
        <v>11</v>
      </c>
      <c r="I30" t="str">
        <f>_xlfn.XLOOKUP(Tabla1[[#This Row],[Dependencia]],Tabla2[Dependencia],Tabla2[Clasificación],"No indexado")</f>
        <v>Alcaldías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46129</v>
      </c>
      <c r="B31" t="s">
        <v>73</v>
      </c>
      <c r="C31" s="6" t="s">
        <v>145</v>
      </c>
      <c r="D31" t="s">
        <v>12</v>
      </c>
      <c r="E31" t="s">
        <v>59</v>
      </c>
      <c r="F31" t="s">
        <v>59</v>
      </c>
      <c r="G31" t="s">
        <v>146</v>
      </c>
      <c r="H31" t="s">
        <v>82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46129</v>
      </c>
      <c r="B32" t="s">
        <v>73</v>
      </c>
      <c r="C32" s="6" t="s">
        <v>147</v>
      </c>
      <c r="D32" t="s">
        <v>9</v>
      </c>
      <c r="E32" t="s">
        <v>14</v>
      </c>
      <c r="F32" t="s">
        <v>100</v>
      </c>
      <c r="G32" t="s">
        <v>148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35">
      <c r="A33" s="5">
        <v>46129</v>
      </c>
      <c r="B33" t="s">
        <v>73</v>
      </c>
      <c r="C33" s="6" t="s">
        <v>149</v>
      </c>
      <c r="D33" t="s">
        <v>12</v>
      </c>
      <c r="E33" t="s">
        <v>10</v>
      </c>
      <c r="F33" t="s">
        <v>10</v>
      </c>
      <c r="G33" t="s">
        <v>68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46129</v>
      </c>
      <c r="B34" t="s">
        <v>73</v>
      </c>
      <c r="C34" s="6" t="s">
        <v>150</v>
      </c>
      <c r="D34" t="s">
        <v>12</v>
      </c>
      <c r="E34" t="s">
        <v>14</v>
      </c>
      <c r="F34" t="s">
        <v>14</v>
      </c>
      <c r="G34" t="s">
        <v>151</v>
      </c>
      <c r="H34" t="s">
        <v>11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35">
      <c r="A35" s="5">
        <v>46129</v>
      </c>
      <c r="B35" t="s">
        <v>73</v>
      </c>
      <c r="C35" s="6" t="s">
        <v>152</v>
      </c>
      <c r="D35" t="s">
        <v>12</v>
      </c>
      <c r="E35" t="s">
        <v>19</v>
      </c>
      <c r="F35" t="s">
        <v>19</v>
      </c>
      <c r="G35" t="s">
        <v>134</v>
      </c>
      <c r="H35" t="s">
        <v>11</v>
      </c>
      <c r="I35" t="str">
        <f>_xlfn.XLOOKUP(Tabla1[[#This Row],[Dependencia]],Tabla2[Dependencia],Tabla2[Clasificación],"No indexado")</f>
        <v>Partidos</v>
      </c>
      <c r="J35" t="str">
        <f>_xlfn.XLOOKUP(Tabla1[[#This Row],[Dependencia]],Tabla3[Dependencia],Tabla3[Nivel],"otros",0)</f>
        <v>otros</v>
      </c>
    </row>
    <row r="36" spans="1:10" x14ac:dyDescent="0.35">
      <c r="A36" s="5">
        <v>46129</v>
      </c>
      <c r="B36" t="s">
        <v>73</v>
      </c>
      <c r="C36" s="6" t="s">
        <v>153</v>
      </c>
      <c r="D36" t="s">
        <v>12</v>
      </c>
      <c r="E36" t="s">
        <v>10</v>
      </c>
      <c r="F36" t="s">
        <v>10</v>
      </c>
      <c r="G36" t="s">
        <v>68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46129</v>
      </c>
      <c r="B37" t="s">
        <v>70</v>
      </c>
      <c r="C37" s="6" t="s">
        <v>154</v>
      </c>
      <c r="D37" t="s">
        <v>13</v>
      </c>
      <c r="E37" t="s">
        <v>50</v>
      </c>
      <c r="F37" t="s">
        <v>50</v>
      </c>
      <c r="G37" t="s">
        <v>155</v>
      </c>
      <c r="H37" t="s">
        <v>82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46129</v>
      </c>
      <c r="B38" t="s">
        <v>70</v>
      </c>
      <c r="C38" s="6" t="s">
        <v>156</v>
      </c>
      <c r="D38" t="s">
        <v>12</v>
      </c>
      <c r="E38" t="s">
        <v>14</v>
      </c>
      <c r="F38" t="s">
        <v>100</v>
      </c>
      <c r="G38" t="s">
        <v>148</v>
      </c>
      <c r="H38" t="s">
        <v>11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46129</v>
      </c>
      <c r="B39" t="s">
        <v>70</v>
      </c>
      <c r="C39" s="6" t="s">
        <v>157</v>
      </c>
      <c r="D39" t="s">
        <v>12</v>
      </c>
      <c r="E39" t="s">
        <v>17</v>
      </c>
      <c r="F39" t="s">
        <v>17</v>
      </c>
      <c r="G39" t="s">
        <v>122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46129</v>
      </c>
      <c r="B40" t="s">
        <v>78</v>
      </c>
      <c r="C40" s="6" t="s">
        <v>158</v>
      </c>
      <c r="D40" t="s">
        <v>13</v>
      </c>
      <c r="E40" t="s">
        <v>17</v>
      </c>
      <c r="F40" t="s">
        <v>17</v>
      </c>
      <c r="G40" t="s">
        <v>159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46129</v>
      </c>
      <c r="B41" t="s">
        <v>78</v>
      </c>
      <c r="C41" s="6" t="s">
        <v>160</v>
      </c>
      <c r="D41" t="s">
        <v>12</v>
      </c>
      <c r="E41" t="s">
        <v>27</v>
      </c>
      <c r="F41" t="s">
        <v>161</v>
      </c>
      <c r="G41" t="s">
        <v>84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46129</v>
      </c>
      <c r="B42" t="s">
        <v>78</v>
      </c>
      <c r="C42" s="6" t="s">
        <v>162</v>
      </c>
      <c r="D42" t="s">
        <v>12</v>
      </c>
      <c r="E42" t="s">
        <v>17</v>
      </c>
      <c r="F42" t="s">
        <v>17</v>
      </c>
      <c r="G42" t="s">
        <v>68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46129</v>
      </c>
      <c r="B43" t="s">
        <v>78</v>
      </c>
      <c r="C43" s="6" t="s">
        <v>163</v>
      </c>
      <c r="D43" t="s">
        <v>12</v>
      </c>
      <c r="E43" t="s">
        <v>17</v>
      </c>
      <c r="F43" t="s">
        <v>17</v>
      </c>
      <c r="G43" t="s">
        <v>164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29" x14ac:dyDescent="0.35">
      <c r="A44" s="5">
        <v>46129</v>
      </c>
      <c r="B44" t="s">
        <v>78</v>
      </c>
      <c r="C44" s="6" t="s">
        <v>165</v>
      </c>
      <c r="D44" t="s">
        <v>12</v>
      </c>
      <c r="E44" t="s">
        <v>17</v>
      </c>
      <c r="F44" t="s">
        <v>17</v>
      </c>
      <c r="G44" t="s">
        <v>166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46129</v>
      </c>
      <c r="B45" t="s">
        <v>80</v>
      </c>
      <c r="C45" s="6" t="s">
        <v>167</v>
      </c>
      <c r="D45" t="s">
        <v>12</v>
      </c>
      <c r="E45" t="s">
        <v>19</v>
      </c>
      <c r="F45" t="s">
        <v>19</v>
      </c>
      <c r="G45" t="s">
        <v>87</v>
      </c>
      <c r="H45" t="s">
        <v>11</v>
      </c>
      <c r="I45" t="str">
        <f>_xlfn.XLOOKUP(Tabla1[[#This Row],[Dependencia]],Tabla2[Dependencia],Tabla2[Clasificación],"No indexado")</f>
        <v>Partidos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46129</v>
      </c>
      <c r="B46" t="s">
        <v>80</v>
      </c>
      <c r="C46" s="6" t="s">
        <v>168</v>
      </c>
      <c r="D46" t="s">
        <v>9</v>
      </c>
      <c r="E46" t="s">
        <v>10</v>
      </c>
      <c r="F46" t="s">
        <v>10</v>
      </c>
      <c r="G46" t="s">
        <v>89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46129</v>
      </c>
      <c r="B47" t="s">
        <v>80</v>
      </c>
      <c r="C47" s="6" t="s">
        <v>169</v>
      </c>
      <c r="D47" t="s">
        <v>12</v>
      </c>
      <c r="E47" t="s">
        <v>17</v>
      </c>
      <c r="F47" t="s">
        <v>170</v>
      </c>
      <c r="G47" t="s">
        <v>90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46129</v>
      </c>
      <c r="B48" t="s">
        <v>80</v>
      </c>
      <c r="C48" s="6" t="s">
        <v>171</v>
      </c>
      <c r="D48" t="s">
        <v>12</v>
      </c>
      <c r="E48" t="s">
        <v>17</v>
      </c>
      <c r="F48" t="s">
        <v>170</v>
      </c>
      <c r="G48" t="s">
        <v>172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46129</v>
      </c>
      <c r="B49" t="s">
        <v>80</v>
      </c>
      <c r="C49" s="6" t="s">
        <v>173</v>
      </c>
      <c r="D49" t="s">
        <v>12</v>
      </c>
      <c r="E49" t="s">
        <v>14</v>
      </c>
      <c r="F49" t="s">
        <v>14</v>
      </c>
      <c r="G49" t="s">
        <v>68</v>
      </c>
      <c r="H49" t="s">
        <v>11</v>
      </c>
      <c r="I49" t="str">
        <f>_xlfn.XLOOKUP(Tabla1[[#This Row],[Dependencia]],Tabla2[Dependencia],Tabla2[Clasificación],"No indexado")</f>
        <v>Presidencia de la República</v>
      </c>
      <c r="J49" t="str">
        <f>_xlfn.XLOOKUP(Tabla1[[#This Row],[Dependencia]],Tabla3[Dependencia],Tabla3[Nivel],"otros",0)</f>
        <v>otros</v>
      </c>
    </row>
    <row r="50" spans="1:10" x14ac:dyDescent="0.35">
      <c r="A50" s="5">
        <v>46129</v>
      </c>
      <c r="B50" t="s">
        <v>80</v>
      </c>
      <c r="C50" s="6" t="s">
        <v>174</v>
      </c>
      <c r="D50" t="s">
        <v>12</v>
      </c>
      <c r="E50" t="s">
        <v>17</v>
      </c>
      <c r="F50" t="s">
        <v>17</v>
      </c>
      <c r="G50" t="s">
        <v>90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46129</v>
      </c>
      <c r="B51" t="s">
        <v>76</v>
      </c>
      <c r="C51" s="6" t="s">
        <v>175</v>
      </c>
      <c r="D51" t="s">
        <v>94</v>
      </c>
      <c r="E51" t="s">
        <v>17</v>
      </c>
      <c r="F51" t="s">
        <v>17</v>
      </c>
      <c r="G51" t="s">
        <v>176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46129</v>
      </c>
      <c r="B52" t="s">
        <v>76</v>
      </c>
      <c r="C52" s="6" t="s">
        <v>177</v>
      </c>
      <c r="D52" t="s">
        <v>12</v>
      </c>
      <c r="E52" t="s">
        <v>17</v>
      </c>
      <c r="F52" t="s">
        <v>170</v>
      </c>
      <c r="G52" t="s">
        <v>68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46129</v>
      </c>
      <c r="B53" t="s">
        <v>76</v>
      </c>
      <c r="C53" s="6" t="s">
        <v>178</v>
      </c>
      <c r="D53" t="s">
        <v>13</v>
      </c>
      <c r="E53" t="s">
        <v>14</v>
      </c>
      <c r="F53" t="s">
        <v>100</v>
      </c>
      <c r="G53" t="s">
        <v>148</v>
      </c>
      <c r="H53" t="s">
        <v>11</v>
      </c>
      <c r="I53" t="str">
        <f>_xlfn.XLOOKUP(Tabla1[[#This Row],[Dependencia]],Tabla2[Dependencia],Tabla2[Clasificación],"No indexado")</f>
        <v>Presidencia de la República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46129</v>
      </c>
      <c r="B54" t="s">
        <v>76</v>
      </c>
      <c r="C54" s="6" t="s">
        <v>165</v>
      </c>
      <c r="D54" t="s">
        <v>12</v>
      </c>
      <c r="E54" t="s">
        <v>24</v>
      </c>
      <c r="F54" t="s">
        <v>2</v>
      </c>
      <c r="G54" t="s">
        <v>166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5">
        <v>46129</v>
      </c>
      <c r="B55" t="s">
        <v>76</v>
      </c>
      <c r="C55" s="6" t="s">
        <v>179</v>
      </c>
      <c r="D55" t="s">
        <v>12</v>
      </c>
      <c r="E55" t="s">
        <v>17</v>
      </c>
      <c r="F55" t="s">
        <v>170</v>
      </c>
      <c r="G55" t="s">
        <v>180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46129</v>
      </c>
      <c r="B56" t="s">
        <v>76</v>
      </c>
      <c r="C56" s="6" t="s">
        <v>181</v>
      </c>
      <c r="D56" t="s">
        <v>12</v>
      </c>
      <c r="E56" t="s">
        <v>10</v>
      </c>
      <c r="F56" t="s">
        <v>10</v>
      </c>
      <c r="G56" t="s">
        <v>68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46129</v>
      </c>
      <c r="B57" t="s">
        <v>76</v>
      </c>
      <c r="C57" s="6" t="s">
        <v>182</v>
      </c>
      <c r="D57" t="s">
        <v>12</v>
      </c>
      <c r="E57" t="s">
        <v>17</v>
      </c>
      <c r="F57" t="s">
        <v>17</v>
      </c>
      <c r="G57" t="s">
        <v>183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5">
        <v>46129</v>
      </c>
      <c r="B58" t="s">
        <v>28</v>
      </c>
      <c r="C58" s="6" t="s">
        <v>184</v>
      </c>
      <c r="D58" t="s">
        <v>13</v>
      </c>
      <c r="E58" t="s">
        <v>31</v>
      </c>
      <c r="F58" t="s">
        <v>185</v>
      </c>
      <c r="G58" t="s">
        <v>186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5">
        <v>46129</v>
      </c>
      <c r="B59" t="s">
        <v>28</v>
      </c>
      <c r="C59" s="6" t="s">
        <v>187</v>
      </c>
      <c r="D59" t="s">
        <v>12</v>
      </c>
      <c r="E59" t="s">
        <v>50</v>
      </c>
      <c r="F59" t="s">
        <v>188</v>
      </c>
      <c r="G59" t="s">
        <v>155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5">
        <v>46129</v>
      </c>
      <c r="B60" t="s">
        <v>28</v>
      </c>
      <c r="C60" s="6" t="s">
        <v>189</v>
      </c>
      <c r="D60" t="s">
        <v>12</v>
      </c>
      <c r="E60" t="s">
        <v>23</v>
      </c>
      <c r="F60" t="s">
        <v>23</v>
      </c>
      <c r="G60" t="s">
        <v>190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29" x14ac:dyDescent="0.35">
      <c r="A61" s="5">
        <v>46129</v>
      </c>
      <c r="B61" t="s">
        <v>28</v>
      </c>
      <c r="C61" s="6" t="s">
        <v>191</v>
      </c>
      <c r="D61" t="s">
        <v>12</v>
      </c>
      <c r="E61" t="s">
        <v>24</v>
      </c>
      <c r="F61" t="s">
        <v>192</v>
      </c>
      <c r="G61" t="s">
        <v>193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35">
      <c r="A62" s="5">
        <v>46129</v>
      </c>
      <c r="B62" t="s">
        <v>28</v>
      </c>
      <c r="C62" s="6" t="s">
        <v>88</v>
      </c>
      <c r="D62" t="s">
        <v>74</v>
      </c>
      <c r="E62" t="s">
        <v>10</v>
      </c>
      <c r="F62" t="s">
        <v>10</v>
      </c>
      <c r="G62" t="s">
        <v>68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46129</v>
      </c>
      <c r="B63" t="s">
        <v>28</v>
      </c>
      <c r="C63" s="6" t="s">
        <v>81</v>
      </c>
      <c r="D63" t="s">
        <v>74</v>
      </c>
      <c r="E63" t="s">
        <v>17</v>
      </c>
      <c r="F63" t="s">
        <v>17</v>
      </c>
      <c r="G63" t="s">
        <v>75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46129</v>
      </c>
      <c r="B64" t="s">
        <v>77</v>
      </c>
      <c r="C64" s="6" t="s">
        <v>194</v>
      </c>
      <c r="D64" t="s">
        <v>13</v>
      </c>
      <c r="E64" t="s">
        <v>93</v>
      </c>
      <c r="F64" t="s">
        <v>93</v>
      </c>
      <c r="G64" t="s">
        <v>195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35">
      <c r="A65" s="5">
        <v>46129</v>
      </c>
      <c r="B65" t="s">
        <v>77</v>
      </c>
      <c r="C65" s="6" t="s">
        <v>196</v>
      </c>
      <c r="D65" t="s">
        <v>12</v>
      </c>
      <c r="E65" t="s">
        <v>10</v>
      </c>
      <c r="F65" t="s">
        <v>10</v>
      </c>
      <c r="G65" t="s">
        <v>68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  <row r="66" spans="1:10" ht="29" x14ac:dyDescent="0.35">
      <c r="A66" s="5">
        <v>46129</v>
      </c>
      <c r="B66" t="s">
        <v>77</v>
      </c>
      <c r="C66" s="6" t="s">
        <v>197</v>
      </c>
      <c r="D66" t="s">
        <v>12</v>
      </c>
      <c r="E66" t="s">
        <v>10</v>
      </c>
      <c r="F66" t="s">
        <v>10</v>
      </c>
      <c r="G66" t="s">
        <v>198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46129</v>
      </c>
      <c r="B67" t="s">
        <v>77</v>
      </c>
      <c r="C67" s="6" t="s">
        <v>199</v>
      </c>
      <c r="D67" t="s">
        <v>12</v>
      </c>
      <c r="E67" t="s">
        <v>17</v>
      </c>
      <c r="F67" t="s">
        <v>17</v>
      </c>
      <c r="G67" t="s">
        <v>200</v>
      </c>
      <c r="H67" t="s">
        <v>16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x14ac:dyDescent="0.35">
      <c r="A68" s="5">
        <v>46129</v>
      </c>
      <c r="B68" t="s">
        <v>77</v>
      </c>
      <c r="C68" s="6" t="s">
        <v>201</v>
      </c>
      <c r="D68" t="s">
        <v>12</v>
      </c>
      <c r="E68" t="s">
        <v>14</v>
      </c>
      <c r="F68" t="s">
        <v>14</v>
      </c>
      <c r="G68" t="s">
        <v>202</v>
      </c>
      <c r="H68" t="s">
        <v>11</v>
      </c>
      <c r="I68" t="str">
        <f>_xlfn.XLOOKUP(Tabla1[[#This Row],[Dependencia]],Tabla2[Dependencia],Tabla2[Clasificación],"No indexado")</f>
        <v>Presidencia de la República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32</v>
      </c>
      <c r="D1" s="8" t="s">
        <v>4</v>
      </c>
      <c r="E1" t="s">
        <v>71</v>
      </c>
    </row>
    <row r="2" spans="1:5" x14ac:dyDescent="0.35">
      <c r="A2" t="s">
        <v>64</v>
      </c>
      <c r="B2" t="s">
        <v>65</v>
      </c>
      <c r="D2" s="10" t="s">
        <v>20</v>
      </c>
      <c r="E2" t="s">
        <v>72</v>
      </c>
    </row>
    <row r="3" spans="1:5" x14ac:dyDescent="0.35">
      <c r="A3" t="s">
        <v>17</v>
      </c>
      <c r="B3" t="s">
        <v>33</v>
      </c>
      <c r="D3" s="9" t="s">
        <v>35</v>
      </c>
      <c r="E3" t="s">
        <v>72</v>
      </c>
    </row>
    <row r="4" spans="1:5" x14ac:dyDescent="0.35">
      <c r="A4" t="s">
        <v>20</v>
      </c>
      <c r="B4" t="s">
        <v>34</v>
      </c>
      <c r="D4" s="9" t="s">
        <v>37</v>
      </c>
      <c r="E4" t="s">
        <v>72</v>
      </c>
    </row>
    <row r="5" spans="1:5" x14ac:dyDescent="0.35">
      <c r="A5" t="s">
        <v>63</v>
      </c>
      <c r="B5" t="s">
        <v>10</v>
      </c>
      <c r="D5" s="10" t="s">
        <v>30</v>
      </c>
      <c r="E5" t="s">
        <v>72</v>
      </c>
    </row>
    <row r="6" spans="1:5" x14ac:dyDescent="0.35">
      <c r="A6" t="s">
        <v>35</v>
      </c>
      <c r="B6" t="s">
        <v>34</v>
      </c>
      <c r="D6" s="10" t="s">
        <v>38</v>
      </c>
      <c r="E6" t="s">
        <v>72</v>
      </c>
    </row>
    <row r="7" spans="1:5" x14ac:dyDescent="0.35">
      <c r="A7" t="s">
        <v>36</v>
      </c>
      <c r="B7" t="s">
        <v>10</v>
      </c>
      <c r="D7" s="9" t="s">
        <v>39</v>
      </c>
      <c r="E7" t="s">
        <v>72</v>
      </c>
    </row>
    <row r="8" spans="1:5" x14ac:dyDescent="0.35">
      <c r="A8" t="s">
        <v>37</v>
      </c>
      <c r="B8" t="s">
        <v>34</v>
      </c>
      <c r="D8" s="9" t="s">
        <v>39</v>
      </c>
      <c r="E8" t="s">
        <v>72</v>
      </c>
    </row>
    <row r="9" spans="1:5" x14ac:dyDescent="0.35">
      <c r="A9" t="s">
        <v>30</v>
      </c>
      <c r="B9" t="s">
        <v>34</v>
      </c>
      <c r="D9" s="9" t="s">
        <v>40</v>
      </c>
      <c r="E9" t="s">
        <v>72</v>
      </c>
    </row>
    <row r="10" spans="1:5" x14ac:dyDescent="0.3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38</v>
      </c>
      <c r="B11" t="s">
        <v>34</v>
      </c>
      <c r="D11" s="9" t="s">
        <v>41</v>
      </c>
      <c r="E11" t="s">
        <v>72</v>
      </c>
    </row>
    <row r="12" spans="1:5" x14ac:dyDescent="0.35">
      <c r="A12" t="s">
        <v>39</v>
      </c>
      <c r="B12" t="s">
        <v>34</v>
      </c>
      <c r="D12" s="10" t="s">
        <v>42</v>
      </c>
      <c r="E12" t="s">
        <v>72</v>
      </c>
    </row>
    <row r="13" spans="1:5" x14ac:dyDescent="0.35">
      <c r="A13" t="s">
        <v>39</v>
      </c>
      <c r="B13" t="s">
        <v>34</v>
      </c>
      <c r="D13" s="10" t="s">
        <v>42</v>
      </c>
      <c r="E13" t="s">
        <v>72</v>
      </c>
    </row>
    <row r="14" spans="1:5" x14ac:dyDescent="0.35">
      <c r="A14" t="s">
        <v>66</v>
      </c>
      <c r="B14" t="s">
        <v>47</v>
      </c>
      <c r="D14" s="9" t="s">
        <v>22</v>
      </c>
      <c r="E14" t="s">
        <v>72</v>
      </c>
    </row>
    <row r="15" spans="1:5" x14ac:dyDescent="0.35">
      <c r="A15" t="s">
        <v>40</v>
      </c>
      <c r="B15" t="s">
        <v>34</v>
      </c>
      <c r="D15" s="10" t="s">
        <v>18</v>
      </c>
      <c r="E15" t="s">
        <v>72</v>
      </c>
    </row>
    <row r="16" spans="1:5" x14ac:dyDescent="0.35">
      <c r="A16" t="s">
        <v>25</v>
      </c>
      <c r="B16" t="s">
        <v>34</v>
      </c>
      <c r="D16" s="9" t="s">
        <v>50</v>
      </c>
      <c r="E16" t="s">
        <v>72</v>
      </c>
    </row>
    <row r="17" spans="1:5" x14ac:dyDescent="0.35">
      <c r="A17" t="s">
        <v>41</v>
      </c>
      <c r="B17" t="s">
        <v>34</v>
      </c>
      <c r="D17" s="9" t="s">
        <v>56</v>
      </c>
      <c r="E17" t="s">
        <v>72</v>
      </c>
    </row>
    <row r="18" spans="1:5" x14ac:dyDescent="0.35">
      <c r="A18" t="s">
        <v>42</v>
      </c>
      <c r="B18" t="s">
        <v>34</v>
      </c>
      <c r="D18" s="9" t="s">
        <v>57</v>
      </c>
      <c r="E18" t="s">
        <v>72</v>
      </c>
    </row>
    <row r="19" spans="1:5" x14ac:dyDescent="0.35">
      <c r="A19" t="s">
        <v>43</v>
      </c>
      <c r="B19" t="s">
        <v>10</v>
      </c>
      <c r="D19" s="9" t="s">
        <v>24</v>
      </c>
      <c r="E19" t="s">
        <v>72</v>
      </c>
    </row>
    <row r="20" spans="1:5" x14ac:dyDescent="0.35">
      <c r="A20" t="s">
        <v>44</v>
      </c>
      <c r="B20" t="s">
        <v>45</v>
      </c>
      <c r="D20" s="10" t="s">
        <v>21</v>
      </c>
      <c r="E20" t="s">
        <v>72</v>
      </c>
    </row>
    <row r="21" spans="1:5" x14ac:dyDescent="0.35">
      <c r="A21" t="s">
        <v>46</v>
      </c>
      <c r="B21" t="s">
        <v>47</v>
      </c>
      <c r="D21" s="9" t="s">
        <v>29</v>
      </c>
      <c r="E21" t="s">
        <v>72</v>
      </c>
    </row>
    <row r="22" spans="1:5" x14ac:dyDescent="0.35">
      <c r="A22" t="s">
        <v>19</v>
      </c>
      <c r="B22" t="s">
        <v>47</v>
      </c>
      <c r="D22" s="10" t="s">
        <v>27</v>
      </c>
      <c r="E22" t="s">
        <v>72</v>
      </c>
    </row>
    <row r="23" spans="1:5" x14ac:dyDescent="0.35">
      <c r="A23" t="s">
        <v>22</v>
      </c>
      <c r="B23" t="s">
        <v>34</v>
      </c>
      <c r="D23" s="9" t="s">
        <v>58</v>
      </c>
      <c r="E23" t="s">
        <v>72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72</v>
      </c>
    </row>
    <row r="25" spans="1:5" x14ac:dyDescent="0.35">
      <c r="A25" t="s">
        <v>48</v>
      </c>
      <c r="B25" t="s">
        <v>47</v>
      </c>
      <c r="D25" s="10" t="s">
        <v>23</v>
      </c>
      <c r="E25" t="s">
        <v>72</v>
      </c>
    </row>
    <row r="26" spans="1:5" x14ac:dyDescent="0.35">
      <c r="A26" t="s">
        <v>49</v>
      </c>
      <c r="B26" t="s">
        <v>47</v>
      </c>
      <c r="D26" s="9" t="s">
        <v>59</v>
      </c>
      <c r="E26" t="s">
        <v>72</v>
      </c>
    </row>
    <row r="27" spans="1:5" x14ac:dyDescent="0.35">
      <c r="A27" t="s">
        <v>67</v>
      </c>
      <c r="B27" t="s">
        <v>47</v>
      </c>
      <c r="D27" s="11" t="s">
        <v>31</v>
      </c>
      <c r="E27" t="s">
        <v>72</v>
      </c>
    </row>
    <row r="28" spans="1:5" x14ac:dyDescent="0.35">
      <c r="A28" t="s">
        <v>18</v>
      </c>
      <c r="B28" t="s">
        <v>34</v>
      </c>
    </row>
    <row r="29" spans="1:5" x14ac:dyDescent="0.35">
      <c r="A29" t="s">
        <v>50</v>
      </c>
      <c r="B29" t="s">
        <v>34</v>
      </c>
    </row>
    <row r="30" spans="1:5" x14ac:dyDescent="0.35">
      <c r="A30" t="s">
        <v>51</v>
      </c>
      <c r="B30" t="s">
        <v>47</v>
      </c>
    </row>
    <row r="31" spans="1:5" x14ac:dyDescent="0.35">
      <c r="A31" t="s">
        <v>14</v>
      </c>
      <c r="B31" t="s">
        <v>52</v>
      </c>
    </row>
    <row r="32" spans="1:5" x14ac:dyDescent="0.35">
      <c r="A32" t="s">
        <v>53</v>
      </c>
      <c r="B32" t="s">
        <v>47</v>
      </c>
    </row>
    <row r="33" spans="1:2" x14ac:dyDescent="0.35">
      <c r="A33" t="s">
        <v>54</v>
      </c>
      <c r="B33" t="s">
        <v>47</v>
      </c>
    </row>
    <row r="34" spans="1:2" x14ac:dyDescent="0.35">
      <c r="A34" t="s">
        <v>55</v>
      </c>
      <c r="B34" t="s">
        <v>47</v>
      </c>
    </row>
    <row r="35" spans="1:2" x14ac:dyDescent="0.35">
      <c r="A35" t="s">
        <v>56</v>
      </c>
      <c r="B35" t="s">
        <v>34</v>
      </c>
    </row>
    <row r="36" spans="1:2" x14ac:dyDescent="0.35">
      <c r="A36" t="s">
        <v>57</v>
      </c>
      <c r="B36" t="s">
        <v>34</v>
      </c>
    </row>
    <row r="37" spans="1:2" x14ac:dyDescent="0.35">
      <c r="A37" t="s">
        <v>24</v>
      </c>
      <c r="B37" t="s">
        <v>34</v>
      </c>
    </row>
    <row r="38" spans="1:2" x14ac:dyDescent="0.35">
      <c r="A38" t="s">
        <v>21</v>
      </c>
      <c r="B38" t="s">
        <v>34</v>
      </c>
    </row>
    <row r="39" spans="1:2" x14ac:dyDescent="0.35">
      <c r="A39" t="s">
        <v>29</v>
      </c>
      <c r="B39" t="s">
        <v>34</v>
      </c>
    </row>
    <row r="40" spans="1:2" x14ac:dyDescent="0.35">
      <c r="A40" t="s">
        <v>27</v>
      </c>
      <c r="B40" t="s">
        <v>34</v>
      </c>
    </row>
    <row r="41" spans="1:2" x14ac:dyDescent="0.35">
      <c r="A41" t="s">
        <v>58</v>
      </c>
      <c r="B41" t="s">
        <v>34</v>
      </c>
    </row>
    <row r="42" spans="1:2" x14ac:dyDescent="0.35">
      <c r="A42" t="s">
        <v>15</v>
      </c>
      <c r="B42" t="s">
        <v>34</v>
      </c>
    </row>
    <row r="43" spans="1:2" x14ac:dyDescent="0.35">
      <c r="A43" t="s">
        <v>23</v>
      </c>
      <c r="B43" t="s">
        <v>34</v>
      </c>
    </row>
    <row r="44" spans="1:2" x14ac:dyDescent="0.35">
      <c r="A44" t="s">
        <v>59</v>
      </c>
      <c r="B44" t="s">
        <v>34</v>
      </c>
    </row>
    <row r="45" spans="1:2" x14ac:dyDescent="0.35">
      <c r="A45" t="s">
        <v>60</v>
      </c>
      <c r="B45" t="s">
        <v>10</v>
      </c>
    </row>
    <row r="46" spans="1:2" x14ac:dyDescent="0.35">
      <c r="A46" t="s">
        <v>61</v>
      </c>
      <c r="B46" t="s">
        <v>10</v>
      </c>
    </row>
    <row r="47" spans="1:2" x14ac:dyDescent="0.35">
      <c r="A47" t="s">
        <v>31</v>
      </c>
      <c r="B47" t="s">
        <v>34</v>
      </c>
    </row>
    <row r="48" spans="1:2" x14ac:dyDescent="0.3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2026-04-17T18:20:23Z</dcterms:modified>
</cp:coreProperties>
</file>