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8D8CADC4-5C95-4129-A196-BBB7C1296BDF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</calcChain>
</file>

<file path=xl/sharedStrings.xml><?xml version="1.0" encoding="utf-8"?>
<sst xmlns="http://schemas.openxmlformats.org/spreadsheetml/2006/main" count="580" uniqueCount="195">
  <si>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</si>
  <si>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</si>
  <si>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</si>
  <si>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</si>
  <si>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</si>
  <si>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</si>
  <si>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</si>
  <si>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</si>
  <si>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</si>
  <si>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</si>
  <si>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</si>
  <si>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</si>
  <si>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</si>
  <si>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</si>
  <si>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</si>
  <si>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</si>
  <si>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</si>
  <si>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</si>
  <si>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</si>
  <si>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</si>
  <si>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</si>
  <si>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</si>
  <si>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</si>
  <si>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</si>
  <si>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</si>
  <si>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</si>
  <si>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</si>
  <si>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</si>
  <si>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</si>
  <si>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</si>
  <si>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</si>
  <si>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</si>
  <si>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</si>
  <si>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</si>
  <si>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</si>
  <si>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</si>
  <si>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</si>
  <si>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</si>
  <si>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</si>
  <si>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</si>
  <si>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</si>
  <si>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</si>
  <si>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</si>
  <si>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</si>
  <si>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</si>
  <si>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</si>
  <si>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</si>
  <si>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</si>
  <si>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</si>
  <si>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</si>
  <si>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</si>
  <si>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</si>
  <si>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</si>
  <si>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</si>
  <si>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</si>
  <si>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</si>
  <si>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</si>
  <si>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</si>
  <si>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</si>
  <si>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</si>
  <si>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</si>
  <si>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</si>
  <si>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</si>
  <si>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</si>
  <si>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</si>
  <si>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</si>
  <si>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</si>
  <si>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</si>
  <si>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La Jornada Hidalgo</t>
  </si>
  <si>
    <t>OCSAD</t>
  </si>
  <si>
    <t>Negativa</t>
  </si>
  <si>
    <t>El Universal Hidalgo</t>
  </si>
  <si>
    <t>Temas varios</t>
  </si>
  <si>
    <t>Deportes</t>
  </si>
  <si>
    <t>Criterio</t>
  </si>
  <si>
    <t>Positiva</t>
  </si>
  <si>
    <t>Milenio Hidalgo</t>
  </si>
  <si>
    <t>Alcalde</t>
  </si>
  <si>
    <t>Zunoticia</t>
  </si>
  <si>
    <t>Effetá</t>
  </si>
  <si>
    <t>Publicidad</t>
  </si>
  <si>
    <t>Pachuca Brilla</t>
  </si>
  <si>
    <t>Síntesis</t>
  </si>
  <si>
    <t>Plaza Juárez</t>
  </si>
  <si>
    <t>Festival Cultural</t>
  </si>
  <si>
    <t>Polos del Bienestar</t>
  </si>
  <si>
    <t>Cruz Azul</t>
  </si>
  <si>
    <t>José José Sinfónico</t>
  </si>
  <si>
    <t>Cecultah</t>
  </si>
  <si>
    <t>Concierto Sinfónico</t>
  </si>
  <si>
    <t>Cubitos prepara encuentro dedicado a los hongos</t>
  </si>
  <si>
    <t>Sinaloa presenta a su gobernadora interina</t>
  </si>
  <si>
    <t>Interinato</t>
  </si>
  <si>
    <t>Padres de familia compran uniformes escolares en puestos frente a escuelas primarias de Pachuca, con precios entre mil 560 y mil 650 pesos. El uniforme gratuito del estado se usa solo un día a la semana, por lo que muchos deben comprar el uniforme com- pleto, dijeron a El Sol de Hidalgo. El gasto total por hijo supera los tres mil pesos, incluyendo útiles</t>
  </si>
  <si>
    <t>Entrega de uniformes</t>
  </si>
  <si>
    <t>Registra Hidalgo casi mil casos de diabetes por m es</t>
  </si>
  <si>
    <t>Vigilancia Epidemiológica</t>
  </si>
  <si>
    <t>Anuncian consultorios de atención primaria</t>
  </si>
  <si>
    <t>Consultorios del Bienestar</t>
  </si>
  <si>
    <t>Confirma Jueza la prescripción en el caso de Mirna N</t>
  </si>
  <si>
    <t>Impunidad</t>
  </si>
  <si>
    <t>Preparan llegada de Farmacias del Bienestar a Hidalgo</t>
  </si>
  <si>
    <t>Disputan planillas sindicato de Percy Espinosa</t>
  </si>
  <si>
    <t>SUTSMP</t>
  </si>
  <si>
    <t>El gobernador participó vía enlace en la conferencia mañanera</t>
  </si>
  <si>
    <t>Destinan 105 mdp a Lolotla</t>
  </si>
  <si>
    <t>Rutas de la Reconstrucción</t>
  </si>
  <si>
    <t>En manos de los habitantes, futuro de relleno sanitario</t>
  </si>
  <si>
    <t>GLPVEM</t>
  </si>
  <si>
    <t>Relleno Sanitario</t>
  </si>
  <si>
    <t>Fumigan escuelas en Tepetitlán</t>
  </si>
  <si>
    <t>Conagua</t>
  </si>
  <si>
    <t>Fumigación mosco Culex</t>
  </si>
  <si>
    <t>Pendientes, las reformas electorales en el Congreso</t>
  </si>
  <si>
    <t>Junta de Gobierno</t>
  </si>
  <si>
    <t>Reforma Electoral</t>
  </si>
  <si>
    <t>Se suman a la ZMVM 8 municipios de Hidalgo</t>
  </si>
  <si>
    <t>ZMVM</t>
  </si>
  <si>
    <t>Al menos 5 alcaldes han enfrentado retenciones</t>
  </si>
  <si>
    <t>Retención alcalde</t>
  </si>
  <si>
    <t>Una conexión hecha campeones</t>
  </si>
  <si>
    <t>Al otro ciclo, la cobertura total en nivel bachillerato</t>
  </si>
  <si>
    <t>Cobertura educativa</t>
  </si>
  <si>
    <t>Reviente el Tricolor el arribo de Adán Augurto a la entidad</t>
  </si>
  <si>
    <t>PRI</t>
  </si>
  <si>
    <t>Trabajo partidista</t>
  </si>
  <si>
    <t>Preparan nuevas reglas para elección de jueces</t>
  </si>
  <si>
    <t>Elección Judicial</t>
  </si>
  <si>
    <t>En el estado, siete de cada 10 están en la informalidad</t>
  </si>
  <si>
    <t>Informalidad laboral</t>
  </si>
  <si>
    <t>Sin ser obligatorias, las cuotas se consideran necesarias</t>
  </si>
  <si>
    <t>Cuotas escolares</t>
  </si>
  <si>
    <t>Que la gente confíe es un reto, asegura titular de Comisión de Búsqueda</t>
  </si>
  <si>
    <t>CBPEH</t>
  </si>
  <si>
    <t>Búsqueda de personas</t>
  </si>
  <si>
    <t>Reforestan parque El Camaleón con 2 mil pinos</t>
  </si>
  <si>
    <t>Reforestación</t>
  </si>
  <si>
    <t>Libre paso para el tren; alistan obras adicionales</t>
  </si>
  <si>
    <t>SICT</t>
  </si>
  <si>
    <t>Tren AIFA</t>
  </si>
  <si>
    <t>Buscan dos nuevos centros logísticos para Tula y Sahagún</t>
  </si>
  <si>
    <t>Clebran el crecimiento de la planta Cruz Azul</t>
  </si>
  <si>
    <t>Consultorios del Bienestar serán 161 en el estado</t>
  </si>
  <si>
    <t>Elige la 4T sus cartas en tres estados y se impone el rochismo en Sinaloa</t>
  </si>
  <si>
    <t>Gobernador interino</t>
  </si>
  <si>
    <t>Ven potencial para desarrollo industrial</t>
  </si>
  <si>
    <t>Laudos y procesos laborales presionan finanzas de Pachuca</t>
  </si>
  <si>
    <t>Laudos Municipios</t>
  </si>
  <si>
    <t>Construirán 641 consultoirios de atención primaria</t>
  </si>
  <si>
    <t>Sinaloa ya tiene gobernadora, otra vez</t>
  </si>
  <si>
    <t>“No permitiremos que generen alguna fractura del movimiento”</t>
  </si>
  <si>
    <t>Unidad partidista</t>
  </si>
  <si>
    <t>Hace 15 años, en Oaxaca, surgió México Igualitario (…) El 90 % de nuestras  actividades nunca ha sido financiado. Afortunadamente, hemos encontrado  personas que, al igual que nosotres, deciden ser solidarias y donar su trabajo  para que las personas tengan justicia”.</t>
  </si>
  <si>
    <t>Hidalgo tendrá Farmacias del Bienestar y 641 nuevos consultorios</t>
  </si>
  <si>
    <t>Buscan elegir a jueces y magistrados hidalguenses mediante voto popular</t>
  </si>
  <si>
    <t>Reforma Judicial</t>
  </si>
  <si>
    <t>Estiman operación completa del Polo de Bienestar en Zapotlán en siete años</t>
  </si>
  <si>
    <t>Progreso de Obregón ofrece disculpa pública a Silvino Tovar</t>
  </si>
  <si>
    <t>Disculpa pública</t>
  </si>
  <si>
    <t>Julio Menchaca respalda la transformación en Lolotla con más de 105 millones de pesos</t>
  </si>
  <si>
    <t>Bienestar entrega más de 5 mil 400 tarjetas de pensión en Hidalgo</t>
  </si>
  <si>
    <t>Pensión Del Bienestar</t>
  </si>
  <si>
    <t>Manifestación en CFE de Atlapexco</t>
  </si>
  <si>
    <t>CFE</t>
  </si>
  <si>
    <t>Incumplimiento de obra</t>
  </si>
  <si>
    <t>Fuerte lluvia y viento sorprenden en distintos sectores de la ciudad</t>
  </si>
  <si>
    <t>Alerta Meteorológica</t>
  </si>
  <si>
    <t>El corazón de la transformacion late en el Valle del Mezquital""</t>
  </si>
  <si>
    <t>Simey</t>
  </si>
  <si>
    <t>Informe Legislativo</t>
  </si>
  <si>
    <t>Garantizan instalaciones deportivas óptimas para las familias</t>
  </si>
  <si>
    <t>Fomento Al Deporte</t>
  </si>
  <si>
    <t>Sorprende la ""Doble"" de Shienbaum en informe de Simey</t>
  </si>
  <si>
    <t>Reforma electoral de Hidalgo sigue en pausa</t>
  </si>
  <si>
    <t>Hidalgo se suma a Farmacias del Bienestar</t>
  </si>
  <si>
    <t>Cuotas escolares no son obligatorias</t>
  </si>
  <si>
    <t>Descartan comparecencia extraordinaria de Cruz Neri</t>
  </si>
  <si>
    <t>Comparecencias</t>
  </si>
  <si>
    <t>Con transparencia y buen uso del gasto público, rinde el presupuesto para atender necesidades: Julio Menchaca</t>
  </si>
  <si>
    <t>¿Buscas trabajo? Este jueves, Feria Nacional de Empleo en la Reforma</t>
  </si>
  <si>
    <t>Feria De Empleo</t>
  </si>
  <si>
    <t>Hidalgo se suma a las farmacias y nuevos consultorios del Bienestar</t>
  </si>
  <si>
    <t>Encabeza Natividad Castrejón el arranque de la campaña Boteo Teletón 2026 en la SEPH</t>
  </si>
  <si>
    <t>Teletón</t>
  </si>
  <si>
    <t>Llenará la lucha libre de emoción a la Feria de Pachuca</t>
  </si>
  <si>
    <t>OEEH</t>
  </si>
  <si>
    <t>Feria Pachuca</t>
  </si>
  <si>
    <t>Detienen a cuatro que se dedicaban al atraco de negocios</t>
  </si>
  <si>
    <t>Combate a la delincuencia</t>
  </si>
  <si>
    <t>Vecinos impiden derribo de árbol de más de 300 años de edad</t>
  </si>
  <si>
    <t>Protesta por obra</t>
  </si>
  <si>
    <t>Fallece Dolly Parton</t>
  </si>
  <si>
    <t>Vicente Fox respalda a Ruffo, acusado de robo de combustible</t>
  </si>
  <si>
    <t>Huachicol</t>
  </si>
  <si>
    <t>Dos planillas competirán por dirigencia del SUTSMP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</si>
</sst>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1" totalsRowShown="0" headerRowDxfId="5" headerRowBorderDxfId="4">
  <autoFilter ref="A1:J61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1"/>
  <sheetViews>
    <sheetView tabSelected="1" workbookViewId="0">
      <selection activeCell="A2" sqref="A2:H61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46260</v>
      </c>
      <c r="B2" t="s">
        <v>67</v>
      </c>
      <c r="C2" s="5" t="s">
        <v>90</v>
      </c>
      <c r="D2" t="s">
        <v>12</v>
      </c>
      <c r="E2" t="s">
        <v>10</v>
      </c>
      <c r="F2" t="s">
        <v>10</v>
      </c>
      <c r="G2" t="s">
        <v>84</v>
      </c>
      <c r="H2" t="s">
        <v>11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46260</v>
      </c>
      <c r="B3" t="s">
        <v>67</v>
      </c>
      <c r="C3" s="5" t="s">
        <v>91</v>
      </c>
      <c r="D3" t="s">
        <v>12</v>
      </c>
      <c r="E3" t="s">
        <v>10</v>
      </c>
      <c r="F3" t="s">
        <v>10</v>
      </c>
      <c r="G3" t="s">
        <v>92</v>
      </c>
      <c r="H3" t="s">
        <v>11</v>
      </c>
      <c r="I3" t="str">
        <f>_xlfn.XLOOKUP(Tabla1[[#This Row],[Dependencia]],Tabla2[Dependencia],Tabla2[Clasificación],"XXX",0)</f>
        <v>Otros</v>
      </c>
      <c r="J3" t="str">
        <f>_xlfn.XLOOKUP(Tabla1[[#This Row],[Dependencia]],Tabla3[Dependencia],Tabla3[Nivel],"Otros",0)</f>
        <v>Otros</v>
      </c>
    </row>
    <row r="4" spans="1:10" ht="105" x14ac:dyDescent="0.25">
      <c r="A4" s="11">
        <v>46260</v>
      </c>
      <c r="B4" t="s">
        <v>67</v>
      </c>
      <c r="C4" s="5" t="s">
        <v>93</v>
      </c>
      <c r="D4" t="s">
        <v>9</v>
      </c>
      <c r="E4" t="s">
        <v>26</v>
      </c>
      <c r="F4" t="s">
        <v>26</v>
      </c>
      <c r="G4" t="s">
        <v>94</v>
      </c>
      <c r="H4" t="s">
        <v>70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25">
      <c r="A5" s="11">
        <v>46260</v>
      </c>
      <c r="B5" t="s">
        <v>67</v>
      </c>
      <c r="C5" s="5" t="s">
        <v>95</v>
      </c>
      <c r="D5" t="s">
        <v>12</v>
      </c>
      <c r="E5" t="s">
        <v>15</v>
      </c>
      <c r="F5" t="s">
        <v>15</v>
      </c>
      <c r="G5" t="s">
        <v>96</v>
      </c>
      <c r="H5" t="s">
        <v>11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11">
        <v>46260</v>
      </c>
      <c r="B6" t="s">
        <v>67</v>
      </c>
      <c r="C6" s="5" t="s">
        <v>97</v>
      </c>
      <c r="D6" t="s">
        <v>12</v>
      </c>
      <c r="E6" t="s">
        <v>14</v>
      </c>
      <c r="F6" t="s">
        <v>14</v>
      </c>
      <c r="G6" t="s">
        <v>98</v>
      </c>
      <c r="H6" t="s">
        <v>75</v>
      </c>
      <c r="I6" t="str">
        <f>_xlfn.XLOOKUP(Tabla1[[#This Row],[Dependencia]],Tabla2[Dependencia],Tabla2[Clasificación],"XXX",0)</f>
        <v>Presidencia de la República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46260</v>
      </c>
      <c r="B7" t="s">
        <v>67</v>
      </c>
      <c r="C7" s="5" t="s">
        <v>99</v>
      </c>
      <c r="D7" t="s">
        <v>12</v>
      </c>
      <c r="E7" t="s">
        <v>10</v>
      </c>
      <c r="F7" t="s">
        <v>10</v>
      </c>
      <c r="G7" t="s">
        <v>100</v>
      </c>
      <c r="H7" t="s">
        <v>70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11">
        <v>46260</v>
      </c>
      <c r="B8" t="s">
        <v>71</v>
      </c>
      <c r="C8" s="5" t="s">
        <v>101</v>
      </c>
      <c r="D8" t="s">
        <v>13</v>
      </c>
      <c r="E8" t="s">
        <v>14</v>
      </c>
      <c r="F8" t="s">
        <v>14</v>
      </c>
      <c r="G8" t="s">
        <v>98</v>
      </c>
      <c r="H8" t="s">
        <v>11</v>
      </c>
      <c r="I8" t="str">
        <f>_xlfn.XLOOKUP(Tabla1[[#This Row],[Dependencia]],Tabla2[Dependencia],Tabla2[Clasificación],"XXX",0)</f>
        <v>Presidencia de la República</v>
      </c>
      <c r="J8" t="str">
        <f>_xlfn.XLOOKUP(Tabla1[[#This Row],[Dependencia]],Tabla3[Dependencia],Tabla3[Nivel],"Otros",0)</f>
        <v>Otros</v>
      </c>
    </row>
    <row r="9" spans="1:10" x14ac:dyDescent="0.25">
      <c r="A9" s="11">
        <v>46260</v>
      </c>
      <c r="B9" t="s">
        <v>71</v>
      </c>
      <c r="C9" s="5" t="s">
        <v>102</v>
      </c>
      <c r="D9" t="s">
        <v>12</v>
      </c>
      <c r="E9" t="s">
        <v>16</v>
      </c>
      <c r="F9" t="s">
        <v>16</v>
      </c>
      <c r="G9" t="s">
        <v>103</v>
      </c>
      <c r="H9" t="s">
        <v>11</v>
      </c>
      <c r="I9" t="str">
        <f>_xlfn.XLOOKUP(Tabla1[[#This Row],[Dependencia]],Tabla2[Dependencia],Tabla2[Clasificación],"XXX",0)</f>
        <v>Alcaldías</v>
      </c>
      <c r="J9" t="str">
        <f>_xlfn.XLOOKUP(Tabla1[[#This Row],[Dependencia]],Tabla3[Dependencia],Tabla3[Nivel],"Otros",0)</f>
        <v>Otros</v>
      </c>
    </row>
    <row r="10" spans="1:10" ht="30" x14ac:dyDescent="0.25">
      <c r="A10" s="11">
        <v>46260</v>
      </c>
      <c r="B10" t="s">
        <v>71</v>
      </c>
      <c r="C10" s="5" t="s">
        <v>104</v>
      </c>
      <c r="D10" t="s">
        <v>12</v>
      </c>
      <c r="E10" t="s">
        <v>24</v>
      </c>
      <c r="F10" t="s">
        <v>24</v>
      </c>
      <c r="G10" t="s">
        <v>98</v>
      </c>
      <c r="H10" t="s">
        <v>11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Gobernador</v>
      </c>
    </row>
    <row r="11" spans="1:10" x14ac:dyDescent="0.25">
      <c r="A11" s="11">
        <v>46260</v>
      </c>
      <c r="B11" t="s">
        <v>71</v>
      </c>
      <c r="C11" s="5" t="s">
        <v>105</v>
      </c>
      <c r="D11" t="s">
        <v>12</v>
      </c>
      <c r="E11" t="s">
        <v>24</v>
      </c>
      <c r="F11" t="s">
        <v>24</v>
      </c>
      <c r="G11" t="s">
        <v>106</v>
      </c>
      <c r="H11" t="s">
        <v>11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Gobernador</v>
      </c>
    </row>
    <row r="12" spans="1:10" x14ac:dyDescent="0.25">
      <c r="A12" s="11">
        <v>46260</v>
      </c>
      <c r="B12" t="s">
        <v>71</v>
      </c>
      <c r="C12" s="5" t="s">
        <v>107</v>
      </c>
      <c r="D12" t="s">
        <v>12</v>
      </c>
      <c r="E12" t="s">
        <v>33</v>
      </c>
      <c r="F12" t="s">
        <v>108</v>
      </c>
      <c r="G12" t="s">
        <v>109</v>
      </c>
      <c r="H12" t="s">
        <v>11</v>
      </c>
      <c r="I12" t="str">
        <f>_xlfn.XLOOKUP(Tabla1[[#This Row],[Dependencia]],Tabla2[Dependencia],Tabla2[Clasificación],"XXX",0)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11">
        <v>46260</v>
      </c>
      <c r="B13" t="s">
        <v>71</v>
      </c>
      <c r="C13" s="5" t="s">
        <v>110</v>
      </c>
      <c r="D13" t="s">
        <v>12</v>
      </c>
      <c r="E13" t="s">
        <v>14</v>
      </c>
      <c r="F13" t="s">
        <v>111</v>
      </c>
      <c r="G13" t="s">
        <v>112</v>
      </c>
      <c r="H13" t="s">
        <v>11</v>
      </c>
      <c r="I13" t="str">
        <f>_xlfn.XLOOKUP(Tabla1[[#This Row],[Dependencia]],Tabla2[Dependencia],Tabla2[Clasificación],"XXX",0)</f>
        <v>Presidencia de la República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46260</v>
      </c>
      <c r="B14" t="s">
        <v>74</v>
      </c>
      <c r="C14" s="5" t="s">
        <v>113</v>
      </c>
      <c r="D14" t="s">
        <v>12</v>
      </c>
      <c r="E14" t="s">
        <v>33</v>
      </c>
      <c r="F14" t="s">
        <v>114</v>
      </c>
      <c r="G14" t="s">
        <v>115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46260</v>
      </c>
      <c r="B15" t="s">
        <v>74</v>
      </c>
      <c r="C15" s="5" t="s">
        <v>116</v>
      </c>
      <c r="D15" t="s">
        <v>12</v>
      </c>
      <c r="E15" t="s">
        <v>24</v>
      </c>
      <c r="F15" t="s">
        <v>24</v>
      </c>
      <c r="G15" t="s">
        <v>117</v>
      </c>
      <c r="H15" t="s">
        <v>11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Gobernador</v>
      </c>
    </row>
    <row r="16" spans="1:10" x14ac:dyDescent="0.25">
      <c r="A16" s="11">
        <v>46260</v>
      </c>
      <c r="B16" t="s">
        <v>74</v>
      </c>
      <c r="C16" s="5" t="s">
        <v>118</v>
      </c>
      <c r="D16" t="s">
        <v>13</v>
      </c>
      <c r="E16" t="s">
        <v>16</v>
      </c>
      <c r="F16" t="s">
        <v>77</v>
      </c>
      <c r="G16" t="s">
        <v>119</v>
      </c>
      <c r="H16" t="s">
        <v>11</v>
      </c>
      <c r="I16" t="str">
        <f>_xlfn.XLOOKUP(Tabla1[[#This Row],[Dependencia]],Tabla2[Dependencia],Tabla2[Clasificación],"XXX",0)</f>
        <v>Alcaldías</v>
      </c>
      <c r="J16" t="str">
        <f>_xlfn.XLOOKUP(Tabla1[[#This Row],[Dependencia]],Tabla3[Dependencia],Tabla3[Nivel],"Otros",0)</f>
        <v>Otros</v>
      </c>
    </row>
    <row r="17" spans="1:10" x14ac:dyDescent="0.25">
      <c r="A17" s="11">
        <v>46260</v>
      </c>
      <c r="B17" t="s">
        <v>74</v>
      </c>
      <c r="C17" s="5" t="s">
        <v>120</v>
      </c>
      <c r="D17" t="s">
        <v>12</v>
      </c>
      <c r="E17" t="s">
        <v>10</v>
      </c>
      <c r="F17" t="s">
        <v>10</v>
      </c>
      <c r="G17" t="s">
        <v>73</v>
      </c>
      <c r="H17" t="s">
        <v>11</v>
      </c>
      <c r="I17" t="str">
        <f>_xlfn.XLOOKUP(Tabla1[[#This Row],[Dependencia]],Tabla2[Dependencia],Tabla2[Clasificación],"XXX",0)</f>
        <v>Otros</v>
      </c>
      <c r="J17" t="str">
        <f>_xlfn.XLOOKUP(Tabla1[[#This Row],[Dependencia]],Tabla3[Dependencia],Tabla3[Nivel],"Otros",0)</f>
        <v>Otros</v>
      </c>
    </row>
    <row r="18" spans="1:10" x14ac:dyDescent="0.25">
      <c r="A18" s="11">
        <v>46260</v>
      </c>
      <c r="B18" t="s">
        <v>74</v>
      </c>
      <c r="C18" s="5" t="s">
        <v>121</v>
      </c>
      <c r="D18" t="s">
        <v>12</v>
      </c>
      <c r="E18" t="s">
        <v>26</v>
      </c>
      <c r="F18" t="s">
        <v>26</v>
      </c>
      <c r="G18" t="s">
        <v>122</v>
      </c>
      <c r="H18" t="s">
        <v>75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Gabinete</v>
      </c>
    </row>
    <row r="19" spans="1:10" ht="30" x14ac:dyDescent="0.25">
      <c r="A19" s="11">
        <v>46260</v>
      </c>
      <c r="B19" t="s">
        <v>74</v>
      </c>
      <c r="C19" s="5" t="s">
        <v>123</v>
      </c>
      <c r="D19" t="s">
        <v>12</v>
      </c>
      <c r="E19" t="s">
        <v>124</v>
      </c>
      <c r="F19" t="s">
        <v>124</v>
      </c>
      <c r="G19" t="s">
        <v>125</v>
      </c>
      <c r="H19" t="s">
        <v>11</v>
      </c>
      <c r="I19" t="str">
        <f>_xlfn.XLOOKUP(Tabla1[[#This Row],[Dependencia]],Tabla2[Dependencia],Tabla2[Clasificación],"XXX",0)</f>
        <v>Partidos</v>
      </c>
      <c r="J19" t="str">
        <f>_xlfn.XLOOKUP(Tabla1[[#This Row],[Dependencia]],Tabla3[Dependencia],Tabla3[Nivel],"Otros",0)</f>
        <v>Otros</v>
      </c>
    </row>
    <row r="20" spans="1:10" x14ac:dyDescent="0.25">
      <c r="A20" s="11">
        <v>46260</v>
      </c>
      <c r="B20" t="s">
        <v>76</v>
      </c>
      <c r="C20" s="5" t="s">
        <v>126</v>
      </c>
      <c r="D20" t="s">
        <v>13</v>
      </c>
      <c r="E20" t="s">
        <v>33</v>
      </c>
      <c r="F20" t="s">
        <v>33</v>
      </c>
      <c r="G20" t="s">
        <v>127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x14ac:dyDescent="0.25">
      <c r="A21" s="11">
        <v>46260</v>
      </c>
      <c r="B21" t="s">
        <v>76</v>
      </c>
      <c r="C21" s="5" t="s">
        <v>128</v>
      </c>
      <c r="D21" t="s">
        <v>12</v>
      </c>
      <c r="E21" t="s">
        <v>56</v>
      </c>
      <c r="F21" t="s">
        <v>56</v>
      </c>
      <c r="G21" t="s">
        <v>129</v>
      </c>
      <c r="H21" t="s">
        <v>70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ht="30" x14ac:dyDescent="0.25">
      <c r="A22" s="11">
        <v>46260</v>
      </c>
      <c r="B22" t="s">
        <v>76</v>
      </c>
      <c r="C22" s="5" t="s">
        <v>130</v>
      </c>
      <c r="D22" t="s">
        <v>12</v>
      </c>
      <c r="E22" t="s">
        <v>26</v>
      </c>
      <c r="F22" t="s">
        <v>26</v>
      </c>
      <c r="G22" t="s">
        <v>131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ht="30" x14ac:dyDescent="0.25">
      <c r="A23" s="11">
        <v>46260</v>
      </c>
      <c r="B23" t="s">
        <v>76</v>
      </c>
      <c r="C23" s="5" t="s">
        <v>132</v>
      </c>
      <c r="D23" t="s">
        <v>12</v>
      </c>
      <c r="E23" t="s">
        <v>23</v>
      </c>
      <c r="F23" t="s">
        <v>133</v>
      </c>
      <c r="G23" t="s">
        <v>134</v>
      </c>
      <c r="H23" t="s">
        <v>11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25">
      <c r="A24" s="11">
        <v>46260</v>
      </c>
      <c r="B24" t="s">
        <v>76</v>
      </c>
      <c r="C24" s="5" t="s">
        <v>135</v>
      </c>
      <c r="D24" t="s">
        <v>9</v>
      </c>
      <c r="E24" t="s">
        <v>20</v>
      </c>
      <c r="F24" t="s">
        <v>20</v>
      </c>
      <c r="G24" t="s">
        <v>136</v>
      </c>
      <c r="H24" t="s">
        <v>11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25">
      <c r="A25" s="11">
        <v>46260</v>
      </c>
      <c r="B25" t="s">
        <v>76</v>
      </c>
      <c r="C25" s="5" t="s">
        <v>137</v>
      </c>
      <c r="D25" t="s">
        <v>12</v>
      </c>
      <c r="E25" t="s">
        <v>14</v>
      </c>
      <c r="F25" t="s">
        <v>138</v>
      </c>
      <c r="G25" t="s">
        <v>139</v>
      </c>
      <c r="H25" t="s">
        <v>11</v>
      </c>
      <c r="I25" t="str">
        <f>_xlfn.XLOOKUP(Tabla1[[#This Row],[Dependencia]],Tabla2[Dependencia],Tabla2[Clasificación],"XXX",0)</f>
        <v>Presidencia de la República</v>
      </c>
      <c r="J25" t="str">
        <f>_xlfn.XLOOKUP(Tabla1[[#This Row],[Dependencia]],Tabla3[Dependencia],Tabla3[Nivel],"Otros",0)</f>
        <v>Otros</v>
      </c>
    </row>
    <row r="26" spans="1:10" ht="30" x14ac:dyDescent="0.25">
      <c r="A26" s="11">
        <v>46260</v>
      </c>
      <c r="B26" t="s">
        <v>76</v>
      </c>
      <c r="C26" s="5" t="s">
        <v>140</v>
      </c>
      <c r="D26" t="s">
        <v>12</v>
      </c>
      <c r="E26" t="s">
        <v>38</v>
      </c>
      <c r="F26" t="s">
        <v>38</v>
      </c>
      <c r="G26" t="s">
        <v>85</v>
      </c>
      <c r="H26" t="s">
        <v>11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Gabinete</v>
      </c>
    </row>
    <row r="27" spans="1:10" x14ac:dyDescent="0.25">
      <c r="A27" s="11">
        <v>46260</v>
      </c>
      <c r="B27" t="s">
        <v>76</v>
      </c>
      <c r="C27" s="5" t="s">
        <v>141</v>
      </c>
      <c r="D27" t="s">
        <v>12</v>
      </c>
      <c r="E27" t="s">
        <v>10</v>
      </c>
      <c r="F27" t="s">
        <v>10</v>
      </c>
      <c r="G27" t="s">
        <v>86</v>
      </c>
      <c r="H27" t="s">
        <v>11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x14ac:dyDescent="0.25">
      <c r="A28" s="11">
        <v>46260</v>
      </c>
      <c r="B28" t="s">
        <v>76</v>
      </c>
      <c r="C28" s="5" t="s">
        <v>142</v>
      </c>
      <c r="D28" t="s">
        <v>12</v>
      </c>
      <c r="E28" t="s">
        <v>14</v>
      </c>
      <c r="F28" t="s">
        <v>14</v>
      </c>
      <c r="G28" t="s">
        <v>98</v>
      </c>
      <c r="H28" t="s">
        <v>11</v>
      </c>
      <c r="I28" t="str">
        <f>_xlfn.XLOOKUP(Tabla1[[#This Row],[Dependencia]],Tabla2[Dependencia],Tabla2[Clasificación],"XXX",0)</f>
        <v>Presidencia de la República</v>
      </c>
      <c r="J28" t="str">
        <f>_xlfn.XLOOKUP(Tabla1[[#This Row],[Dependencia]],Tabla3[Dependencia],Tabla3[Nivel],"Otros",0)</f>
        <v>Otros</v>
      </c>
    </row>
    <row r="29" spans="1:10" ht="30" x14ac:dyDescent="0.25">
      <c r="A29" s="11">
        <v>46260</v>
      </c>
      <c r="B29" t="s">
        <v>76</v>
      </c>
      <c r="C29" s="5" t="s">
        <v>143</v>
      </c>
      <c r="D29" t="s">
        <v>12</v>
      </c>
      <c r="E29" t="s">
        <v>10</v>
      </c>
      <c r="F29" t="s">
        <v>10</v>
      </c>
      <c r="G29" t="s">
        <v>144</v>
      </c>
      <c r="H29" t="s">
        <v>11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x14ac:dyDescent="0.25">
      <c r="A30" s="11">
        <v>46260</v>
      </c>
      <c r="B30" t="s">
        <v>76</v>
      </c>
      <c r="C30" s="5" t="s">
        <v>145</v>
      </c>
      <c r="D30" t="s">
        <v>12</v>
      </c>
      <c r="E30" t="s">
        <v>38</v>
      </c>
      <c r="F30" t="s">
        <v>38</v>
      </c>
      <c r="G30" t="s">
        <v>85</v>
      </c>
      <c r="H30" t="s">
        <v>75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Gabinete</v>
      </c>
    </row>
    <row r="31" spans="1:10" ht="30" x14ac:dyDescent="0.25">
      <c r="A31" s="11">
        <v>46260</v>
      </c>
      <c r="B31" t="s">
        <v>68</v>
      </c>
      <c r="C31" s="5" t="s">
        <v>146</v>
      </c>
      <c r="D31" t="s">
        <v>13</v>
      </c>
      <c r="E31" t="s">
        <v>16</v>
      </c>
      <c r="F31" t="s">
        <v>16</v>
      </c>
      <c r="G31" t="s">
        <v>147</v>
      </c>
      <c r="H31" t="s">
        <v>70</v>
      </c>
      <c r="I31" t="str">
        <f>_xlfn.XLOOKUP(Tabla1[[#This Row],[Dependencia]],Tabla2[Dependencia],Tabla2[Clasificación],"XXX",0)</f>
        <v>Alcaldías</v>
      </c>
      <c r="J31" t="str">
        <f>_xlfn.XLOOKUP(Tabla1[[#This Row],[Dependencia]],Tabla3[Dependencia],Tabla3[Nivel],"Otros",0)</f>
        <v>Otros</v>
      </c>
    </row>
    <row r="32" spans="1:10" x14ac:dyDescent="0.25">
      <c r="A32" s="11">
        <v>46260</v>
      </c>
      <c r="B32" t="s">
        <v>68</v>
      </c>
      <c r="C32" s="5" t="s">
        <v>148</v>
      </c>
      <c r="D32" t="s">
        <v>12</v>
      </c>
      <c r="E32" t="s">
        <v>14</v>
      </c>
      <c r="F32" t="s">
        <v>14</v>
      </c>
      <c r="G32" t="s">
        <v>98</v>
      </c>
      <c r="H32" t="s">
        <v>75</v>
      </c>
      <c r="I32" t="str">
        <f>_xlfn.XLOOKUP(Tabla1[[#This Row],[Dependencia]],Tabla2[Dependencia],Tabla2[Clasificación],"XXX",0)</f>
        <v>Presidencia de la República</v>
      </c>
      <c r="J32" t="str">
        <f>_xlfn.XLOOKUP(Tabla1[[#This Row],[Dependencia]],Tabla3[Dependencia],Tabla3[Nivel],"Otros",0)</f>
        <v>Otros</v>
      </c>
    </row>
    <row r="33" spans="1:10" x14ac:dyDescent="0.25">
      <c r="A33" s="11">
        <v>46260</v>
      </c>
      <c r="B33" t="s">
        <v>68</v>
      </c>
      <c r="C33" s="5" t="s">
        <v>149</v>
      </c>
      <c r="D33" t="s">
        <v>12</v>
      </c>
      <c r="E33" t="s">
        <v>10</v>
      </c>
      <c r="F33" t="s">
        <v>10</v>
      </c>
      <c r="G33" t="s">
        <v>144</v>
      </c>
      <c r="H33" t="s">
        <v>11</v>
      </c>
      <c r="I33" t="str">
        <f>_xlfn.XLOOKUP(Tabla1[[#This Row],[Dependencia]],Tabla2[Dependencia],Tabla2[Clasificación],"XXX",0)</f>
        <v>Otros</v>
      </c>
      <c r="J33" t="str">
        <f>_xlfn.XLOOKUP(Tabla1[[#This Row],[Dependencia]],Tabla3[Dependencia],Tabla3[Nivel],"Otros",0)</f>
        <v>Otros</v>
      </c>
    </row>
    <row r="34" spans="1:10" ht="30" x14ac:dyDescent="0.25">
      <c r="A34" s="11">
        <v>46260</v>
      </c>
      <c r="B34" t="s">
        <v>68</v>
      </c>
      <c r="C34" s="5" t="s">
        <v>150</v>
      </c>
      <c r="D34" t="s">
        <v>9</v>
      </c>
      <c r="E34" t="s">
        <v>18</v>
      </c>
      <c r="F34" t="s">
        <v>2</v>
      </c>
      <c r="G34" t="s">
        <v>151</v>
      </c>
      <c r="H34" t="s">
        <v>11</v>
      </c>
      <c r="I34" t="str">
        <f>_xlfn.XLOOKUP(Tabla1[[#This Row],[Dependencia]],Tabla2[Dependencia],Tabla2[Clasificación],"XXX",0)</f>
        <v>Partidos</v>
      </c>
      <c r="J34" t="str">
        <f>_xlfn.XLOOKUP(Tabla1[[#This Row],[Dependencia]],Tabla3[Dependencia],Tabla3[Nivel],"Otros",0)</f>
        <v>Otros</v>
      </c>
    </row>
    <row r="35" spans="1:10" ht="90" x14ac:dyDescent="0.25">
      <c r="A35" s="11">
        <v>46260</v>
      </c>
      <c r="B35" t="s">
        <v>68</v>
      </c>
      <c r="C35" s="5" t="s">
        <v>152</v>
      </c>
      <c r="D35" t="s">
        <v>12</v>
      </c>
      <c r="E35" t="s">
        <v>10</v>
      </c>
      <c r="F35" t="s">
        <v>10</v>
      </c>
      <c r="G35" t="s">
        <v>72</v>
      </c>
      <c r="H35" t="s">
        <v>11</v>
      </c>
      <c r="I35" t="str">
        <f>_xlfn.XLOOKUP(Tabla1[[#This Row],[Dependencia]],Tabla2[Dependencia],Tabla2[Clasificación],"XXX",0)</f>
        <v>Otros</v>
      </c>
      <c r="J35" t="str">
        <f>_xlfn.XLOOKUP(Tabla1[[#This Row],[Dependencia]],Tabla3[Dependencia],Tabla3[Nivel],"Otros",0)</f>
        <v>Otros</v>
      </c>
    </row>
    <row r="36" spans="1:10" ht="30" x14ac:dyDescent="0.25">
      <c r="A36" s="11">
        <v>46260</v>
      </c>
      <c r="B36" t="s">
        <v>82</v>
      </c>
      <c r="C36" s="5" t="s">
        <v>153</v>
      </c>
      <c r="D36" t="s">
        <v>13</v>
      </c>
      <c r="E36" t="s">
        <v>24</v>
      </c>
      <c r="F36" t="s">
        <v>24</v>
      </c>
      <c r="G36" t="s">
        <v>98</v>
      </c>
      <c r="H36" t="s">
        <v>75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Gobernador</v>
      </c>
    </row>
    <row r="37" spans="1:10" ht="30" x14ac:dyDescent="0.25">
      <c r="A37" s="11">
        <v>46260</v>
      </c>
      <c r="B37" t="s">
        <v>82</v>
      </c>
      <c r="C37" s="5" t="s">
        <v>154</v>
      </c>
      <c r="D37" t="s">
        <v>12</v>
      </c>
      <c r="E37" t="s">
        <v>33</v>
      </c>
      <c r="F37" t="s">
        <v>33</v>
      </c>
      <c r="G37" t="s">
        <v>155</v>
      </c>
      <c r="H37" t="s">
        <v>11</v>
      </c>
      <c r="I37" t="str">
        <f>_xlfn.XLOOKUP(Tabla1[[#This Row],[Dependencia]],Tabla2[Dependencia],Tabla2[Clasificación],"XXX",0)</f>
        <v>Otros</v>
      </c>
      <c r="J37" t="str">
        <f>_xlfn.XLOOKUP(Tabla1[[#This Row],[Dependencia]],Tabla3[Dependencia],Tabla3[Nivel],"Otros",0)</f>
        <v>Otros</v>
      </c>
    </row>
    <row r="38" spans="1:10" ht="30" x14ac:dyDescent="0.25">
      <c r="A38" s="11">
        <v>46260</v>
      </c>
      <c r="B38" t="s">
        <v>82</v>
      </c>
      <c r="C38" s="5" t="s">
        <v>156</v>
      </c>
      <c r="D38" t="s">
        <v>12</v>
      </c>
      <c r="E38" t="s">
        <v>54</v>
      </c>
      <c r="F38" t="s">
        <v>54</v>
      </c>
      <c r="G38" t="s">
        <v>85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ht="30" x14ac:dyDescent="0.25">
      <c r="A39" s="11">
        <v>46260</v>
      </c>
      <c r="B39" t="s">
        <v>82</v>
      </c>
      <c r="C39" s="5" t="s">
        <v>157</v>
      </c>
      <c r="D39" t="s">
        <v>12</v>
      </c>
      <c r="E39" t="s">
        <v>16</v>
      </c>
      <c r="F39" t="s">
        <v>77</v>
      </c>
      <c r="G39" t="s">
        <v>158</v>
      </c>
      <c r="H39" t="s">
        <v>11</v>
      </c>
      <c r="I39" t="str">
        <f>_xlfn.XLOOKUP(Tabla1[[#This Row],[Dependencia]],Tabla2[Dependencia],Tabla2[Clasificación],"XXX",0)</f>
        <v>Alcaldías</v>
      </c>
      <c r="J39" t="str">
        <f>_xlfn.XLOOKUP(Tabla1[[#This Row],[Dependencia]],Tabla3[Dependencia],Tabla3[Nivel],"Otros",0)</f>
        <v>Otros</v>
      </c>
    </row>
    <row r="40" spans="1:10" ht="30" x14ac:dyDescent="0.25">
      <c r="A40" s="11">
        <v>46260</v>
      </c>
      <c r="B40" t="s">
        <v>78</v>
      </c>
      <c r="C40" s="5" t="s">
        <v>159</v>
      </c>
      <c r="D40" t="s">
        <v>9</v>
      </c>
      <c r="E40" t="s">
        <v>24</v>
      </c>
      <c r="F40" t="s">
        <v>24</v>
      </c>
      <c r="G40" t="s">
        <v>106</v>
      </c>
      <c r="H40" t="s">
        <v>75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Gobernador</v>
      </c>
    </row>
    <row r="41" spans="1:10" ht="30" x14ac:dyDescent="0.25">
      <c r="A41" s="11">
        <v>46260</v>
      </c>
      <c r="B41" t="s">
        <v>78</v>
      </c>
      <c r="C41" s="5" t="s">
        <v>160</v>
      </c>
      <c r="D41" t="s">
        <v>12</v>
      </c>
      <c r="E41" t="s">
        <v>25</v>
      </c>
      <c r="F41" t="s">
        <v>25</v>
      </c>
      <c r="G41" t="s">
        <v>161</v>
      </c>
      <c r="H41" t="s">
        <v>11</v>
      </c>
      <c r="I41" t="str">
        <f>_xlfn.XLOOKUP(Tabla1[[#This Row],[Dependencia]],Tabla2[Dependencia],Tabla2[Clasificación],"XXX",0)</f>
        <v>Otros</v>
      </c>
      <c r="J41" t="str">
        <f>_xlfn.XLOOKUP(Tabla1[[#This Row],[Dependencia]],Tabla3[Dependencia],Tabla3[Nivel],"Otros",0)</f>
        <v>Otros</v>
      </c>
    </row>
    <row r="42" spans="1:10" x14ac:dyDescent="0.25">
      <c r="A42" s="11">
        <v>46260</v>
      </c>
      <c r="B42" t="s">
        <v>78</v>
      </c>
      <c r="C42" s="5" t="s">
        <v>162</v>
      </c>
      <c r="D42" t="s">
        <v>13</v>
      </c>
      <c r="E42" t="s">
        <v>14</v>
      </c>
      <c r="F42" t="s">
        <v>163</v>
      </c>
      <c r="G42" t="s">
        <v>164</v>
      </c>
      <c r="H42" t="s">
        <v>70</v>
      </c>
      <c r="I42" t="str">
        <f>_xlfn.XLOOKUP(Tabla1[[#This Row],[Dependencia]],Tabla2[Dependencia],Tabla2[Clasificación],"XXX",0)</f>
        <v>Presidencia de la República</v>
      </c>
      <c r="J42" t="str">
        <f>_xlfn.XLOOKUP(Tabla1[[#This Row],[Dependencia]],Tabla3[Dependencia],Tabla3[Nivel],"Otros",0)</f>
        <v>Otros</v>
      </c>
    </row>
    <row r="43" spans="1:10" ht="30" x14ac:dyDescent="0.25">
      <c r="A43" s="11">
        <v>46260</v>
      </c>
      <c r="B43" t="s">
        <v>78</v>
      </c>
      <c r="C43" s="5" t="s">
        <v>165</v>
      </c>
      <c r="D43" t="s">
        <v>12</v>
      </c>
      <c r="E43" t="s">
        <v>10</v>
      </c>
      <c r="F43" t="s">
        <v>10</v>
      </c>
      <c r="G43" t="s">
        <v>166</v>
      </c>
      <c r="H43" t="s">
        <v>11</v>
      </c>
      <c r="I43" t="str">
        <f>_xlfn.XLOOKUP(Tabla1[[#This Row],[Dependencia]],Tabla2[Dependencia],Tabla2[Clasificación],"XXX",0)</f>
        <v>Otros</v>
      </c>
      <c r="J43" t="str">
        <f>_xlfn.XLOOKUP(Tabla1[[#This Row],[Dependencia]],Tabla3[Dependencia],Tabla3[Nivel],"Otros",0)</f>
        <v>Otros</v>
      </c>
    </row>
    <row r="44" spans="1:10" ht="30" x14ac:dyDescent="0.25">
      <c r="A44" s="11">
        <v>46260</v>
      </c>
      <c r="B44" t="s">
        <v>78</v>
      </c>
      <c r="C44" s="5" t="s">
        <v>167</v>
      </c>
      <c r="D44" t="s">
        <v>12</v>
      </c>
      <c r="E44" t="s">
        <v>61</v>
      </c>
      <c r="F44" t="s">
        <v>168</v>
      </c>
      <c r="G44" t="s">
        <v>169</v>
      </c>
      <c r="H44" t="s">
        <v>11</v>
      </c>
      <c r="I44" t="str">
        <f>_xlfn.XLOOKUP(Tabla1[[#This Row],[Dependencia]],Tabla2[Dependencia],Tabla2[Clasificación],"XXX",0)</f>
        <v>Sucesión gubernamental</v>
      </c>
      <c r="J44" t="str">
        <f>_xlfn.XLOOKUP(Tabla1[[#This Row],[Dependencia]],Tabla3[Dependencia],Tabla3[Nivel],"Otros",0)</f>
        <v>Otros</v>
      </c>
    </row>
    <row r="45" spans="1:10" ht="30" x14ac:dyDescent="0.25">
      <c r="A45" s="11">
        <v>46260</v>
      </c>
      <c r="B45" t="s">
        <v>78</v>
      </c>
      <c r="C45" s="5" t="s">
        <v>170</v>
      </c>
      <c r="D45" t="s">
        <v>12</v>
      </c>
      <c r="E45" t="s">
        <v>16</v>
      </c>
      <c r="F45" t="s">
        <v>16</v>
      </c>
      <c r="G45" t="s">
        <v>171</v>
      </c>
      <c r="H45" t="s">
        <v>11</v>
      </c>
      <c r="I45" t="str">
        <f>_xlfn.XLOOKUP(Tabla1[[#This Row],[Dependencia]],Tabla2[Dependencia],Tabla2[Clasificación],"XXX",0)</f>
        <v>Alcaldías</v>
      </c>
      <c r="J45" t="str">
        <f>_xlfn.XLOOKUP(Tabla1[[#This Row],[Dependencia]],Tabla3[Dependencia],Tabla3[Nivel],"Otros",0)</f>
        <v>Otros</v>
      </c>
    </row>
    <row r="46" spans="1:10" ht="30" x14ac:dyDescent="0.25">
      <c r="A46" s="11">
        <v>46260</v>
      </c>
      <c r="B46" t="s">
        <v>79</v>
      </c>
      <c r="C46" s="5" t="s">
        <v>172</v>
      </c>
      <c r="D46" t="s">
        <v>9</v>
      </c>
      <c r="E46" t="s">
        <v>61</v>
      </c>
      <c r="F46" t="s">
        <v>168</v>
      </c>
      <c r="G46" t="s">
        <v>169</v>
      </c>
      <c r="H46" t="s">
        <v>70</v>
      </c>
      <c r="I46" t="str">
        <f>_xlfn.XLOOKUP(Tabla1[[#This Row],[Dependencia]],Tabla2[Dependencia],Tabla2[Clasificación],"XXX",0)</f>
        <v>Sucesión gubernamental</v>
      </c>
      <c r="J46" t="str">
        <f>_xlfn.XLOOKUP(Tabla1[[#This Row],[Dependencia]],Tabla3[Dependencia],Tabla3[Nivel],"Otros",0)</f>
        <v>Otros</v>
      </c>
    </row>
    <row r="47" spans="1:10" x14ac:dyDescent="0.25">
      <c r="A47" s="11">
        <v>46260</v>
      </c>
      <c r="B47" t="s">
        <v>79</v>
      </c>
      <c r="C47" s="5" t="s">
        <v>173</v>
      </c>
      <c r="D47" t="s">
        <v>13</v>
      </c>
      <c r="E47" t="s">
        <v>33</v>
      </c>
      <c r="F47" t="s">
        <v>33</v>
      </c>
      <c r="G47" t="s">
        <v>115</v>
      </c>
      <c r="H47" t="s">
        <v>70</v>
      </c>
      <c r="I47" t="str">
        <f>_xlfn.XLOOKUP(Tabla1[[#This Row],[Dependencia]],Tabla2[Dependencia],Tabla2[Clasificación],"XXX",0)</f>
        <v>Otros</v>
      </c>
      <c r="J47" t="str">
        <f>_xlfn.XLOOKUP(Tabla1[[#This Row],[Dependencia]],Tabla3[Dependencia],Tabla3[Nivel],"Otros",0)</f>
        <v>Otros</v>
      </c>
    </row>
    <row r="48" spans="1:10" x14ac:dyDescent="0.25">
      <c r="A48" s="11">
        <v>46260</v>
      </c>
      <c r="B48" t="s">
        <v>79</v>
      </c>
      <c r="C48" s="5" t="s">
        <v>174</v>
      </c>
      <c r="D48" t="s">
        <v>12</v>
      </c>
      <c r="E48" t="s">
        <v>14</v>
      </c>
      <c r="F48" t="s">
        <v>14</v>
      </c>
      <c r="G48" t="s">
        <v>98</v>
      </c>
      <c r="H48" t="s">
        <v>11</v>
      </c>
      <c r="I48" t="str">
        <f>_xlfn.XLOOKUP(Tabla1[[#This Row],[Dependencia]],Tabla2[Dependencia],Tabla2[Clasificación],"XXX",0)</f>
        <v>Presidencia de la República</v>
      </c>
      <c r="J48" t="str">
        <f>_xlfn.XLOOKUP(Tabla1[[#This Row],[Dependencia]],Tabla3[Dependencia],Tabla3[Nivel],"Otros",0)</f>
        <v>Otros</v>
      </c>
    </row>
    <row r="49" spans="1:10" x14ac:dyDescent="0.25">
      <c r="A49" s="11">
        <v>46260</v>
      </c>
      <c r="B49" t="s">
        <v>79</v>
      </c>
      <c r="C49" s="5" t="s">
        <v>175</v>
      </c>
      <c r="D49" t="s">
        <v>12</v>
      </c>
      <c r="E49" t="s">
        <v>26</v>
      </c>
      <c r="F49" t="s">
        <v>26</v>
      </c>
      <c r="G49" t="s">
        <v>131</v>
      </c>
      <c r="H49" t="s">
        <v>11</v>
      </c>
      <c r="I49" t="str">
        <f>_xlfn.XLOOKUP(Tabla1[[#This Row],[Dependencia]],Tabla2[Dependencia],Tabla2[Clasificación],"XXX",0)</f>
        <v>Gobierno del estado</v>
      </c>
      <c r="J49" t="str">
        <f>_xlfn.XLOOKUP(Tabla1[[#This Row],[Dependencia]],Tabla3[Dependencia],Tabla3[Nivel],"Otros",0)</f>
        <v>Gabinete</v>
      </c>
    </row>
    <row r="50" spans="1:10" x14ac:dyDescent="0.25">
      <c r="A50" s="11">
        <v>46260</v>
      </c>
      <c r="B50" t="s">
        <v>79</v>
      </c>
      <c r="C50" s="5" t="s">
        <v>176</v>
      </c>
      <c r="D50" t="s">
        <v>12</v>
      </c>
      <c r="E50" t="s">
        <v>22</v>
      </c>
      <c r="F50" t="s">
        <v>2</v>
      </c>
      <c r="G50" t="s">
        <v>177</v>
      </c>
      <c r="H50" t="s">
        <v>11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Gabinete</v>
      </c>
    </row>
    <row r="51" spans="1:10" ht="45" x14ac:dyDescent="0.25">
      <c r="A51" s="11">
        <v>46260</v>
      </c>
      <c r="B51" t="s">
        <v>81</v>
      </c>
      <c r="C51" s="5" t="s">
        <v>178</v>
      </c>
      <c r="D51" t="s">
        <v>13</v>
      </c>
      <c r="E51" t="s">
        <v>24</v>
      </c>
      <c r="F51" t="s">
        <v>24</v>
      </c>
      <c r="G51" t="s">
        <v>106</v>
      </c>
      <c r="H51" t="s">
        <v>75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Gobernador</v>
      </c>
    </row>
    <row r="52" spans="1:10" ht="30" x14ac:dyDescent="0.25">
      <c r="A52" s="11">
        <v>46260</v>
      </c>
      <c r="B52" t="s">
        <v>81</v>
      </c>
      <c r="C52" s="5" t="s">
        <v>179</v>
      </c>
      <c r="D52" t="s">
        <v>12</v>
      </c>
      <c r="E52" t="s">
        <v>14</v>
      </c>
      <c r="F52" t="s">
        <v>14</v>
      </c>
      <c r="G52" t="s">
        <v>180</v>
      </c>
      <c r="H52" t="s">
        <v>11</v>
      </c>
      <c r="I52" t="str">
        <f>_xlfn.XLOOKUP(Tabla1[[#This Row],[Dependencia]],Tabla2[Dependencia],Tabla2[Clasificación],"XXX",0)</f>
        <v>Presidencia de la República</v>
      </c>
      <c r="J52" t="str">
        <f>_xlfn.XLOOKUP(Tabla1[[#This Row],[Dependencia]],Tabla3[Dependencia],Tabla3[Nivel],"Otros",0)</f>
        <v>Otros</v>
      </c>
    </row>
    <row r="53" spans="1:10" ht="30" x14ac:dyDescent="0.25">
      <c r="A53" s="11">
        <v>46260</v>
      </c>
      <c r="B53" t="s">
        <v>81</v>
      </c>
      <c r="C53" s="5" t="s">
        <v>181</v>
      </c>
      <c r="D53" t="s">
        <v>12</v>
      </c>
      <c r="E53" t="s">
        <v>24</v>
      </c>
      <c r="F53" t="s">
        <v>24</v>
      </c>
      <c r="G53" t="s">
        <v>98</v>
      </c>
      <c r="H53" t="s">
        <v>11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Gobernador</v>
      </c>
    </row>
    <row r="54" spans="1:10" ht="30" x14ac:dyDescent="0.25">
      <c r="A54" s="11">
        <v>46260</v>
      </c>
      <c r="B54" t="s">
        <v>81</v>
      </c>
      <c r="C54" s="5" t="s">
        <v>182</v>
      </c>
      <c r="D54" t="s">
        <v>12</v>
      </c>
      <c r="E54" t="s">
        <v>26</v>
      </c>
      <c r="F54" t="s">
        <v>2</v>
      </c>
      <c r="G54" t="s">
        <v>183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x14ac:dyDescent="0.25">
      <c r="A55" s="11">
        <v>46260</v>
      </c>
      <c r="B55" t="s">
        <v>81</v>
      </c>
      <c r="C55" s="5" t="s">
        <v>184</v>
      </c>
      <c r="D55" t="s">
        <v>12</v>
      </c>
      <c r="E55" t="s">
        <v>29</v>
      </c>
      <c r="F55" t="s">
        <v>185</v>
      </c>
      <c r="G55" t="s">
        <v>186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25">
      <c r="A56" s="11">
        <v>46260</v>
      </c>
      <c r="B56" t="s">
        <v>81</v>
      </c>
      <c r="C56" s="5" t="s">
        <v>87</v>
      </c>
      <c r="D56" t="s">
        <v>80</v>
      </c>
      <c r="E56" t="s">
        <v>28</v>
      </c>
      <c r="F56" t="s">
        <v>88</v>
      </c>
      <c r="G56" t="s">
        <v>89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ht="30" x14ac:dyDescent="0.25">
      <c r="A57" s="11">
        <v>46260</v>
      </c>
      <c r="B57" t="s">
        <v>83</v>
      </c>
      <c r="C57" s="5" t="s">
        <v>187</v>
      </c>
      <c r="D57" t="s">
        <v>13</v>
      </c>
      <c r="E57" t="s">
        <v>22</v>
      </c>
      <c r="F57" t="s">
        <v>22</v>
      </c>
      <c r="G57" t="s">
        <v>188</v>
      </c>
      <c r="H57" t="s">
        <v>11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Gabinete</v>
      </c>
    </row>
    <row r="58" spans="1:10" ht="30" x14ac:dyDescent="0.25">
      <c r="A58" s="11">
        <v>46260</v>
      </c>
      <c r="B58" t="s">
        <v>83</v>
      </c>
      <c r="C58" s="5" t="s">
        <v>189</v>
      </c>
      <c r="D58" t="s">
        <v>12</v>
      </c>
      <c r="E58" t="s">
        <v>16</v>
      </c>
      <c r="F58" t="s">
        <v>16</v>
      </c>
      <c r="G58" t="s">
        <v>190</v>
      </c>
      <c r="H58" t="s">
        <v>70</v>
      </c>
      <c r="I58" t="str">
        <f>_xlfn.XLOOKUP(Tabla1[[#This Row],[Dependencia]],Tabla2[Dependencia],Tabla2[Clasificación],"XXX",0)</f>
        <v>Alcaldías</v>
      </c>
      <c r="J58" t="str">
        <f>_xlfn.XLOOKUP(Tabla1[[#This Row],[Dependencia]],Tabla3[Dependencia],Tabla3[Nivel],"Otros",0)</f>
        <v>Otros</v>
      </c>
    </row>
    <row r="59" spans="1:10" x14ac:dyDescent="0.25">
      <c r="A59" s="11">
        <v>46260</v>
      </c>
      <c r="B59" t="s">
        <v>83</v>
      </c>
      <c r="C59" s="5" t="s">
        <v>191</v>
      </c>
      <c r="D59" t="s">
        <v>12</v>
      </c>
      <c r="E59" t="s">
        <v>10</v>
      </c>
      <c r="F59" t="s">
        <v>10</v>
      </c>
      <c r="G59" t="s">
        <v>72</v>
      </c>
      <c r="H59" t="s">
        <v>11</v>
      </c>
      <c r="I59" t="str">
        <f>_xlfn.XLOOKUP(Tabla1[[#This Row],[Dependencia]],Tabla2[Dependencia],Tabla2[Clasificación],"XXX",0)</f>
        <v>Otros</v>
      </c>
      <c r="J59" t="str">
        <f>_xlfn.XLOOKUP(Tabla1[[#This Row],[Dependencia]],Tabla3[Dependencia],Tabla3[Nivel],"Otros",0)</f>
        <v>Otros</v>
      </c>
    </row>
    <row r="60" spans="1:10" ht="30" x14ac:dyDescent="0.25">
      <c r="A60" s="11">
        <v>46260</v>
      </c>
      <c r="B60" t="s">
        <v>83</v>
      </c>
      <c r="C60" s="5" t="s">
        <v>192</v>
      </c>
      <c r="D60" t="s">
        <v>12</v>
      </c>
      <c r="E60" t="s">
        <v>45</v>
      </c>
      <c r="F60" t="s">
        <v>45</v>
      </c>
      <c r="G60" t="s">
        <v>193</v>
      </c>
      <c r="H60" t="s">
        <v>70</v>
      </c>
      <c r="I60" t="str">
        <f>_xlfn.XLOOKUP(Tabla1[[#This Row],[Dependencia]],Tabla2[Dependencia],Tabla2[Clasificación],"XXX",0)</f>
        <v>Partidos</v>
      </c>
      <c r="J60" t="str">
        <f>_xlfn.XLOOKUP(Tabla1[[#This Row],[Dependencia]],Tabla3[Dependencia],Tabla3[Nivel],"Otros",0)</f>
        <v>Otros</v>
      </c>
    </row>
    <row r="61" spans="1:10" x14ac:dyDescent="0.25">
      <c r="A61" s="11">
        <v>46260</v>
      </c>
      <c r="B61" t="s">
        <v>83</v>
      </c>
      <c r="C61" s="5" t="s">
        <v>194</v>
      </c>
      <c r="D61" t="s">
        <v>12</v>
      </c>
      <c r="E61" t="s">
        <v>16</v>
      </c>
      <c r="F61" t="s">
        <v>16</v>
      </c>
      <c r="G61" t="s">
        <v>103</v>
      </c>
      <c r="H61" t="s">
        <v>11</v>
      </c>
      <c r="I61" t="str">
        <f>_xlfn.XLOOKUP(Tabla1[[#This Row],[Dependencia]],Tabla2[Dependencia],Tabla2[Clasificación],"XXX",0)</f>
        <v>Alcaldías</v>
      </c>
      <c r="J61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69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69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2026-08-26T16:24:48Z</dcterms:modified>
</cp:coreProperties>
</file>