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sitorios de capturas y reportes\Reporteportadas\"/>
    </mc:Choice>
  </mc:AlternateContent>
  <xr:revisionPtr revIDLastSave="0" documentId="13_ncr:1_{B777E937-6D72-4B97-853B-03DF921FBD38}" xr6:coauthVersionLast="47" xr6:coauthVersionMax="47" xr10:uidLastSave="{00000000-0000-0000-0000-000000000000}"/>
  <bookViews>
    <workbookView xWindow="-120" yWindow="-120" windowWidth="29040" windowHeight="1572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2" i="1"/>
  <c r="I2" i="1"/>
</calcChain>
</file>

<file path=xl/sharedStrings.xml><?xml version="1.0" encoding="utf-8"?>
<sst xmlns="http://schemas.openxmlformats.org/spreadsheetml/2006/main" count="636" uniqueCount="204">
  <si>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</si>
  <si>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</si>
  <si>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</si>
  <si>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</si>
  <si>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</si>
  <si>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</si>
  <si>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</si>
  <si>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</si>
  <si>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</si>
  <si>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</si>
  <si>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</si>
  <si>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</si>
  <si>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</si>
  <si>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</si>
  <si>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</si>
  <si>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</si>
  <si>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</si>
  <si>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</si>
  <si>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</si>
  <si>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</si>
  <si>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</si>
  <si>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</si>
  <si>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</si>
  <si>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</si>
  <si>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</si>
  <si>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</si>
  <si>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</si>
  <si>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</si>
  <si>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</si>
  <si>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</si>
  <si>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</si>
  <si>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</si>
  <si>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</si>
  <si>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</si>
  <si>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</si>
  <si>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</si>
  <si>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</si>
  <si>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</si>
  <si>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</si>
  <si>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</si>
  <si>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</si>
  <si>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</si>
  <si>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</si>
  <si>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</si>
  <si>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</si>
  <si>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</si>
  <si>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</si>
  <si>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</si>
  <si>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</si>
  <si>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</si>
  <si>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</si>
  <si>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</si>
  <si>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</si>
  <si>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</si>
  <si>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</si>
  <si>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</si>
  <si>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</si>
  <si>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</si>
  <si>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</si>
  <si>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</si>
  <si>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</si>
  <si>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</si>
  <si>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</si>
  <si>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</si>
  <si>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</si>
  <si>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</si>
  <si>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</si>
  <si>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El Sol de Hidalgo</t>
  </si>
  <si>
    <t>Positiva</t>
  </si>
  <si>
    <t>Síntesis</t>
  </si>
  <si>
    <t>La Jornada Hidalgo</t>
  </si>
  <si>
    <t>OCSAD</t>
  </si>
  <si>
    <t>Effetá</t>
  </si>
  <si>
    <t>Negativa</t>
  </si>
  <si>
    <t>Zunoticia</t>
  </si>
  <si>
    <t>Milenio Hidalgo</t>
  </si>
  <si>
    <t>El Universal Hidalgo</t>
  </si>
  <si>
    <t>Criterio</t>
  </si>
  <si>
    <t>Pachuca Brilla</t>
  </si>
  <si>
    <t>Temas varios</t>
  </si>
  <si>
    <t>Marfeca</t>
  </si>
  <si>
    <t>Temas internacionales</t>
  </si>
  <si>
    <t>Cintillo</t>
  </si>
  <si>
    <t>Alcalde</t>
  </si>
  <si>
    <t>Deportes</t>
  </si>
  <si>
    <t>Conagua</t>
  </si>
  <si>
    <t>INAH</t>
  </si>
  <si>
    <t>Feria Patronal</t>
  </si>
  <si>
    <t>Plaza Juárez</t>
  </si>
  <si>
    <t>Videovigilancia</t>
  </si>
  <si>
    <t>Plan Nacional Hídrico</t>
  </si>
  <si>
    <t>Parque Ecológico Tula</t>
  </si>
  <si>
    <t>Ley de Imagen Urbana</t>
  </si>
  <si>
    <t>IHE</t>
  </si>
  <si>
    <t>Rehabilitación Vial</t>
  </si>
  <si>
    <t>Reforma De Ley</t>
  </si>
  <si>
    <t>Nutrida asistencia en carrera del 77 aniversario</t>
  </si>
  <si>
    <t>Justa Deportiva</t>
  </si>
  <si>
    <t>Habrá venta de alcohol, pero con restricción</t>
  </si>
  <si>
    <t>Hidalgo presente en Festival de Luciérnagas</t>
  </si>
  <si>
    <t>Festival Turístico</t>
  </si>
  <si>
    <t>Alertan sobre fraudes con transferencias SPEI</t>
  </si>
  <si>
    <t>Alerta De Fraude</t>
  </si>
  <si>
    <t>Impulsan espacios para los adultos mayores</t>
  </si>
  <si>
    <t>Atención a adultos mayores</t>
  </si>
  <si>
    <t>Ordenan consulta indígena para explotar manganeso</t>
  </si>
  <si>
    <t>Medio ambiente</t>
  </si>
  <si>
    <t>Consulta Indígena</t>
  </si>
  <si>
    <t>Pintan la fe de un pueblo</t>
  </si>
  <si>
    <t>Sancionan CEN de Morena a 27 militantes hidalguenses</t>
  </si>
  <si>
    <t>Preceptos de Morena</t>
  </si>
  <si>
    <t>Inicia regularización de concesiones de agua</t>
  </si>
  <si>
    <t>Van por cuarta reparación de un puente</t>
  </si>
  <si>
    <t>Obras mal ejecutadas</t>
  </si>
  <si>
    <t>Corrupción de menores aumentó 56 por ciento</t>
  </si>
  <si>
    <t>Corrupción de menores</t>
  </si>
  <si>
    <t>Picotazo al Tuzo</t>
  </si>
  <si>
    <t>Eudimilla, perfilada a Pachuca</t>
  </si>
  <si>
    <t>Marcan hechos mediáticos el ciclo escolar</t>
  </si>
  <si>
    <t>Recuento anual</t>
  </si>
  <si>
    <t>La Sipdus destinará cerca de 10 mdp a obras en Piracantos</t>
  </si>
  <si>
    <t>Sipdus</t>
  </si>
  <si>
    <t>Licitaciones</t>
  </si>
  <si>
    <t>Rehablitiarán el bulevar Felipe Ángeles, en Pachuca</t>
  </si>
  <si>
    <t>Señalan a jueza de incumplimiento en un proceso de custodia de niño</t>
  </si>
  <si>
    <t>Mal Desempeño</t>
  </si>
  <si>
    <t>Poder Judicial: promedian apenas 40% de sentencias</t>
  </si>
  <si>
    <t>Sentencia</t>
  </si>
  <si>
    <t>Garantizan más equipos en zonas de alta incidencia</t>
  </si>
  <si>
    <t>Capturan a banda delictiva que operaba en Tepeapulco</t>
  </si>
  <si>
    <t>Combate a la delincuencia</t>
  </si>
  <si>
    <t>Del Toro se sube al podio del ciclismo de élite</t>
  </si>
  <si>
    <t>Caen visitas a zonas arqueológicas durante el Mundial</t>
  </si>
  <si>
    <t>Zona Arqueológica</t>
  </si>
  <si>
    <t>Descartan en Movilidad una ampliación de la red estatal</t>
  </si>
  <si>
    <t>Ciclovías</t>
  </si>
  <si>
    <t>Supera el estado los 25 mil mdp en obra pública en cuatro años</t>
  </si>
  <si>
    <t>infraestructura</t>
  </si>
  <si>
    <t>Presentan método para usar los residuos mineros</t>
  </si>
  <si>
    <t>Jales</t>
  </si>
  <si>
    <t>Contrató la UNAM por más de 100 millones de pesos el software que vulneraron</t>
  </si>
  <si>
    <t>Ventas al norte viculadas a IA superan las automotrices</t>
  </si>
  <si>
    <t>Los argentinos frente al espejo del racismo</t>
  </si>
  <si>
    <t>Solo 20 % de empresas tienen certificaciones</t>
  </si>
  <si>
    <t>Certificación</t>
  </si>
  <si>
    <t>Tras cancelar proyecto ecológico, buscan nuevas plantas de separación</t>
  </si>
  <si>
    <t>El mexicano Isaac del Toro hace historia en París</t>
  </si>
  <si>
    <t>Crecen delitos contra el medioambiente durante 2026</t>
  </si>
  <si>
    <t>Incidencia Delictiva</t>
  </si>
  <si>
    <t>El futuro ya llegó. La verdadera decisión consiste en determinar  si México será un simple consumidor de tecnologías de seguridad  desarrolladas en otras latitudes o un país capaz de liderar, regular  e innovar en soluciones propias”.</t>
  </si>
  <si>
    <t>Enfrenta Instituto Estatal Electoral escenario crítico ante recorte presupuestal</t>
  </si>
  <si>
    <t>Presupuesto IEEH</t>
  </si>
  <si>
    <t>Plantean nuevo proyecto ecológico en benenficio de habitantes de región Tula-Tepeji</t>
  </si>
  <si>
    <t>Depuran la imagen urbana de Pachuca con retiro de publicidad ilegal</t>
  </si>
  <si>
    <t>Caen tres objetivos prioritarios durante operativo carretero en Tepeapulco</t>
  </si>
  <si>
    <t>Comerciantes pararon obra en terrenos del mercado</t>
  </si>
  <si>
    <t>Protesta por obra</t>
  </si>
  <si>
    <t>Julio Menchaca combate rezago en infraestructura pública</t>
  </si>
  <si>
    <t>Obras De Infraestructura</t>
  </si>
  <si>
    <t>Hidalgo amplía la cobertura de educación media superior con nuevos planteles</t>
  </si>
  <si>
    <t>Cobertura educativa</t>
  </si>
  <si>
    <t>IHE fortalece el bienestar socioemocional en las escuelas</t>
  </si>
  <si>
    <t>Educación socioemocional</t>
  </si>
  <si>
    <t>El turismo de Hidalgo brilla en el Festival Internacional de las Luciérnagas</t>
  </si>
  <si>
    <t>Ariadna Montiel refrenda respaldo de Morena a Julio menchaca</t>
  </si>
  <si>
    <t>Respaldo gobernador</t>
  </si>
  <si>
    <t>Los destramapados denuncian robo en circo de hidalgo</t>
  </si>
  <si>
    <t>Denuncias</t>
  </si>
  <si>
    <t>Federación plantea nuevo proyecto tras cancelación del Parque de Economía Circular</t>
  </si>
  <si>
    <t>Diputado reporta 12 casos de terapias de conversión en Hidalgo</t>
  </si>
  <si>
    <t>Terapias de conversión</t>
  </si>
  <si>
    <t>PRI y PT pelean en tribunales el reparto del dinero para partidos</t>
  </si>
  <si>
    <t>Financiamiento a Partidos</t>
  </si>
  <si>
    <t>¡Cruz Azul campeón de campeones!</t>
  </si>
  <si>
    <t>Mantiene gobierno de Jorge Reyes el retiro permanente de anuncios irregulares</t>
  </si>
  <si>
    <t>Con respaldo del gobernador Menchaca, CECyTE Hidalgo concluye el ciclo escolar 2025-2026 con logros nacionales e internacionales</t>
  </si>
  <si>
    <t>Clausura de ciclo escolar</t>
  </si>
  <si>
    <t>En coordinación con Menchaca, Atitalaquia va por 2a teapa de la carretera Atitalaquia-Apaxco a 4 carriles</t>
  </si>
  <si>
    <t>Ampliación carretera</t>
  </si>
  <si>
    <t>Menchaca combate rezago en infraestructura pública; inversión supera 25 mmdp</t>
  </si>
  <si>
    <t>Inauguran cancha de futbol 5 en El Plan Doxey</t>
  </si>
  <si>
    <t>Fomento Al Deporte</t>
  </si>
  <si>
    <t>Ajacuba fortalece el liderazgo femenino</t>
  </si>
  <si>
    <t>Perspectiva de género</t>
  </si>
  <si>
    <t>Con sembradora de doble hilo, CCI y Universidad de Chapingo buscan duplicar producción del campo hidalguense</t>
  </si>
  <si>
    <t>Impulso al agro</t>
  </si>
  <si>
    <t>Hidalgo libre de adicciones</t>
  </si>
  <si>
    <t>Publicidad</t>
  </si>
  <si>
    <t>Prevención De Adicciones</t>
  </si>
  <si>
    <t>Tuzos caen 2-1 con Querétaro</t>
  </si>
  <si>
    <t>En agosto, comienzan actividades 10 bachilleratos Margarita Maza</t>
  </si>
  <si>
    <t>En Tepeapulco, detiene la SSPH a tres objetivos prioritarios</t>
  </si>
  <si>
    <t>Roban taquilla a los destrampados en Atotonilco el Grande</t>
  </si>
  <si>
    <t>¡Participa en los encuentros de negocios!</t>
  </si>
  <si>
    <t>Expo proveeduría</t>
  </si>
  <si>
    <t>Una sola voz contra la trata</t>
  </si>
  <si>
    <t>Combate a trata de personas</t>
  </si>
  <si>
    <t>Reforman Ley de Salud Mental y prevención del suicidio</t>
  </si>
  <si>
    <t>Díaz-Canel acusa a Estados Unidos de prácticas nazis</t>
  </si>
  <si>
    <t>La UNAM se ha caracterizado por ser generadora de conciencia social y honestidad. Es lamentable que haya dudas de trampas y deshonestidad en la aplicación de los exámenes de admisión en licenciaturas ... la mancha sería permanente.</t>
  </si>
  <si>
    <t>Editorial</t>
  </si>
  <si>
    <t>Necesitamos que zonas afectadas regresen a la normalidad""</t>
  </si>
  <si>
    <t>Rutas de la Reconstrucción</t>
  </si>
  <si>
    <t>Plata para Edgar Cadena en los juegos Centroamericanos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</si>
</sst>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  <xf numFmtId="164" fontId="0" fillId="0" borderId="0" xfId="0" applyNumberFormat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9" totalsRowShown="0" headerRowDxfId="5" headerRowBorderDxfId="4">
  <autoFilter ref="A1:J69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Row],[Dependencia]],Tabla2[Dependencia],Tabla2[Clasificación],"XXX",0)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9"/>
  <sheetViews>
    <sheetView tabSelected="1" workbookViewId="0">
      <selection activeCell="A2" sqref="A2:H69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6" t="s">
        <v>65</v>
      </c>
    </row>
    <row r="2" spans="1:10" x14ac:dyDescent="0.25">
      <c r="A2" s="11">
        <v>46230</v>
      </c>
      <c r="B2" t="s">
        <v>67</v>
      </c>
      <c r="C2" s="5" t="s">
        <v>96</v>
      </c>
      <c r="D2" t="s">
        <v>9</v>
      </c>
      <c r="E2" t="s">
        <v>10</v>
      </c>
      <c r="F2" t="s">
        <v>10</v>
      </c>
      <c r="G2" t="s">
        <v>97</v>
      </c>
      <c r="H2" t="s">
        <v>11</v>
      </c>
      <c r="I2" t="str">
        <f>_xlfn.XLOOKUP(Tabla1[[#This Row],[Dependencia]],Tabla2[Dependencia],Tabla2[Clasificación],"XXX",0)</f>
        <v>Otros</v>
      </c>
      <c r="J2" t="str">
        <f>_xlfn.XLOOKUP(Tabla1[[#This Row],[Dependencia]],Tabla3[Dependencia],Tabla3[Nivel],"Otros",0)</f>
        <v>Otros</v>
      </c>
    </row>
    <row r="3" spans="1:10" x14ac:dyDescent="0.25">
      <c r="A3" s="11">
        <v>46230</v>
      </c>
      <c r="B3" t="s">
        <v>67</v>
      </c>
      <c r="C3" s="5" t="s">
        <v>98</v>
      </c>
      <c r="D3" t="s">
        <v>12</v>
      </c>
      <c r="E3" t="s">
        <v>16</v>
      </c>
      <c r="F3" t="s">
        <v>16</v>
      </c>
      <c r="G3" t="s">
        <v>87</v>
      </c>
      <c r="H3" t="s">
        <v>11</v>
      </c>
      <c r="I3" t="str">
        <f>_xlfn.XLOOKUP(Tabla1[[#This Row],[Dependencia]],Tabla2[Dependencia],Tabla2[Clasificación],"XXX",0)</f>
        <v>Alcaldías</v>
      </c>
      <c r="J3" t="str">
        <f>_xlfn.XLOOKUP(Tabla1[[#This Row],[Dependencia]],Tabla3[Dependencia],Tabla3[Nivel],"Otros",0)</f>
        <v>Otros</v>
      </c>
    </row>
    <row r="4" spans="1:10" x14ac:dyDescent="0.25">
      <c r="A4" s="11">
        <v>46230</v>
      </c>
      <c r="B4" t="s">
        <v>67</v>
      </c>
      <c r="C4" s="5" t="s">
        <v>99</v>
      </c>
      <c r="D4" t="s">
        <v>12</v>
      </c>
      <c r="E4" t="s">
        <v>29</v>
      </c>
      <c r="F4" t="s">
        <v>29</v>
      </c>
      <c r="G4" t="s">
        <v>100</v>
      </c>
      <c r="H4" t="s">
        <v>11</v>
      </c>
      <c r="I4" t="str">
        <f>_xlfn.XLOOKUP(Tabla1[[#This Row],[Dependencia]],Tabla2[Dependencia],Tabla2[Clasificación],"XXX",0)</f>
        <v>Gobierno del estado</v>
      </c>
      <c r="J4" t="str">
        <f>_xlfn.XLOOKUP(Tabla1[[#This Row],[Dependencia]],Tabla3[Dependencia],Tabla3[Nivel],"Otros",0)</f>
        <v>Gabinete</v>
      </c>
    </row>
    <row r="5" spans="1:10" x14ac:dyDescent="0.25">
      <c r="A5" s="11">
        <v>46230</v>
      </c>
      <c r="B5" t="s">
        <v>67</v>
      </c>
      <c r="C5" s="5" t="s">
        <v>101</v>
      </c>
      <c r="D5" t="s">
        <v>13</v>
      </c>
      <c r="E5" t="s">
        <v>14</v>
      </c>
      <c r="F5" t="s">
        <v>14</v>
      </c>
      <c r="G5" t="s">
        <v>102</v>
      </c>
      <c r="H5" t="s">
        <v>11</v>
      </c>
      <c r="I5" t="str">
        <f>_xlfn.XLOOKUP(Tabla1[[#This Row],[Dependencia]],Tabla2[Dependencia],Tabla2[Clasificación],"XXX",0)</f>
        <v>Presidencia de la República</v>
      </c>
      <c r="J5" t="str">
        <f>_xlfn.XLOOKUP(Tabla1[[#This Row],[Dependencia]],Tabla3[Dependencia],Tabla3[Nivel],"Otros",0)</f>
        <v>Otros</v>
      </c>
    </row>
    <row r="6" spans="1:10" x14ac:dyDescent="0.25">
      <c r="A6" s="11">
        <v>46230</v>
      </c>
      <c r="B6" t="s">
        <v>67</v>
      </c>
      <c r="C6" s="5" t="s">
        <v>103</v>
      </c>
      <c r="D6" t="s">
        <v>12</v>
      </c>
      <c r="E6" t="s">
        <v>36</v>
      </c>
      <c r="F6" t="s">
        <v>36</v>
      </c>
      <c r="G6" t="s">
        <v>104</v>
      </c>
      <c r="H6" t="s">
        <v>11</v>
      </c>
      <c r="I6" t="str">
        <f>_xlfn.XLOOKUP(Tabla1[[#This Row],[Dependencia]],Tabla2[Dependencia],Tabla2[Clasificación],"XXX",0)</f>
        <v>Gobierno del estado</v>
      </c>
      <c r="J6" t="str">
        <f>_xlfn.XLOOKUP(Tabla1[[#This Row],[Dependencia]],Tabla3[Dependencia],Tabla3[Nivel],"Otros",0)</f>
        <v>Gabinete</v>
      </c>
    </row>
    <row r="7" spans="1:10" x14ac:dyDescent="0.25">
      <c r="A7" s="11">
        <v>46230</v>
      </c>
      <c r="B7" t="s">
        <v>76</v>
      </c>
      <c r="C7" s="5" t="s">
        <v>105</v>
      </c>
      <c r="D7" t="s">
        <v>12</v>
      </c>
      <c r="E7" t="s">
        <v>14</v>
      </c>
      <c r="F7" t="s">
        <v>106</v>
      </c>
      <c r="G7" t="s">
        <v>107</v>
      </c>
      <c r="H7" t="s">
        <v>11</v>
      </c>
      <c r="I7" t="str">
        <f>_xlfn.XLOOKUP(Tabla1[[#This Row],[Dependencia]],Tabla2[Dependencia],Tabla2[Clasificación],"XXX",0)</f>
        <v>Presidencia de la República</v>
      </c>
      <c r="J7" t="str">
        <f>_xlfn.XLOOKUP(Tabla1[[#This Row],[Dependencia]],Tabla3[Dependencia],Tabla3[Nivel],"Otros",0)</f>
        <v>Otros</v>
      </c>
    </row>
    <row r="8" spans="1:10" x14ac:dyDescent="0.25">
      <c r="A8" s="11">
        <v>46230</v>
      </c>
      <c r="B8" t="s">
        <v>76</v>
      </c>
      <c r="C8" s="5" t="s">
        <v>108</v>
      </c>
      <c r="D8" t="s">
        <v>9</v>
      </c>
      <c r="E8" t="s">
        <v>10</v>
      </c>
      <c r="F8" t="s">
        <v>10</v>
      </c>
      <c r="G8" t="s">
        <v>87</v>
      </c>
      <c r="H8" t="s">
        <v>11</v>
      </c>
      <c r="I8" t="str">
        <f>_xlfn.XLOOKUP(Tabla1[[#This Row],[Dependencia]],Tabla2[Dependencia],Tabla2[Clasificación],"XXX",0)</f>
        <v>Otros</v>
      </c>
      <c r="J8" t="str">
        <f>_xlfn.XLOOKUP(Tabla1[[#This Row],[Dependencia]],Tabla3[Dependencia],Tabla3[Nivel],"Otros",0)</f>
        <v>Otros</v>
      </c>
    </row>
    <row r="9" spans="1:10" x14ac:dyDescent="0.25">
      <c r="A9" s="11">
        <v>46230</v>
      </c>
      <c r="B9" t="s">
        <v>76</v>
      </c>
      <c r="C9" s="5" t="s">
        <v>109</v>
      </c>
      <c r="D9" t="s">
        <v>12</v>
      </c>
      <c r="E9" t="s">
        <v>18</v>
      </c>
      <c r="F9" t="s">
        <v>18</v>
      </c>
      <c r="G9" t="s">
        <v>110</v>
      </c>
      <c r="H9" t="s">
        <v>11</v>
      </c>
      <c r="I9" t="str">
        <f>_xlfn.XLOOKUP(Tabla1[[#This Row],[Dependencia]],Tabla2[Dependencia],Tabla2[Clasificación],"XXX",0)</f>
        <v>Partidos</v>
      </c>
      <c r="J9" t="str">
        <f>_xlfn.XLOOKUP(Tabla1[[#This Row],[Dependencia]],Tabla3[Dependencia],Tabla3[Nivel],"Otros",0)</f>
        <v>Otros</v>
      </c>
    </row>
    <row r="10" spans="1:10" x14ac:dyDescent="0.25">
      <c r="A10" s="11">
        <v>46230</v>
      </c>
      <c r="B10" t="s">
        <v>76</v>
      </c>
      <c r="C10" s="5" t="s">
        <v>111</v>
      </c>
      <c r="D10" t="s">
        <v>12</v>
      </c>
      <c r="E10" t="s">
        <v>14</v>
      </c>
      <c r="F10" t="s">
        <v>85</v>
      </c>
      <c r="G10" t="s">
        <v>90</v>
      </c>
      <c r="H10" t="s">
        <v>11</v>
      </c>
      <c r="I10" t="str">
        <f>_xlfn.XLOOKUP(Tabla1[[#This Row],[Dependencia]],Tabla2[Dependencia],Tabla2[Clasificación],"XXX",0)</f>
        <v>Presidencia de la República</v>
      </c>
      <c r="J10" t="str">
        <f>_xlfn.XLOOKUP(Tabla1[[#This Row],[Dependencia]],Tabla3[Dependencia],Tabla3[Nivel],"Otros",0)</f>
        <v>Otros</v>
      </c>
    </row>
    <row r="11" spans="1:10" x14ac:dyDescent="0.25">
      <c r="A11" s="11">
        <v>46230</v>
      </c>
      <c r="B11" t="s">
        <v>76</v>
      </c>
      <c r="C11" s="5" t="s">
        <v>112</v>
      </c>
      <c r="D11" t="s">
        <v>12</v>
      </c>
      <c r="E11" t="s">
        <v>16</v>
      </c>
      <c r="F11" t="s">
        <v>16</v>
      </c>
      <c r="G11" t="s">
        <v>113</v>
      </c>
      <c r="H11" t="s">
        <v>73</v>
      </c>
      <c r="I11" t="str">
        <f>_xlfn.XLOOKUP(Tabla1[[#This Row],[Dependencia]],Tabla2[Dependencia],Tabla2[Clasificación],"XXX",0)</f>
        <v>Alcaldías</v>
      </c>
      <c r="J11" t="str">
        <f>_xlfn.XLOOKUP(Tabla1[[#This Row],[Dependencia]],Tabla3[Dependencia],Tabla3[Nivel],"Otros",0)</f>
        <v>Otros</v>
      </c>
    </row>
    <row r="12" spans="1:10" x14ac:dyDescent="0.25">
      <c r="A12" s="11">
        <v>46230</v>
      </c>
      <c r="B12" t="s">
        <v>76</v>
      </c>
      <c r="C12" s="5" t="s">
        <v>114</v>
      </c>
      <c r="D12" t="s">
        <v>12</v>
      </c>
      <c r="E12" t="s">
        <v>17</v>
      </c>
      <c r="F12" t="s">
        <v>17</v>
      </c>
      <c r="G12" t="s">
        <v>115</v>
      </c>
      <c r="H12" t="s">
        <v>11</v>
      </c>
      <c r="I12" t="str">
        <f>_xlfn.XLOOKUP(Tabla1[[#This Row],[Dependencia]],Tabla2[Dependencia],Tabla2[Clasificación],"XXX",0)</f>
        <v>Gobierno del estado</v>
      </c>
      <c r="J12" t="str">
        <f>_xlfn.XLOOKUP(Tabla1[[#This Row],[Dependencia]],Tabla3[Dependencia],Tabla3[Nivel],"Otros",0)</f>
        <v>Gabinete</v>
      </c>
    </row>
    <row r="13" spans="1:10" x14ac:dyDescent="0.25">
      <c r="A13" s="11">
        <v>46230</v>
      </c>
      <c r="B13" t="s">
        <v>77</v>
      </c>
      <c r="C13" s="5" t="s">
        <v>116</v>
      </c>
      <c r="D13" t="s">
        <v>12</v>
      </c>
      <c r="E13" t="s">
        <v>10</v>
      </c>
      <c r="F13" t="s">
        <v>10</v>
      </c>
      <c r="G13" t="s">
        <v>84</v>
      </c>
      <c r="H13" t="s">
        <v>11</v>
      </c>
      <c r="I13" t="str">
        <f>_xlfn.XLOOKUP(Tabla1[[#This Row],[Dependencia]],Tabla2[Dependencia],Tabla2[Clasificación],"XXX",0)</f>
        <v>Otros</v>
      </c>
      <c r="J13" t="str">
        <f>_xlfn.XLOOKUP(Tabla1[[#This Row],[Dependencia]],Tabla3[Dependencia],Tabla3[Nivel],"Otros",0)</f>
        <v>Otros</v>
      </c>
    </row>
    <row r="14" spans="1:10" x14ac:dyDescent="0.25">
      <c r="A14" s="11">
        <v>46230</v>
      </c>
      <c r="B14" t="s">
        <v>77</v>
      </c>
      <c r="C14" s="5" t="s">
        <v>117</v>
      </c>
      <c r="D14" t="s">
        <v>12</v>
      </c>
      <c r="E14" t="s">
        <v>10</v>
      </c>
      <c r="F14" t="s">
        <v>10</v>
      </c>
      <c r="G14" t="s">
        <v>84</v>
      </c>
      <c r="H14" t="s">
        <v>11</v>
      </c>
      <c r="I14" t="str">
        <f>_xlfn.XLOOKUP(Tabla1[[#This Row],[Dependencia]],Tabla2[Dependencia],Tabla2[Clasificación],"XXX",0)</f>
        <v>Otros</v>
      </c>
      <c r="J14" t="str">
        <f>_xlfn.XLOOKUP(Tabla1[[#This Row],[Dependencia]],Tabla3[Dependencia],Tabla3[Nivel],"Otros",0)</f>
        <v>Otros</v>
      </c>
    </row>
    <row r="15" spans="1:10" x14ac:dyDescent="0.25">
      <c r="A15" s="11">
        <v>46230</v>
      </c>
      <c r="B15" t="s">
        <v>77</v>
      </c>
      <c r="C15" s="5" t="s">
        <v>118</v>
      </c>
      <c r="D15" t="s">
        <v>13</v>
      </c>
      <c r="E15" t="s">
        <v>26</v>
      </c>
      <c r="F15" t="s">
        <v>26</v>
      </c>
      <c r="G15" t="s">
        <v>119</v>
      </c>
      <c r="H15" t="s">
        <v>11</v>
      </c>
      <c r="I15" t="str">
        <f>_xlfn.XLOOKUP(Tabla1[[#This Row],[Dependencia]],Tabla2[Dependencia],Tabla2[Clasificación],"XXX",0)</f>
        <v>Gobierno del estado</v>
      </c>
      <c r="J15" t="str">
        <f>_xlfn.XLOOKUP(Tabla1[[#This Row],[Dependencia]],Tabla3[Dependencia],Tabla3[Nivel],"Otros",0)</f>
        <v>Gabinete</v>
      </c>
    </row>
    <row r="16" spans="1:10" ht="30" x14ac:dyDescent="0.25">
      <c r="A16" s="11">
        <v>46230</v>
      </c>
      <c r="B16" t="s">
        <v>77</v>
      </c>
      <c r="C16" s="5" t="s">
        <v>120</v>
      </c>
      <c r="D16" t="s">
        <v>12</v>
      </c>
      <c r="E16" t="s">
        <v>121</v>
      </c>
      <c r="F16" t="s">
        <v>121</v>
      </c>
      <c r="G16" t="s">
        <v>122</v>
      </c>
      <c r="H16" t="s">
        <v>11</v>
      </c>
      <c r="I16" t="str">
        <f>_xlfn.XLOOKUP(Tabla1[[#This Row],[Dependencia]],Tabla2[Dependencia],Tabla2[Clasificación],"XXX",0)</f>
        <v>Gobierno del estado</v>
      </c>
      <c r="J16" t="str">
        <f>_xlfn.XLOOKUP(Tabla1[[#This Row],[Dependencia]],Tabla3[Dependencia],Tabla3[Nivel],"Otros",0)</f>
        <v>Gabinete</v>
      </c>
    </row>
    <row r="17" spans="1:10" x14ac:dyDescent="0.25">
      <c r="A17" s="11">
        <v>46230</v>
      </c>
      <c r="B17" t="s">
        <v>77</v>
      </c>
      <c r="C17" s="5" t="s">
        <v>123</v>
      </c>
      <c r="D17" t="s">
        <v>9</v>
      </c>
      <c r="E17" t="s">
        <v>121</v>
      </c>
      <c r="F17" t="s">
        <v>121</v>
      </c>
      <c r="G17" t="s">
        <v>94</v>
      </c>
      <c r="H17" t="s">
        <v>11</v>
      </c>
      <c r="I17" t="str">
        <f>_xlfn.XLOOKUP(Tabla1[[#This Row],[Dependencia]],Tabla2[Dependencia],Tabla2[Clasificación],"XXX",0)</f>
        <v>Gobierno del estado</v>
      </c>
      <c r="J17" t="str">
        <f>_xlfn.XLOOKUP(Tabla1[[#This Row],[Dependencia]],Tabla3[Dependencia],Tabla3[Nivel],"Otros",0)</f>
        <v>Gabinete</v>
      </c>
    </row>
    <row r="18" spans="1:10" ht="30" x14ac:dyDescent="0.25">
      <c r="A18" s="11">
        <v>46230</v>
      </c>
      <c r="B18" t="s">
        <v>77</v>
      </c>
      <c r="C18" s="5" t="s">
        <v>124</v>
      </c>
      <c r="D18" t="s">
        <v>12</v>
      </c>
      <c r="E18" t="s">
        <v>58</v>
      </c>
      <c r="F18" t="s">
        <v>58</v>
      </c>
      <c r="G18" t="s">
        <v>125</v>
      </c>
      <c r="H18" t="s">
        <v>73</v>
      </c>
      <c r="I18" t="str">
        <f>_xlfn.XLOOKUP(Tabla1[[#This Row],[Dependencia]],Tabla2[Dependencia],Tabla2[Clasificación],"XXX",0)</f>
        <v>Otros</v>
      </c>
      <c r="J18" t="str">
        <f>_xlfn.XLOOKUP(Tabla1[[#This Row],[Dependencia]],Tabla3[Dependencia],Tabla3[Nivel],"Otros",0)</f>
        <v>Otros</v>
      </c>
    </row>
    <row r="19" spans="1:10" x14ac:dyDescent="0.25">
      <c r="A19" s="11">
        <v>46230</v>
      </c>
      <c r="B19" t="s">
        <v>75</v>
      </c>
      <c r="C19" s="5" t="s">
        <v>126</v>
      </c>
      <c r="D19" t="s">
        <v>13</v>
      </c>
      <c r="E19" t="s">
        <v>58</v>
      </c>
      <c r="F19" t="s">
        <v>58</v>
      </c>
      <c r="G19" t="s">
        <v>127</v>
      </c>
      <c r="H19" t="s">
        <v>73</v>
      </c>
      <c r="I19" t="str">
        <f>_xlfn.XLOOKUP(Tabla1[[#This Row],[Dependencia]],Tabla2[Dependencia],Tabla2[Clasificación],"XXX",0)</f>
        <v>Otros</v>
      </c>
      <c r="J19" t="str">
        <f>_xlfn.XLOOKUP(Tabla1[[#This Row],[Dependencia]],Tabla3[Dependencia],Tabla3[Nivel],"Otros",0)</f>
        <v>Otros</v>
      </c>
    </row>
    <row r="20" spans="1:10" x14ac:dyDescent="0.25">
      <c r="A20" s="11">
        <v>46230</v>
      </c>
      <c r="B20" t="s">
        <v>75</v>
      </c>
      <c r="C20" s="5" t="s">
        <v>128</v>
      </c>
      <c r="D20" t="s">
        <v>12</v>
      </c>
      <c r="E20" t="s">
        <v>16</v>
      </c>
      <c r="F20" t="s">
        <v>16</v>
      </c>
      <c r="G20" t="s">
        <v>89</v>
      </c>
      <c r="H20" t="s">
        <v>11</v>
      </c>
      <c r="I20" t="str">
        <f>_xlfn.XLOOKUP(Tabla1[[#This Row],[Dependencia]],Tabla2[Dependencia],Tabla2[Clasificación],"XXX",0)</f>
        <v>Alcaldías</v>
      </c>
      <c r="J20" t="str">
        <f>_xlfn.XLOOKUP(Tabla1[[#This Row],[Dependencia]],Tabla3[Dependencia],Tabla3[Nivel],"Otros",0)</f>
        <v>Otros</v>
      </c>
    </row>
    <row r="21" spans="1:10" x14ac:dyDescent="0.25">
      <c r="A21" s="11">
        <v>46230</v>
      </c>
      <c r="B21" t="s">
        <v>75</v>
      </c>
      <c r="C21" s="5" t="s">
        <v>129</v>
      </c>
      <c r="D21" t="s">
        <v>12</v>
      </c>
      <c r="E21" t="s">
        <v>22</v>
      </c>
      <c r="F21" t="s">
        <v>22</v>
      </c>
      <c r="G21" t="s">
        <v>130</v>
      </c>
      <c r="H21" t="s">
        <v>11</v>
      </c>
      <c r="I21" t="str">
        <f>_xlfn.XLOOKUP(Tabla1[[#This Row],[Dependencia]],Tabla2[Dependencia],Tabla2[Clasificación],"XXX",0)</f>
        <v>Gobierno del estado</v>
      </c>
      <c r="J21" t="str">
        <f>_xlfn.XLOOKUP(Tabla1[[#This Row],[Dependencia]],Tabla3[Dependencia],Tabla3[Nivel],"Otros",0)</f>
        <v>Gabinete</v>
      </c>
    </row>
    <row r="22" spans="1:10" x14ac:dyDescent="0.25">
      <c r="A22" s="11">
        <v>46230</v>
      </c>
      <c r="B22" t="s">
        <v>75</v>
      </c>
      <c r="C22" s="5" t="s">
        <v>131</v>
      </c>
      <c r="D22" t="s">
        <v>9</v>
      </c>
      <c r="E22" t="s">
        <v>10</v>
      </c>
      <c r="F22" t="s">
        <v>10</v>
      </c>
      <c r="G22" t="s">
        <v>84</v>
      </c>
      <c r="H22" t="s">
        <v>11</v>
      </c>
      <c r="I22" t="str">
        <f>_xlfn.XLOOKUP(Tabla1[[#This Row],[Dependencia]],Tabla2[Dependencia],Tabla2[Clasificación],"XXX",0)</f>
        <v>Otros</v>
      </c>
      <c r="J22" t="str">
        <f>_xlfn.XLOOKUP(Tabla1[[#This Row],[Dependencia]],Tabla3[Dependencia],Tabla3[Nivel],"Otros",0)</f>
        <v>Otros</v>
      </c>
    </row>
    <row r="23" spans="1:10" x14ac:dyDescent="0.25">
      <c r="A23" s="11">
        <v>46230</v>
      </c>
      <c r="B23" t="s">
        <v>75</v>
      </c>
      <c r="C23" s="5" t="s">
        <v>132</v>
      </c>
      <c r="D23" t="s">
        <v>12</v>
      </c>
      <c r="E23" t="s">
        <v>14</v>
      </c>
      <c r="F23" t="s">
        <v>86</v>
      </c>
      <c r="G23" t="s">
        <v>133</v>
      </c>
      <c r="H23" t="s">
        <v>11</v>
      </c>
      <c r="I23" t="str">
        <f>_xlfn.XLOOKUP(Tabla1[[#This Row],[Dependencia]],Tabla2[Dependencia],Tabla2[Clasificación],"XXX",0)</f>
        <v>Presidencia de la República</v>
      </c>
      <c r="J23" t="str">
        <f>_xlfn.XLOOKUP(Tabla1[[#This Row],[Dependencia]],Tabla3[Dependencia],Tabla3[Nivel],"Otros",0)</f>
        <v>Otros</v>
      </c>
    </row>
    <row r="24" spans="1:10" ht="30" x14ac:dyDescent="0.25">
      <c r="A24" s="11">
        <v>46230</v>
      </c>
      <c r="B24" t="s">
        <v>75</v>
      </c>
      <c r="C24" s="5" t="s">
        <v>134</v>
      </c>
      <c r="D24" t="s">
        <v>12</v>
      </c>
      <c r="E24" t="s">
        <v>27</v>
      </c>
      <c r="F24" t="s">
        <v>27</v>
      </c>
      <c r="G24" t="s">
        <v>135</v>
      </c>
      <c r="H24" t="s">
        <v>73</v>
      </c>
      <c r="I24" t="str">
        <f>_xlfn.XLOOKUP(Tabla1[[#This Row],[Dependencia]],Tabla2[Dependencia],Tabla2[Clasificación],"XXX",0)</f>
        <v>Gobierno del estado</v>
      </c>
      <c r="J24" t="str">
        <f>_xlfn.XLOOKUP(Tabla1[[#This Row],[Dependencia]],Tabla3[Dependencia],Tabla3[Nivel],"Otros",0)</f>
        <v>Gabinete</v>
      </c>
    </row>
    <row r="25" spans="1:10" ht="30" x14ac:dyDescent="0.25">
      <c r="A25" s="11">
        <v>46230</v>
      </c>
      <c r="B25" t="s">
        <v>75</v>
      </c>
      <c r="C25" s="5" t="s">
        <v>136</v>
      </c>
      <c r="D25" t="s">
        <v>12</v>
      </c>
      <c r="E25" t="s">
        <v>24</v>
      </c>
      <c r="F25" t="s">
        <v>24</v>
      </c>
      <c r="G25" t="s">
        <v>137</v>
      </c>
      <c r="H25" t="s">
        <v>68</v>
      </c>
      <c r="I25" t="str">
        <f>_xlfn.XLOOKUP(Tabla1[[#This Row],[Dependencia]],Tabla2[Dependencia],Tabla2[Clasificación],"XXX",0)</f>
        <v>Gobierno del estado</v>
      </c>
      <c r="J25" t="str">
        <f>_xlfn.XLOOKUP(Tabla1[[#This Row],[Dependencia]],Tabla3[Dependencia],Tabla3[Nivel],"Otros",0)</f>
        <v>Gobernador</v>
      </c>
    </row>
    <row r="26" spans="1:10" x14ac:dyDescent="0.25">
      <c r="A26" s="11">
        <v>46230</v>
      </c>
      <c r="B26" t="s">
        <v>75</v>
      </c>
      <c r="C26" s="5" t="s">
        <v>138</v>
      </c>
      <c r="D26" t="s">
        <v>12</v>
      </c>
      <c r="E26" t="s">
        <v>14</v>
      </c>
      <c r="F26" t="s">
        <v>14</v>
      </c>
      <c r="G26" t="s">
        <v>139</v>
      </c>
      <c r="H26" t="s">
        <v>11</v>
      </c>
      <c r="I26" t="str">
        <f>_xlfn.XLOOKUP(Tabla1[[#This Row],[Dependencia]],Tabla2[Dependencia],Tabla2[Clasificación],"XXX",0)</f>
        <v>Presidencia de la República</v>
      </c>
      <c r="J26" t="str">
        <f>_xlfn.XLOOKUP(Tabla1[[#This Row],[Dependencia]],Tabla3[Dependencia],Tabla3[Nivel],"Otros",0)</f>
        <v>Otros</v>
      </c>
    </row>
    <row r="27" spans="1:10" ht="30" x14ac:dyDescent="0.25">
      <c r="A27" s="11">
        <v>46230</v>
      </c>
      <c r="B27" t="s">
        <v>75</v>
      </c>
      <c r="C27" s="5" t="s">
        <v>140</v>
      </c>
      <c r="D27" t="s">
        <v>12</v>
      </c>
      <c r="E27" t="s">
        <v>10</v>
      </c>
      <c r="F27" t="s">
        <v>10</v>
      </c>
      <c r="G27" t="s">
        <v>79</v>
      </c>
      <c r="H27" t="s">
        <v>73</v>
      </c>
      <c r="I27" t="str">
        <f>_xlfn.XLOOKUP(Tabla1[[#This Row],[Dependencia]],Tabla2[Dependencia],Tabla2[Clasificación],"XXX",0)</f>
        <v>Otros</v>
      </c>
      <c r="J27" t="str">
        <f>_xlfn.XLOOKUP(Tabla1[[#This Row],[Dependencia]],Tabla3[Dependencia],Tabla3[Nivel],"Otros",0)</f>
        <v>Otros</v>
      </c>
    </row>
    <row r="28" spans="1:10" ht="30" x14ac:dyDescent="0.25">
      <c r="A28" s="11">
        <v>46230</v>
      </c>
      <c r="B28" t="s">
        <v>75</v>
      </c>
      <c r="C28" s="5" t="s">
        <v>141</v>
      </c>
      <c r="D28" t="s">
        <v>12</v>
      </c>
      <c r="E28" t="s">
        <v>10</v>
      </c>
      <c r="F28" t="s">
        <v>10</v>
      </c>
      <c r="G28" t="s">
        <v>81</v>
      </c>
      <c r="H28" t="s">
        <v>11</v>
      </c>
      <c r="I28" t="str">
        <f>_xlfn.XLOOKUP(Tabla1[[#This Row],[Dependencia]],Tabla2[Dependencia],Tabla2[Clasificación],"XXX",0)</f>
        <v>Otros</v>
      </c>
      <c r="J28" t="str">
        <f>_xlfn.XLOOKUP(Tabla1[[#This Row],[Dependencia]],Tabla3[Dependencia],Tabla3[Nivel],"Otros",0)</f>
        <v>Otros</v>
      </c>
    </row>
    <row r="29" spans="1:10" x14ac:dyDescent="0.25">
      <c r="A29" s="11">
        <v>46230</v>
      </c>
      <c r="B29" t="s">
        <v>75</v>
      </c>
      <c r="C29" s="5" t="s">
        <v>142</v>
      </c>
      <c r="D29" t="s">
        <v>12</v>
      </c>
      <c r="E29" t="s">
        <v>10</v>
      </c>
      <c r="F29" t="s">
        <v>10</v>
      </c>
      <c r="G29" t="s">
        <v>81</v>
      </c>
      <c r="H29" t="s">
        <v>11</v>
      </c>
      <c r="I29" t="str">
        <f>_xlfn.XLOOKUP(Tabla1[[#This Row],[Dependencia]],Tabla2[Dependencia],Tabla2[Clasificación],"XXX",0)</f>
        <v>Otros</v>
      </c>
      <c r="J29" t="str">
        <f>_xlfn.XLOOKUP(Tabla1[[#This Row],[Dependencia]],Tabla3[Dependencia],Tabla3[Nivel],"Otros",0)</f>
        <v>Otros</v>
      </c>
    </row>
    <row r="30" spans="1:10" x14ac:dyDescent="0.25">
      <c r="A30" s="11">
        <v>46230</v>
      </c>
      <c r="B30" t="s">
        <v>70</v>
      </c>
      <c r="C30" s="5" t="s">
        <v>143</v>
      </c>
      <c r="D30" t="s">
        <v>12</v>
      </c>
      <c r="E30" t="s">
        <v>10</v>
      </c>
      <c r="F30" t="s">
        <v>10</v>
      </c>
      <c r="G30" t="s">
        <v>144</v>
      </c>
      <c r="H30" t="s">
        <v>11</v>
      </c>
      <c r="I30" t="str">
        <f>_xlfn.XLOOKUP(Tabla1[[#This Row],[Dependencia]],Tabla2[Dependencia],Tabla2[Clasificación],"XXX",0)</f>
        <v>Otros</v>
      </c>
      <c r="J30" t="str">
        <f>_xlfn.XLOOKUP(Tabla1[[#This Row],[Dependencia]],Tabla3[Dependencia],Tabla3[Nivel],"Otros",0)</f>
        <v>Otros</v>
      </c>
    </row>
    <row r="31" spans="1:10" ht="30" x14ac:dyDescent="0.25">
      <c r="A31" s="11">
        <v>46230</v>
      </c>
      <c r="B31" t="s">
        <v>70</v>
      </c>
      <c r="C31" s="5" t="s">
        <v>145</v>
      </c>
      <c r="D31" t="s">
        <v>13</v>
      </c>
      <c r="E31" t="s">
        <v>20</v>
      </c>
      <c r="F31" t="s">
        <v>20</v>
      </c>
      <c r="G31" t="s">
        <v>91</v>
      </c>
      <c r="H31" t="s">
        <v>11</v>
      </c>
      <c r="I31" t="str">
        <f>_xlfn.XLOOKUP(Tabla1[[#This Row],[Dependencia]],Tabla2[Dependencia],Tabla2[Clasificación],"XXX",0)</f>
        <v>Gobierno del estado</v>
      </c>
      <c r="J31" t="str">
        <f>_xlfn.XLOOKUP(Tabla1[[#This Row],[Dependencia]],Tabla3[Dependencia],Tabla3[Nivel],"Otros",0)</f>
        <v>Gabinete</v>
      </c>
    </row>
    <row r="32" spans="1:10" x14ac:dyDescent="0.25">
      <c r="A32" s="11">
        <v>46230</v>
      </c>
      <c r="B32" t="s">
        <v>70</v>
      </c>
      <c r="C32" s="5" t="s">
        <v>146</v>
      </c>
      <c r="D32" t="s">
        <v>12</v>
      </c>
      <c r="E32" t="s">
        <v>10</v>
      </c>
      <c r="F32" t="s">
        <v>10</v>
      </c>
      <c r="G32" t="s">
        <v>84</v>
      </c>
      <c r="H32" t="s">
        <v>11</v>
      </c>
      <c r="I32" t="str">
        <f>_xlfn.XLOOKUP(Tabla1[[#This Row],[Dependencia]],Tabla2[Dependencia],Tabla2[Clasificación],"XXX",0)</f>
        <v>Otros</v>
      </c>
      <c r="J32" t="str">
        <f>_xlfn.XLOOKUP(Tabla1[[#This Row],[Dependencia]],Tabla3[Dependencia],Tabla3[Nivel],"Otros",0)</f>
        <v>Otros</v>
      </c>
    </row>
    <row r="33" spans="1:10" x14ac:dyDescent="0.25">
      <c r="A33" s="11">
        <v>46230</v>
      </c>
      <c r="B33" t="s">
        <v>70</v>
      </c>
      <c r="C33" s="5" t="s">
        <v>147</v>
      </c>
      <c r="D33" t="s">
        <v>9</v>
      </c>
      <c r="E33" t="s">
        <v>17</v>
      </c>
      <c r="F33" t="s">
        <v>17</v>
      </c>
      <c r="G33" t="s">
        <v>148</v>
      </c>
      <c r="H33" t="s">
        <v>11</v>
      </c>
      <c r="I33" t="str">
        <f>_xlfn.XLOOKUP(Tabla1[[#This Row],[Dependencia]],Tabla2[Dependencia],Tabla2[Clasificación],"XXX",0)</f>
        <v>Gobierno del estado</v>
      </c>
      <c r="J33" t="str">
        <f>_xlfn.XLOOKUP(Tabla1[[#This Row],[Dependencia]],Tabla3[Dependencia],Tabla3[Nivel],"Otros",0)</f>
        <v>Gabinete</v>
      </c>
    </row>
    <row r="34" spans="1:10" ht="75" x14ac:dyDescent="0.25">
      <c r="A34" s="11">
        <v>46230</v>
      </c>
      <c r="B34" t="s">
        <v>70</v>
      </c>
      <c r="C34" s="5" t="s">
        <v>149</v>
      </c>
      <c r="D34" t="s">
        <v>12</v>
      </c>
      <c r="E34" t="s">
        <v>10</v>
      </c>
      <c r="F34" t="s">
        <v>10</v>
      </c>
      <c r="G34" t="s">
        <v>79</v>
      </c>
      <c r="H34" t="s">
        <v>11</v>
      </c>
      <c r="I34" t="str">
        <f>_xlfn.XLOOKUP(Tabla1[[#This Row],[Dependencia]],Tabla2[Dependencia],Tabla2[Clasificación],"XXX",0)</f>
        <v>Otros</v>
      </c>
      <c r="J34" t="str">
        <f>_xlfn.XLOOKUP(Tabla1[[#This Row],[Dependencia]],Tabla3[Dependencia],Tabla3[Nivel],"Otros",0)</f>
        <v>Otros</v>
      </c>
    </row>
    <row r="35" spans="1:10" ht="30" x14ac:dyDescent="0.25">
      <c r="A35" s="11">
        <v>46230</v>
      </c>
      <c r="B35" t="s">
        <v>69</v>
      </c>
      <c r="C35" s="5" t="s">
        <v>150</v>
      </c>
      <c r="D35" t="s">
        <v>13</v>
      </c>
      <c r="E35" t="s">
        <v>40</v>
      </c>
      <c r="F35" t="s">
        <v>40</v>
      </c>
      <c r="G35" t="s">
        <v>151</v>
      </c>
      <c r="H35" t="s">
        <v>11</v>
      </c>
      <c r="I35" t="str">
        <f>_xlfn.XLOOKUP(Tabla1[[#This Row],[Dependencia]],Tabla2[Dependencia],Tabla2[Clasificación],"XXX",0)</f>
        <v>Otros</v>
      </c>
      <c r="J35" t="str">
        <f>_xlfn.XLOOKUP(Tabla1[[#This Row],[Dependencia]],Tabla3[Dependencia],Tabla3[Nivel],"Otros",0)</f>
        <v>Otros</v>
      </c>
    </row>
    <row r="36" spans="1:10" ht="30" x14ac:dyDescent="0.25">
      <c r="A36" s="11">
        <v>46230</v>
      </c>
      <c r="B36" t="s">
        <v>69</v>
      </c>
      <c r="C36" s="5" t="s">
        <v>152</v>
      </c>
      <c r="D36" t="s">
        <v>12</v>
      </c>
      <c r="E36" t="s">
        <v>20</v>
      </c>
      <c r="F36" t="s">
        <v>20</v>
      </c>
      <c r="G36" t="s">
        <v>91</v>
      </c>
      <c r="H36" t="s">
        <v>68</v>
      </c>
      <c r="I36" t="str">
        <f>_xlfn.XLOOKUP(Tabla1[[#This Row],[Dependencia]],Tabla2[Dependencia],Tabla2[Clasificación],"XXX",0)</f>
        <v>Gobierno del estado</v>
      </c>
      <c r="J36" t="str">
        <f>_xlfn.XLOOKUP(Tabla1[[#This Row],[Dependencia]],Tabla3[Dependencia],Tabla3[Nivel],"Otros",0)</f>
        <v>Gabinete</v>
      </c>
    </row>
    <row r="37" spans="1:10" ht="30" x14ac:dyDescent="0.25">
      <c r="A37" s="11">
        <v>46230</v>
      </c>
      <c r="B37" t="s">
        <v>69</v>
      </c>
      <c r="C37" s="5" t="s">
        <v>153</v>
      </c>
      <c r="D37" t="s">
        <v>12</v>
      </c>
      <c r="E37" t="s">
        <v>16</v>
      </c>
      <c r="F37" t="s">
        <v>83</v>
      </c>
      <c r="G37" t="s">
        <v>92</v>
      </c>
      <c r="H37" t="s">
        <v>11</v>
      </c>
      <c r="I37" t="str">
        <f>_xlfn.XLOOKUP(Tabla1[[#This Row],[Dependencia]],Tabla2[Dependencia],Tabla2[Clasificación],"XXX",0)</f>
        <v>Alcaldías</v>
      </c>
      <c r="J37" t="str">
        <f>_xlfn.XLOOKUP(Tabla1[[#This Row],[Dependencia]],Tabla3[Dependencia],Tabla3[Nivel],"Otros",0)</f>
        <v>Otros</v>
      </c>
    </row>
    <row r="38" spans="1:10" ht="30" x14ac:dyDescent="0.25">
      <c r="A38" s="11">
        <v>46230</v>
      </c>
      <c r="B38" t="s">
        <v>69</v>
      </c>
      <c r="C38" s="5" t="s">
        <v>154</v>
      </c>
      <c r="D38" t="s">
        <v>12</v>
      </c>
      <c r="E38" t="s">
        <v>22</v>
      </c>
      <c r="F38" t="s">
        <v>22</v>
      </c>
      <c r="G38" t="s">
        <v>130</v>
      </c>
      <c r="H38" t="s">
        <v>68</v>
      </c>
      <c r="I38" t="str">
        <f>_xlfn.XLOOKUP(Tabla1[[#This Row],[Dependencia]],Tabla2[Dependencia],Tabla2[Clasificación],"XXX",0)</f>
        <v>Gobierno del estado</v>
      </c>
      <c r="J38" t="str">
        <f>_xlfn.XLOOKUP(Tabla1[[#This Row],[Dependencia]],Tabla3[Dependencia],Tabla3[Nivel],"Otros",0)</f>
        <v>Gabinete</v>
      </c>
    </row>
    <row r="39" spans="1:10" x14ac:dyDescent="0.25">
      <c r="A39" s="11">
        <v>46230</v>
      </c>
      <c r="B39" t="s">
        <v>74</v>
      </c>
      <c r="C39" s="5" t="s">
        <v>155</v>
      </c>
      <c r="D39" t="s">
        <v>13</v>
      </c>
      <c r="E39" t="s">
        <v>16</v>
      </c>
      <c r="F39" t="s">
        <v>16</v>
      </c>
      <c r="G39" t="s">
        <v>156</v>
      </c>
      <c r="H39" t="s">
        <v>73</v>
      </c>
      <c r="I39" t="str">
        <f>_xlfn.XLOOKUP(Tabla1[[#This Row],[Dependencia]],Tabla2[Dependencia],Tabla2[Clasificación],"XXX",0)</f>
        <v>Alcaldías</v>
      </c>
      <c r="J39" t="str">
        <f>_xlfn.XLOOKUP(Tabla1[[#This Row],[Dependencia]],Tabla3[Dependencia],Tabla3[Nivel],"Otros",0)</f>
        <v>Otros</v>
      </c>
    </row>
    <row r="40" spans="1:10" ht="30" x14ac:dyDescent="0.25">
      <c r="A40" s="11">
        <v>46230</v>
      </c>
      <c r="B40" t="s">
        <v>74</v>
      </c>
      <c r="C40" s="5" t="s">
        <v>157</v>
      </c>
      <c r="D40" t="s">
        <v>12</v>
      </c>
      <c r="E40" t="s">
        <v>24</v>
      </c>
      <c r="F40" t="s">
        <v>24</v>
      </c>
      <c r="G40" t="s">
        <v>158</v>
      </c>
      <c r="H40" t="s">
        <v>68</v>
      </c>
      <c r="I40" t="str">
        <f>_xlfn.XLOOKUP(Tabla1[[#This Row],[Dependencia]],Tabla2[Dependencia],Tabla2[Clasificación],"XXX",0)</f>
        <v>Gobierno del estado</v>
      </c>
      <c r="J40" t="str">
        <f>_xlfn.XLOOKUP(Tabla1[[#This Row],[Dependencia]],Tabla3[Dependencia],Tabla3[Nivel],"Otros",0)</f>
        <v>Gobernador</v>
      </c>
    </row>
    <row r="41" spans="1:10" ht="30" x14ac:dyDescent="0.25">
      <c r="A41" s="11">
        <v>46230</v>
      </c>
      <c r="B41" t="s">
        <v>74</v>
      </c>
      <c r="C41" s="5" t="s">
        <v>159</v>
      </c>
      <c r="D41" t="s">
        <v>12</v>
      </c>
      <c r="E41" t="s">
        <v>26</v>
      </c>
      <c r="F41" t="s">
        <v>26</v>
      </c>
      <c r="G41" t="s">
        <v>160</v>
      </c>
      <c r="H41" t="s">
        <v>68</v>
      </c>
      <c r="I41" t="str">
        <f>_xlfn.XLOOKUP(Tabla1[[#This Row],[Dependencia]],Tabla2[Dependencia],Tabla2[Clasificación],"XXX",0)</f>
        <v>Gobierno del estado</v>
      </c>
      <c r="J41" t="str">
        <f>_xlfn.XLOOKUP(Tabla1[[#This Row],[Dependencia]],Tabla3[Dependencia],Tabla3[Nivel],"Otros",0)</f>
        <v>Gabinete</v>
      </c>
    </row>
    <row r="42" spans="1:10" ht="30" x14ac:dyDescent="0.25">
      <c r="A42" s="11">
        <v>46230</v>
      </c>
      <c r="B42" t="s">
        <v>74</v>
      </c>
      <c r="C42" s="5" t="s">
        <v>161</v>
      </c>
      <c r="D42" t="s">
        <v>12</v>
      </c>
      <c r="E42" t="s">
        <v>26</v>
      </c>
      <c r="F42" t="s">
        <v>93</v>
      </c>
      <c r="G42" t="s">
        <v>162</v>
      </c>
      <c r="H42" t="s">
        <v>68</v>
      </c>
      <c r="I42" t="str">
        <f>_xlfn.XLOOKUP(Tabla1[[#This Row],[Dependencia]],Tabla2[Dependencia],Tabla2[Clasificación],"XXX",0)</f>
        <v>Gobierno del estado</v>
      </c>
      <c r="J42" t="str">
        <f>_xlfn.XLOOKUP(Tabla1[[#This Row],[Dependencia]],Tabla3[Dependencia],Tabla3[Nivel],"Otros",0)</f>
        <v>Gabinete</v>
      </c>
    </row>
    <row r="43" spans="1:10" ht="30" x14ac:dyDescent="0.25">
      <c r="A43" s="11">
        <v>46230</v>
      </c>
      <c r="B43" t="s">
        <v>74</v>
      </c>
      <c r="C43" s="5" t="s">
        <v>163</v>
      </c>
      <c r="D43" t="s">
        <v>12</v>
      </c>
      <c r="E43" t="s">
        <v>29</v>
      </c>
      <c r="F43" t="s">
        <v>29</v>
      </c>
      <c r="G43" t="s">
        <v>100</v>
      </c>
      <c r="H43" t="s">
        <v>11</v>
      </c>
      <c r="I43" t="str">
        <f>_xlfn.XLOOKUP(Tabla1[[#This Row],[Dependencia]],Tabla2[Dependencia],Tabla2[Clasificación],"XXX",0)</f>
        <v>Gobierno del estado</v>
      </c>
      <c r="J43" t="str">
        <f>_xlfn.XLOOKUP(Tabla1[[#This Row],[Dependencia]],Tabla3[Dependencia],Tabla3[Nivel],"Otros",0)</f>
        <v>Gabinete</v>
      </c>
    </row>
    <row r="44" spans="1:10" ht="30" x14ac:dyDescent="0.25">
      <c r="A44" s="11">
        <v>46230</v>
      </c>
      <c r="B44" t="s">
        <v>72</v>
      </c>
      <c r="C44" s="5" t="s">
        <v>164</v>
      </c>
      <c r="D44" t="s">
        <v>9</v>
      </c>
      <c r="E44" t="s">
        <v>24</v>
      </c>
      <c r="F44" t="s">
        <v>24</v>
      </c>
      <c r="G44" t="s">
        <v>165</v>
      </c>
      <c r="H44" t="s">
        <v>68</v>
      </c>
      <c r="I44" t="str">
        <f>_xlfn.XLOOKUP(Tabla1[[#This Row],[Dependencia]],Tabla2[Dependencia],Tabla2[Clasificación],"XXX",0)</f>
        <v>Gobierno del estado</v>
      </c>
      <c r="J44" t="str">
        <f>_xlfn.XLOOKUP(Tabla1[[#This Row],[Dependencia]],Tabla3[Dependencia],Tabla3[Nivel],"Otros",0)</f>
        <v>Gobernador</v>
      </c>
    </row>
    <row r="45" spans="1:10" ht="30" x14ac:dyDescent="0.25">
      <c r="A45" s="11">
        <v>46230</v>
      </c>
      <c r="B45" t="s">
        <v>72</v>
      </c>
      <c r="C45" s="5" t="s">
        <v>166</v>
      </c>
      <c r="D45" t="s">
        <v>12</v>
      </c>
      <c r="E45" t="s">
        <v>10</v>
      </c>
      <c r="F45" t="s">
        <v>10</v>
      </c>
      <c r="G45" t="s">
        <v>167</v>
      </c>
      <c r="H45" t="s">
        <v>11</v>
      </c>
      <c r="I45" t="str">
        <f>_xlfn.XLOOKUP(Tabla1[[#This Row],[Dependencia]],Tabla2[Dependencia],Tabla2[Clasificación],"XXX",0)</f>
        <v>Otros</v>
      </c>
      <c r="J45" t="str">
        <f>_xlfn.XLOOKUP(Tabla1[[#This Row],[Dependencia]],Tabla3[Dependencia],Tabla3[Nivel],"Otros",0)</f>
        <v>Otros</v>
      </c>
    </row>
    <row r="46" spans="1:10" ht="30" x14ac:dyDescent="0.25">
      <c r="A46" s="11">
        <v>46230</v>
      </c>
      <c r="B46" t="s">
        <v>72</v>
      </c>
      <c r="C46" s="5" t="s">
        <v>168</v>
      </c>
      <c r="D46" t="s">
        <v>13</v>
      </c>
      <c r="E46" t="s">
        <v>14</v>
      </c>
      <c r="F46" t="s">
        <v>14</v>
      </c>
      <c r="G46" t="s">
        <v>91</v>
      </c>
      <c r="H46" t="s">
        <v>11</v>
      </c>
      <c r="I46" t="str">
        <f>_xlfn.XLOOKUP(Tabla1[[#This Row],[Dependencia]],Tabla2[Dependencia],Tabla2[Clasificación],"XXX",0)</f>
        <v>Presidencia de la República</v>
      </c>
      <c r="J46" t="str">
        <f>_xlfn.XLOOKUP(Tabla1[[#This Row],[Dependencia]],Tabla3[Dependencia],Tabla3[Nivel],"Otros",0)</f>
        <v>Otros</v>
      </c>
    </row>
    <row r="47" spans="1:10" ht="30" x14ac:dyDescent="0.25">
      <c r="A47" s="11">
        <v>46230</v>
      </c>
      <c r="B47" t="s">
        <v>72</v>
      </c>
      <c r="C47" s="5" t="s">
        <v>169</v>
      </c>
      <c r="D47" t="s">
        <v>12</v>
      </c>
      <c r="E47" t="s">
        <v>33</v>
      </c>
      <c r="F47" t="s">
        <v>33</v>
      </c>
      <c r="G47" t="s">
        <v>170</v>
      </c>
      <c r="H47" t="s">
        <v>11</v>
      </c>
      <c r="I47" t="str">
        <f>_xlfn.XLOOKUP(Tabla1[[#This Row],[Dependencia]],Tabla2[Dependencia],Tabla2[Clasificación],"XXX",0)</f>
        <v>Otros</v>
      </c>
      <c r="J47" t="str">
        <f>_xlfn.XLOOKUP(Tabla1[[#This Row],[Dependencia]],Tabla3[Dependencia],Tabla3[Nivel],"Otros",0)</f>
        <v>Otros</v>
      </c>
    </row>
    <row r="48" spans="1:10" ht="30" x14ac:dyDescent="0.25">
      <c r="A48" s="11">
        <v>46230</v>
      </c>
      <c r="B48" t="s">
        <v>72</v>
      </c>
      <c r="C48" s="5" t="s">
        <v>171</v>
      </c>
      <c r="D48" t="s">
        <v>12</v>
      </c>
      <c r="E48" t="s">
        <v>10</v>
      </c>
      <c r="F48" t="s">
        <v>10</v>
      </c>
      <c r="G48" t="s">
        <v>172</v>
      </c>
      <c r="H48" t="s">
        <v>11</v>
      </c>
      <c r="I48" t="str">
        <f>_xlfn.XLOOKUP(Tabla1[[#This Row],[Dependencia]],Tabla2[Dependencia],Tabla2[Clasificación],"XXX",0)</f>
        <v>Otros</v>
      </c>
      <c r="J48" t="str">
        <f>_xlfn.XLOOKUP(Tabla1[[#This Row],[Dependencia]],Tabla3[Dependencia],Tabla3[Nivel],"Otros",0)</f>
        <v>Otros</v>
      </c>
    </row>
    <row r="49" spans="1:10" x14ac:dyDescent="0.25">
      <c r="A49" s="11">
        <v>46230</v>
      </c>
      <c r="B49" t="s">
        <v>80</v>
      </c>
      <c r="C49" s="5" t="s">
        <v>173</v>
      </c>
      <c r="D49" t="s">
        <v>82</v>
      </c>
      <c r="E49" t="s">
        <v>10</v>
      </c>
      <c r="F49" t="s">
        <v>10</v>
      </c>
      <c r="G49" t="s">
        <v>84</v>
      </c>
      <c r="H49" t="s">
        <v>11</v>
      </c>
      <c r="I49" t="str">
        <f>_xlfn.XLOOKUP(Tabla1[[#This Row],[Dependencia]],Tabla2[Dependencia],Tabla2[Clasificación],"XXX",0)</f>
        <v>Otros</v>
      </c>
      <c r="J49" t="str">
        <f>_xlfn.XLOOKUP(Tabla1[[#This Row],[Dependencia]],Tabla3[Dependencia],Tabla3[Nivel],"Otros",0)</f>
        <v>Otros</v>
      </c>
    </row>
    <row r="50" spans="1:10" ht="30" x14ac:dyDescent="0.25">
      <c r="A50" s="11">
        <v>46230</v>
      </c>
      <c r="B50" t="s">
        <v>80</v>
      </c>
      <c r="C50" s="5" t="s">
        <v>174</v>
      </c>
      <c r="D50" t="s">
        <v>12</v>
      </c>
      <c r="E50" t="s">
        <v>16</v>
      </c>
      <c r="F50" t="s">
        <v>83</v>
      </c>
      <c r="G50" t="s">
        <v>92</v>
      </c>
      <c r="H50" t="s">
        <v>11</v>
      </c>
      <c r="I50" t="str">
        <f>_xlfn.XLOOKUP(Tabla1[[#This Row],[Dependencia]],Tabla2[Dependencia],Tabla2[Clasificación],"XXX",0)</f>
        <v>Alcaldías</v>
      </c>
      <c r="J50" t="str">
        <f>_xlfn.XLOOKUP(Tabla1[[#This Row],[Dependencia]],Tabla3[Dependencia],Tabla3[Nivel],"Otros",0)</f>
        <v>Otros</v>
      </c>
    </row>
    <row r="51" spans="1:10" ht="45" x14ac:dyDescent="0.25">
      <c r="A51" s="11">
        <v>46230</v>
      </c>
      <c r="B51" t="s">
        <v>80</v>
      </c>
      <c r="C51" s="5" t="s">
        <v>175</v>
      </c>
      <c r="D51" t="s">
        <v>13</v>
      </c>
      <c r="E51" t="s">
        <v>24</v>
      </c>
      <c r="F51" t="s">
        <v>24</v>
      </c>
      <c r="G51" t="s">
        <v>176</v>
      </c>
      <c r="H51" t="s">
        <v>68</v>
      </c>
      <c r="I51" t="str">
        <f>_xlfn.XLOOKUP(Tabla1[[#This Row],[Dependencia]],Tabla2[Dependencia],Tabla2[Clasificación],"XXX",0)</f>
        <v>Gobierno del estado</v>
      </c>
      <c r="J51" t="str">
        <f>_xlfn.XLOOKUP(Tabla1[[#This Row],[Dependencia]],Tabla3[Dependencia],Tabla3[Nivel],"Otros",0)</f>
        <v>Gobernador</v>
      </c>
    </row>
    <row r="52" spans="1:10" ht="30" x14ac:dyDescent="0.25">
      <c r="A52" s="11">
        <v>46230</v>
      </c>
      <c r="B52" t="s">
        <v>80</v>
      </c>
      <c r="C52" s="5" t="s">
        <v>177</v>
      </c>
      <c r="D52" t="s">
        <v>12</v>
      </c>
      <c r="E52" t="s">
        <v>24</v>
      </c>
      <c r="F52" t="s">
        <v>24</v>
      </c>
      <c r="G52" t="s">
        <v>178</v>
      </c>
      <c r="H52" t="s">
        <v>68</v>
      </c>
      <c r="I52" t="str">
        <f>_xlfn.XLOOKUP(Tabla1[[#This Row],[Dependencia]],Tabla2[Dependencia],Tabla2[Clasificación],"XXX",0)</f>
        <v>Gobierno del estado</v>
      </c>
      <c r="J52" t="str">
        <f>_xlfn.XLOOKUP(Tabla1[[#This Row],[Dependencia]],Tabla3[Dependencia],Tabla3[Nivel],"Otros",0)</f>
        <v>Gobernador</v>
      </c>
    </row>
    <row r="53" spans="1:10" ht="30" x14ac:dyDescent="0.25">
      <c r="A53" s="11">
        <v>46230</v>
      </c>
      <c r="B53" t="s">
        <v>80</v>
      </c>
      <c r="C53" s="5" t="s">
        <v>179</v>
      </c>
      <c r="D53" t="s">
        <v>12</v>
      </c>
      <c r="E53" t="s">
        <v>24</v>
      </c>
      <c r="F53" t="s">
        <v>24</v>
      </c>
      <c r="G53" t="s">
        <v>158</v>
      </c>
      <c r="H53" t="s">
        <v>68</v>
      </c>
      <c r="I53" t="str">
        <f>_xlfn.XLOOKUP(Tabla1[[#This Row],[Dependencia]],Tabla2[Dependencia],Tabla2[Clasificación],"XXX",0)</f>
        <v>Gobierno del estado</v>
      </c>
      <c r="J53" t="str">
        <f>_xlfn.XLOOKUP(Tabla1[[#This Row],[Dependencia]],Tabla3[Dependencia],Tabla3[Nivel],"Otros",0)</f>
        <v>Gobernador</v>
      </c>
    </row>
    <row r="54" spans="1:10" x14ac:dyDescent="0.25">
      <c r="A54" s="11">
        <v>46230</v>
      </c>
      <c r="B54" t="s">
        <v>80</v>
      </c>
      <c r="C54" s="5" t="s">
        <v>180</v>
      </c>
      <c r="D54" t="s">
        <v>12</v>
      </c>
      <c r="E54" t="s">
        <v>16</v>
      </c>
      <c r="F54" t="s">
        <v>16</v>
      </c>
      <c r="G54" t="s">
        <v>181</v>
      </c>
      <c r="H54" t="s">
        <v>11</v>
      </c>
      <c r="I54" t="str">
        <f>_xlfn.XLOOKUP(Tabla1[[#This Row],[Dependencia]],Tabla2[Dependencia],Tabla2[Clasificación],"XXX",0)</f>
        <v>Alcaldías</v>
      </c>
      <c r="J54" t="str">
        <f>_xlfn.XLOOKUP(Tabla1[[#This Row],[Dependencia]],Tabla3[Dependencia],Tabla3[Nivel],"Otros",0)</f>
        <v>Otros</v>
      </c>
    </row>
    <row r="55" spans="1:10" x14ac:dyDescent="0.25">
      <c r="A55" s="11">
        <v>46230</v>
      </c>
      <c r="B55" t="s">
        <v>80</v>
      </c>
      <c r="C55" s="5" t="s">
        <v>182</v>
      </c>
      <c r="D55" t="s">
        <v>12</v>
      </c>
      <c r="E55" t="s">
        <v>16</v>
      </c>
      <c r="F55" t="s">
        <v>16</v>
      </c>
      <c r="G55" t="s">
        <v>183</v>
      </c>
      <c r="H55" t="s">
        <v>11</v>
      </c>
      <c r="I55" t="str">
        <f>_xlfn.XLOOKUP(Tabla1[[#This Row],[Dependencia]],Tabla2[Dependencia],Tabla2[Clasificación],"XXX",0)</f>
        <v>Alcaldías</v>
      </c>
      <c r="J55" t="str">
        <f>_xlfn.XLOOKUP(Tabla1[[#This Row],[Dependencia]],Tabla3[Dependencia],Tabla3[Nivel],"Otros",0)</f>
        <v>Otros</v>
      </c>
    </row>
    <row r="56" spans="1:10" ht="45" x14ac:dyDescent="0.25">
      <c r="A56" s="11">
        <v>46230</v>
      </c>
      <c r="B56" t="s">
        <v>80</v>
      </c>
      <c r="C56" s="5" t="s">
        <v>184</v>
      </c>
      <c r="D56" t="s">
        <v>12</v>
      </c>
      <c r="E56" t="s">
        <v>16</v>
      </c>
      <c r="F56" t="s">
        <v>16</v>
      </c>
      <c r="G56" t="s">
        <v>185</v>
      </c>
      <c r="H56" t="s">
        <v>11</v>
      </c>
      <c r="I56" t="str">
        <f>_xlfn.XLOOKUP(Tabla1[[#This Row],[Dependencia]],Tabla2[Dependencia],Tabla2[Clasificación],"XXX",0)</f>
        <v>Alcaldías</v>
      </c>
      <c r="J56" t="str">
        <f>_xlfn.XLOOKUP(Tabla1[[#This Row],[Dependencia]],Tabla3[Dependencia],Tabla3[Nivel],"Otros",0)</f>
        <v>Otros</v>
      </c>
    </row>
    <row r="57" spans="1:10" x14ac:dyDescent="0.25">
      <c r="A57" s="11">
        <v>46230</v>
      </c>
      <c r="B57" t="s">
        <v>80</v>
      </c>
      <c r="C57" s="5" t="s">
        <v>186</v>
      </c>
      <c r="D57" t="s">
        <v>187</v>
      </c>
      <c r="E57" t="s">
        <v>22</v>
      </c>
      <c r="F57" t="s">
        <v>22</v>
      </c>
      <c r="G57" t="s">
        <v>188</v>
      </c>
      <c r="H57" t="s">
        <v>11</v>
      </c>
      <c r="I57" t="str">
        <f>_xlfn.XLOOKUP(Tabla1[[#This Row],[Dependencia]],Tabla2[Dependencia],Tabla2[Clasificación],"XXX",0)</f>
        <v>Gobierno del estado</v>
      </c>
      <c r="J57" t="str">
        <f>_xlfn.XLOOKUP(Tabla1[[#This Row],[Dependencia]],Tabla3[Dependencia],Tabla3[Nivel],"Otros",0)</f>
        <v>Gabinete</v>
      </c>
    </row>
    <row r="58" spans="1:10" ht="30" x14ac:dyDescent="0.25">
      <c r="A58" s="11">
        <v>46230</v>
      </c>
      <c r="B58" t="s">
        <v>78</v>
      </c>
      <c r="C58" s="5" t="s">
        <v>174</v>
      </c>
      <c r="D58" t="s">
        <v>13</v>
      </c>
      <c r="E58" t="s">
        <v>16</v>
      </c>
      <c r="F58" t="s">
        <v>16</v>
      </c>
      <c r="G58" t="s">
        <v>92</v>
      </c>
      <c r="H58" t="s">
        <v>11</v>
      </c>
      <c r="I58" t="str">
        <f>_xlfn.XLOOKUP(Tabla1[[#This Row],[Dependencia]],Tabla2[Dependencia],Tabla2[Clasificación],"XXX",0)</f>
        <v>Alcaldías</v>
      </c>
      <c r="J58" t="str">
        <f>_xlfn.XLOOKUP(Tabla1[[#This Row],[Dependencia]],Tabla3[Dependencia],Tabla3[Nivel],"Otros",0)</f>
        <v>Otros</v>
      </c>
    </row>
    <row r="59" spans="1:10" x14ac:dyDescent="0.25">
      <c r="A59" s="11">
        <v>46230</v>
      </c>
      <c r="B59" t="s">
        <v>78</v>
      </c>
      <c r="C59" s="5" t="s">
        <v>189</v>
      </c>
      <c r="D59" t="s">
        <v>12</v>
      </c>
      <c r="E59" t="s">
        <v>10</v>
      </c>
      <c r="F59" t="s">
        <v>10</v>
      </c>
      <c r="G59" t="s">
        <v>84</v>
      </c>
      <c r="H59" t="s">
        <v>11</v>
      </c>
      <c r="I59" t="str">
        <f>_xlfn.XLOOKUP(Tabla1[[#This Row],[Dependencia]],Tabla2[Dependencia],Tabla2[Clasificación],"XXX",0)</f>
        <v>Otros</v>
      </c>
      <c r="J59" t="str">
        <f>_xlfn.XLOOKUP(Tabla1[[#This Row],[Dependencia]],Tabla3[Dependencia],Tabla3[Nivel],"Otros",0)</f>
        <v>Otros</v>
      </c>
    </row>
    <row r="60" spans="1:10" ht="30" x14ac:dyDescent="0.25">
      <c r="A60" s="11">
        <v>46230</v>
      </c>
      <c r="B60" t="s">
        <v>78</v>
      </c>
      <c r="C60" s="5" t="s">
        <v>190</v>
      </c>
      <c r="D60" t="s">
        <v>12</v>
      </c>
      <c r="E60" t="s">
        <v>26</v>
      </c>
      <c r="F60" t="s">
        <v>26</v>
      </c>
      <c r="G60" t="s">
        <v>160</v>
      </c>
      <c r="H60" t="s">
        <v>68</v>
      </c>
      <c r="I60" t="str">
        <f>_xlfn.XLOOKUP(Tabla1[[#This Row],[Dependencia]],Tabla2[Dependencia],Tabla2[Clasificación],"XXX",0)</f>
        <v>Gobierno del estado</v>
      </c>
      <c r="J60" t="str">
        <f>_xlfn.XLOOKUP(Tabla1[[#This Row],[Dependencia]],Tabla3[Dependencia],Tabla3[Nivel],"Otros",0)</f>
        <v>Gabinete</v>
      </c>
    </row>
    <row r="61" spans="1:10" ht="30" x14ac:dyDescent="0.25">
      <c r="A61" s="11">
        <v>46230</v>
      </c>
      <c r="B61" t="s">
        <v>78</v>
      </c>
      <c r="C61" s="5" t="s">
        <v>191</v>
      </c>
      <c r="D61" t="s">
        <v>12</v>
      </c>
      <c r="E61" t="s">
        <v>22</v>
      </c>
      <c r="F61" t="s">
        <v>22</v>
      </c>
      <c r="G61" t="s">
        <v>130</v>
      </c>
      <c r="H61" t="s">
        <v>68</v>
      </c>
      <c r="I61" t="str">
        <f>_xlfn.XLOOKUP(Tabla1[[#This Row],[Dependencia]],Tabla2[Dependencia],Tabla2[Clasificación],"XXX",0)</f>
        <v>Gobierno del estado</v>
      </c>
      <c r="J61" t="str">
        <f>_xlfn.XLOOKUP(Tabla1[[#This Row],[Dependencia]],Tabla3[Dependencia],Tabla3[Nivel],"Otros",0)</f>
        <v>Gabinete</v>
      </c>
    </row>
    <row r="62" spans="1:10" ht="30" x14ac:dyDescent="0.25">
      <c r="A62" s="11">
        <v>46230</v>
      </c>
      <c r="B62" t="s">
        <v>78</v>
      </c>
      <c r="C62" s="5" t="s">
        <v>192</v>
      </c>
      <c r="D62" t="s">
        <v>12</v>
      </c>
      <c r="E62" t="s">
        <v>10</v>
      </c>
      <c r="F62" t="s">
        <v>10</v>
      </c>
      <c r="G62" t="s">
        <v>79</v>
      </c>
      <c r="H62" t="s">
        <v>11</v>
      </c>
      <c r="I62" t="str">
        <f>_xlfn.XLOOKUP(Tabla1[[#This Row],[Dependencia]],Tabla2[Dependencia],Tabla2[Clasificación],"XXX",0)</f>
        <v>Otros</v>
      </c>
      <c r="J62" t="str">
        <f>_xlfn.XLOOKUP(Tabla1[[#This Row],[Dependencia]],Tabla3[Dependencia],Tabla3[Nivel],"Otros",0)</f>
        <v>Otros</v>
      </c>
    </row>
    <row r="63" spans="1:10" x14ac:dyDescent="0.25">
      <c r="A63" s="11">
        <v>46230</v>
      </c>
      <c r="B63" t="s">
        <v>78</v>
      </c>
      <c r="C63" s="5" t="s">
        <v>193</v>
      </c>
      <c r="D63" t="s">
        <v>187</v>
      </c>
      <c r="E63" t="s">
        <v>54</v>
      </c>
      <c r="F63" t="s">
        <v>54</v>
      </c>
      <c r="G63" t="s">
        <v>194</v>
      </c>
      <c r="H63" t="s">
        <v>11</v>
      </c>
      <c r="I63" t="str">
        <f>_xlfn.XLOOKUP(Tabla1[[#This Row],[Dependencia]],Tabla2[Dependencia],Tabla2[Clasificación],"XXX",0)</f>
        <v>Gobierno del estado</v>
      </c>
      <c r="J63" t="str">
        <f>_xlfn.XLOOKUP(Tabla1[[#This Row],[Dependencia]],Tabla3[Dependencia],Tabla3[Nivel],"Otros",0)</f>
        <v>Gabinete</v>
      </c>
    </row>
    <row r="64" spans="1:10" x14ac:dyDescent="0.25">
      <c r="A64" s="11">
        <v>46230</v>
      </c>
      <c r="B64" t="s">
        <v>78</v>
      </c>
      <c r="C64" s="5" t="s">
        <v>195</v>
      </c>
      <c r="D64" t="s">
        <v>187</v>
      </c>
      <c r="E64" t="s">
        <v>16</v>
      </c>
      <c r="F64" t="s">
        <v>16</v>
      </c>
      <c r="G64" t="s">
        <v>196</v>
      </c>
      <c r="H64" t="s">
        <v>11</v>
      </c>
      <c r="I64" t="str">
        <f>_xlfn.XLOOKUP(Tabla1[[#This Row],[Dependencia]],Tabla2[Dependencia],Tabla2[Clasificación],"XXX",0)</f>
        <v>Alcaldías</v>
      </c>
      <c r="J64" t="str">
        <f>_xlfn.XLOOKUP(Tabla1[[#This Row],[Dependencia]],Tabla3[Dependencia],Tabla3[Nivel],"Otros",0)</f>
        <v>Otros</v>
      </c>
    </row>
    <row r="65" spans="1:10" x14ac:dyDescent="0.25">
      <c r="A65" s="11">
        <v>46230</v>
      </c>
      <c r="B65" t="s">
        <v>88</v>
      </c>
      <c r="C65" s="5" t="s">
        <v>197</v>
      </c>
      <c r="D65" t="s">
        <v>13</v>
      </c>
      <c r="E65" t="s">
        <v>33</v>
      </c>
      <c r="F65" t="s">
        <v>33</v>
      </c>
      <c r="G65" t="s">
        <v>95</v>
      </c>
      <c r="H65" t="s">
        <v>11</v>
      </c>
      <c r="I65" t="str">
        <f>_xlfn.XLOOKUP(Tabla1[[#This Row],[Dependencia]],Tabla2[Dependencia],Tabla2[Clasificación],"XXX",0)</f>
        <v>Otros</v>
      </c>
      <c r="J65" t="str">
        <f>_xlfn.XLOOKUP(Tabla1[[#This Row],[Dependencia]],Tabla3[Dependencia],Tabla3[Nivel],"Otros",0)</f>
        <v>Otros</v>
      </c>
    </row>
    <row r="66" spans="1:10" x14ac:dyDescent="0.25">
      <c r="A66" s="11">
        <v>46230</v>
      </c>
      <c r="B66" t="s">
        <v>88</v>
      </c>
      <c r="C66" s="5" t="s">
        <v>198</v>
      </c>
      <c r="D66" t="s">
        <v>12</v>
      </c>
      <c r="E66" t="s">
        <v>10</v>
      </c>
      <c r="F66" t="s">
        <v>10</v>
      </c>
      <c r="G66" t="s">
        <v>81</v>
      </c>
      <c r="H66" t="s">
        <v>73</v>
      </c>
      <c r="I66" t="str">
        <f>_xlfn.XLOOKUP(Tabla1[[#This Row],[Dependencia]],Tabla2[Dependencia],Tabla2[Clasificación],"XXX",0)</f>
        <v>Otros</v>
      </c>
      <c r="J66" t="str">
        <f>_xlfn.XLOOKUP(Tabla1[[#This Row],[Dependencia]],Tabla3[Dependencia],Tabla3[Nivel],"Otros",0)</f>
        <v>Otros</v>
      </c>
    </row>
    <row r="67" spans="1:10" ht="75" x14ac:dyDescent="0.25">
      <c r="A67" s="11">
        <v>46230</v>
      </c>
      <c r="B67" t="s">
        <v>88</v>
      </c>
      <c r="C67" s="5" t="s">
        <v>199</v>
      </c>
      <c r="D67" t="s">
        <v>200</v>
      </c>
      <c r="E67" t="s">
        <v>10</v>
      </c>
      <c r="F67" t="s">
        <v>10</v>
      </c>
      <c r="G67" t="s">
        <v>79</v>
      </c>
      <c r="H67" t="s">
        <v>73</v>
      </c>
      <c r="I67" t="str">
        <f>_xlfn.XLOOKUP(Tabla1[[#This Row],[Dependencia]],Tabla2[Dependencia],Tabla2[Clasificación],"XXX",0)</f>
        <v>Otros</v>
      </c>
      <c r="J67" t="str">
        <f>_xlfn.XLOOKUP(Tabla1[[#This Row],[Dependencia]],Tabla3[Dependencia],Tabla3[Nivel],"Otros",0)</f>
        <v>Otros</v>
      </c>
    </row>
    <row r="68" spans="1:10" ht="30" x14ac:dyDescent="0.25">
      <c r="A68" s="11">
        <v>46230</v>
      </c>
      <c r="B68" t="s">
        <v>88</v>
      </c>
      <c r="C68" s="5" t="s">
        <v>201</v>
      </c>
      <c r="D68" t="s">
        <v>12</v>
      </c>
      <c r="E68" t="s">
        <v>24</v>
      </c>
      <c r="F68" t="s">
        <v>24</v>
      </c>
      <c r="G68" t="s">
        <v>202</v>
      </c>
      <c r="H68" t="s">
        <v>68</v>
      </c>
      <c r="I68" t="str">
        <f>_xlfn.XLOOKUP(Tabla1[[#This Row],[Dependencia]],Tabla2[Dependencia],Tabla2[Clasificación],"XXX",0)</f>
        <v>Gobierno del estado</v>
      </c>
      <c r="J68" t="str">
        <f>_xlfn.XLOOKUP(Tabla1[[#This Row],[Dependencia]],Tabla3[Dependencia],Tabla3[Nivel],"Otros",0)</f>
        <v>Gobernador</v>
      </c>
    </row>
    <row r="69" spans="1:10" ht="30" x14ac:dyDescent="0.25">
      <c r="A69" s="11">
        <v>46230</v>
      </c>
      <c r="B69" t="s">
        <v>88</v>
      </c>
      <c r="C69" s="5" t="s">
        <v>203</v>
      </c>
      <c r="D69" t="s">
        <v>12</v>
      </c>
      <c r="E69" t="s">
        <v>10</v>
      </c>
      <c r="F69" t="s">
        <v>10</v>
      </c>
      <c r="G69" t="s">
        <v>97</v>
      </c>
      <c r="H69" t="s">
        <v>11</v>
      </c>
      <c r="I69" t="str">
        <f>_xlfn.XLOOKUP(Tabla1[[#This Row],[Dependencia]],Tabla2[Dependencia],Tabla2[Clasificación],"XXX",0)</f>
        <v>Otros</v>
      </c>
      <c r="J69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>
      <selection activeCell="D4" sqref="D4"/>
    </sheetView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30</v>
      </c>
      <c r="D1" s="7" t="s">
        <v>4</v>
      </c>
      <c r="E1" t="s">
        <v>65</v>
      </c>
    </row>
    <row r="2" spans="1:5" x14ac:dyDescent="0.25">
      <c r="A2" t="s">
        <v>61</v>
      </c>
      <c r="B2" t="s">
        <v>62</v>
      </c>
      <c r="D2" s="9" t="s">
        <v>19</v>
      </c>
      <c r="E2" t="s">
        <v>66</v>
      </c>
    </row>
    <row r="3" spans="1:5" x14ac:dyDescent="0.25">
      <c r="A3" t="s">
        <v>16</v>
      </c>
      <c r="B3" t="s">
        <v>31</v>
      </c>
      <c r="D3" s="8" t="s">
        <v>71</v>
      </c>
      <c r="E3" t="s">
        <v>66</v>
      </c>
    </row>
    <row r="4" spans="1:5" x14ac:dyDescent="0.25">
      <c r="A4" t="s">
        <v>19</v>
      </c>
      <c r="B4" t="s">
        <v>32</v>
      </c>
      <c r="D4" s="8" t="s">
        <v>34</v>
      </c>
      <c r="E4" t="s">
        <v>66</v>
      </c>
    </row>
    <row r="5" spans="1:5" x14ac:dyDescent="0.25">
      <c r="A5" t="s">
        <v>60</v>
      </c>
      <c r="B5" t="s">
        <v>10</v>
      </c>
      <c r="D5" s="9" t="s">
        <v>28</v>
      </c>
      <c r="E5" t="s">
        <v>66</v>
      </c>
    </row>
    <row r="6" spans="1:5" x14ac:dyDescent="0.25">
      <c r="A6" t="s">
        <v>71</v>
      </c>
      <c r="B6" t="s">
        <v>32</v>
      </c>
      <c r="D6" s="9" t="s">
        <v>35</v>
      </c>
      <c r="E6" t="s">
        <v>66</v>
      </c>
    </row>
    <row r="7" spans="1:5" x14ac:dyDescent="0.25">
      <c r="A7" t="s">
        <v>33</v>
      </c>
      <c r="B7" t="s">
        <v>10</v>
      </c>
      <c r="D7" s="8" t="s">
        <v>36</v>
      </c>
      <c r="E7" t="s">
        <v>66</v>
      </c>
    </row>
    <row r="8" spans="1:5" x14ac:dyDescent="0.25">
      <c r="A8" t="s">
        <v>34</v>
      </c>
      <c r="B8" t="s">
        <v>32</v>
      </c>
      <c r="D8" s="8" t="s">
        <v>36</v>
      </c>
      <c r="E8" t="s">
        <v>66</v>
      </c>
    </row>
    <row r="9" spans="1:5" x14ac:dyDescent="0.25">
      <c r="A9" t="s">
        <v>28</v>
      </c>
      <c r="B9" t="s">
        <v>32</v>
      </c>
      <c r="D9" s="8" t="s">
        <v>37</v>
      </c>
      <c r="E9" t="s">
        <v>66</v>
      </c>
    </row>
    <row r="10" spans="1:5" x14ac:dyDescent="0.25">
      <c r="A10" t="s">
        <v>25</v>
      </c>
      <c r="B10" t="s">
        <v>10</v>
      </c>
      <c r="D10" s="9" t="s">
        <v>24</v>
      </c>
      <c r="E10" t="s">
        <v>24</v>
      </c>
    </row>
    <row r="11" spans="1:5" x14ac:dyDescent="0.25">
      <c r="A11" t="s">
        <v>35</v>
      </c>
      <c r="B11" t="s">
        <v>32</v>
      </c>
      <c r="D11" s="8" t="s">
        <v>38</v>
      </c>
      <c r="E11" t="s">
        <v>66</v>
      </c>
    </row>
    <row r="12" spans="1:5" x14ac:dyDescent="0.25">
      <c r="A12" t="s">
        <v>36</v>
      </c>
      <c r="B12" t="s">
        <v>32</v>
      </c>
      <c r="D12" s="9" t="s">
        <v>39</v>
      </c>
      <c r="E12" t="s">
        <v>66</v>
      </c>
    </row>
    <row r="13" spans="1:5" x14ac:dyDescent="0.25">
      <c r="A13" t="s">
        <v>36</v>
      </c>
      <c r="B13" t="s">
        <v>32</v>
      </c>
      <c r="D13" s="9" t="s">
        <v>39</v>
      </c>
      <c r="E13" t="s">
        <v>66</v>
      </c>
    </row>
    <row r="14" spans="1:5" x14ac:dyDescent="0.25">
      <c r="A14" t="s">
        <v>63</v>
      </c>
      <c r="B14" t="s">
        <v>44</v>
      </c>
      <c r="D14" s="8" t="s">
        <v>21</v>
      </c>
      <c r="E14" t="s">
        <v>66</v>
      </c>
    </row>
    <row r="15" spans="1:5" x14ac:dyDescent="0.25">
      <c r="A15" t="s">
        <v>37</v>
      </c>
      <c r="B15" t="s">
        <v>32</v>
      </c>
      <c r="D15" s="9" t="s">
        <v>17</v>
      </c>
      <c r="E15" t="s">
        <v>66</v>
      </c>
    </row>
    <row r="16" spans="1:5" x14ac:dyDescent="0.25">
      <c r="A16" t="s">
        <v>24</v>
      </c>
      <c r="B16" t="s">
        <v>32</v>
      </c>
      <c r="D16" s="8" t="s">
        <v>47</v>
      </c>
      <c r="E16" t="s">
        <v>66</v>
      </c>
    </row>
    <row r="17" spans="1:5" x14ac:dyDescent="0.25">
      <c r="A17" t="s">
        <v>38</v>
      </c>
      <c r="B17" t="s">
        <v>32</v>
      </c>
      <c r="D17" s="8" t="s">
        <v>53</v>
      </c>
      <c r="E17" t="s">
        <v>66</v>
      </c>
    </row>
    <row r="18" spans="1:5" x14ac:dyDescent="0.25">
      <c r="A18" t="s">
        <v>39</v>
      </c>
      <c r="B18" t="s">
        <v>32</v>
      </c>
      <c r="D18" s="8" t="s">
        <v>54</v>
      </c>
      <c r="E18" t="s">
        <v>66</v>
      </c>
    </row>
    <row r="19" spans="1:5" x14ac:dyDescent="0.25">
      <c r="A19" t="s">
        <v>40</v>
      </c>
      <c r="B19" t="s">
        <v>10</v>
      </c>
      <c r="D19" s="8" t="s">
        <v>23</v>
      </c>
      <c r="E19" t="s">
        <v>66</v>
      </c>
    </row>
    <row r="20" spans="1:5" x14ac:dyDescent="0.25">
      <c r="A20" t="s">
        <v>41</v>
      </c>
      <c r="B20" t="s">
        <v>42</v>
      </c>
      <c r="D20" s="9" t="s">
        <v>20</v>
      </c>
      <c r="E20" t="s">
        <v>66</v>
      </c>
    </row>
    <row r="21" spans="1:5" x14ac:dyDescent="0.25">
      <c r="A21" t="s">
        <v>43</v>
      </c>
      <c r="B21" t="s">
        <v>44</v>
      </c>
      <c r="D21" s="8" t="s">
        <v>27</v>
      </c>
      <c r="E21" t="s">
        <v>66</v>
      </c>
    </row>
    <row r="22" spans="1:5" x14ac:dyDescent="0.25">
      <c r="A22" t="s">
        <v>18</v>
      </c>
      <c r="B22" t="s">
        <v>44</v>
      </c>
      <c r="D22" s="9" t="s">
        <v>26</v>
      </c>
      <c r="E22" t="s">
        <v>66</v>
      </c>
    </row>
    <row r="23" spans="1:5" x14ac:dyDescent="0.25">
      <c r="A23" t="s">
        <v>21</v>
      </c>
      <c r="B23" t="s">
        <v>32</v>
      </c>
      <c r="D23" s="8" t="s">
        <v>55</v>
      </c>
      <c r="E23" t="s">
        <v>66</v>
      </c>
    </row>
    <row r="24" spans="1:5" x14ac:dyDescent="0.25">
      <c r="A24" t="s">
        <v>10</v>
      </c>
      <c r="B24" t="s">
        <v>10</v>
      </c>
      <c r="D24" s="8" t="s">
        <v>15</v>
      </c>
      <c r="E24" t="s">
        <v>66</v>
      </c>
    </row>
    <row r="25" spans="1:5" x14ac:dyDescent="0.25">
      <c r="A25" t="s">
        <v>45</v>
      </c>
      <c r="B25" t="s">
        <v>44</v>
      </c>
      <c r="D25" s="9" t="s">
        <v>22</v>
      </c>
      <c r="E25" t="s">
        <v>66</v>
      </c>
    </row>
    <row r="26" spans="1:5" x14ac:dyDescent="0.25">
      <c r="A26" t="s">
        <v>46</v>
      </c>
      <c r="B26" t="s">
        <v>44</v>
      </c>
      <c r="D26" s="8" t="s">
        <v>56</v>
      </c>
      <c r="E26" t="s">
        <v>66</v>
      </c>
    </row>
    <row r="27" spans="1:5" x14ac:dyDescent="0.25">
      <c r="A27" t="s">
        <v>64</v>
      </c>
      <c r="B27" t="s">
        <v>44</v>
      </c>
      <c r="D27" s="10" t="s">
        <v>29</v>
      </c>
      <c r="E27" t="s">
        <v>66</v>
      </c>
    </row>
    <row r="28" spans="1:5" x14ac:dyDescent="0.25">
      <c r="A28" t="s">
        <v>17</v>
      </c>
      <c r="B28" t="s">
        <v>32</v>
      </c>
    </row>
    <row r="29" spans="1:5" x14ac:dyDescent="0.25">
      <c r="A29" t="s">
        <v>47</v>
      </c>
      <c r="B29" t="s">
        <v>32</v>
      </c>
    </row>
    <row r="30" spans="1:5" x14ac:dyDescent="0.25">
      <c r="A30" t="s">
        <v>48</v>
      </c>
      <c r="B30" t="s">
        <v>44</v>
      </c>
    </row>
    <row r="31" spans="1:5" x14ac:dyDescent="0.25">
      <c r="A31" t="s">
        <v>14</v>
      </c>
      <c r="B31" t="s">
        <v>49</v>
      </c>
    </row>
    <row r="32" spans="1:5" x14ac:dyDescent="0.25">
      <c r="A32" t="s">
        <v>50</v>
      </c>
      <c r="B32" t="s">
        <v>44</v>
      </c>
    </row>
    <row r="33" spans="1:2" x14ac:dyDescent="0.25">
      <c r="A33" t="s">
        <v>51</v>
      </c>
      <c r="B33" t="s">
        <v>44</v>
      </c>
    </row>
    <row r="34" spans="1:2" x14ac:dyDescent="0.25">
      <c r="A34" t="s">
        <v>52</v>
      </c>
      <c r="B34" t="s">
        <v>44</v>
      </c>
    </row>
    <row r="35" spans="1:2" x14ac:dyDescent="0.25">
      <c r="A35" t="s">
        <v>53</v>
      </c>
      <c r="B35" t="s">
        <v>32</v>
      </c>
    </row>
    <row r="36" spans="1:2" x14ac:dyDescent="0.25">
      <c r="A36" t="s">
        <v>54</v>
      </c>
      <c r="B36" t="s">
        <v>32</v>
      </c>
    </row>
    <row r="37" spans="1:2" x14ac:dyDescent="0.25">
      <c r="A37" t="s">
        <v>23</v>
      </c>
      <c r="B37" t="s">
        <v>32</v>
      </c>
    </row>
    <row r="38" spans="1:2" x14ac:dyDescent="0.25">
      <c r="A38" t="s">
        <v>20</v>
      </c>
      <c r="B38" t="s">
        <v>32</v>
      </c>
    </row>
    <row r="39" spans="1:2" x14ac:dyDescent="0.25">
      <c r="A39" t="s">
        <v>27</v>
      </c>
      <c r="B39" t="s">
        <v>32</v>
      </c>
    </row>
    <row r="40" spans="1:2" x14ac:dyDescent="0.25">
      <c r="A40" t="s">
        <v>26</v>
      </c>
      <c r="B40" t="s">
        <v>32</v>
      </c>
    </row>
    <row r="41" spans="1:2" x14ac:dyDescent="0.25">
      <c r="A41" t="s">
        <v>55</v>
      </c>
      <c r="B41" t="s">
        <v>32</v>
      </c>
    </row>
    <row r="42" spans="1:2" x14ac:dyDescent="0.25">
      <c r="A42" t="s">
        <v>15</v>
      </c>
      <c r="B42" t="s">
        <v>32</v>
      </c>
    </row>
    <row r="43" spans="1:2" x14ac:dyDescent="0.25">
      <c r="A43" t="s">
        <v>22</v>
      </c>
      <c r="B43" t="s">
        <v>32</v>
      </c>
    </row>
    <row r="44" spans="1:2" x14ac:dyDescent="0.25">
      <c r="A44" t="s">
        <v>56</v>
      </c>
      <c r="B44" t="s">
        <v>32</v>
      </c>
    </row>
    <row r="45" spans="1:2" x14ac:dyDescent="0.25">
      <c r="A45" t="s">
        <v>57</v>
      </c>
      <c r="B45" t="s">
        <v>10</v>
      </c>
    </row>
    <row r="46" spans="1:2" x14ac:dyDescent="0.25">
      <c r="A46" t="s">
        <v>58</v>
      </c>
      <c r="B46" t="s">
        <v>10</v>
      </c>
    </row>
    <row r="47" spans="1:2" x14ac:dyDescent="0.25">
      <c r="A47" t="s">
        <v>29</v>
      </c>
      <c r="B47" t="s">
        <v>32</v>
      </c>
    </row>
    <row r="48" spans="1:2" x14ac:dyDescent="0.25">
      <c r="A48" t="s">
        <v>59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2026-07-27T15:01:43Z</dcterms:modified>
</cp:coreProperties>
</file>