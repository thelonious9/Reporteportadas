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262BA2E7-F8F8-4A83-8875-527A909B9A6D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I2" i="1"/>
  <c r="J2" i="1"/>
</calcChain>
</file>

<file path=xl/sharedStrings.xml><?xml version="1.0" encoding="utf-8"?>
<sst xmlns="http://schemas.openxmlformats.org/spreadsheetml/2006/main" count="629" uniqueCount="194">
  <si>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</si>
  <si>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</si>
  <si>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</si>
  <si>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</si>
  <si>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</si>
  <si>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</si>
  <si>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</si>
  <si>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</si>
  <si>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</si>
  <si>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</si>
  <si>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</si>
  <si>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</si>
  <si>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</si>
  <si>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</si>
  <si>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</si>
  <si>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</si>
  <si>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</si>
  <si>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</si>
  <si>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</si>
  <si>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</si>
  <si>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</si>
  <si>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</si>
  <si>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</si>
  <si>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</si>
  <si>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</si>
  <si>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</si>
  <si>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</si>
  <si>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</si>
  <si>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</si>
  <si>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</si>
  <si>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</si>
  <si>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</si>
  <si>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</si>
  <si>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</si>
  <si>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</si>
  <si>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</si>
  <si>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</si>
  <si>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</si>
  <si>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</si>
  <si>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</si>
  <si>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</si>
  <si>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</si>
  <si>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</si>
  <si>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</si>
  <si>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</si>
  <si>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</si>
  <si>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</si>
  <si>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</si>
  <si>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</si>
  <si>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</si>
  <si>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</si>
  <si>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</si>
  <si>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</si>
  <si>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</si>
  <si>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</si>
  <si>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</si>
  <si>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</si>
  <si>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</si>
  <si>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</si>
  <si>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</si>
  <si>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</si>
  <si>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</si>
  <si>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</si>
  <si>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</si>
  <si>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</si>
  <si>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</si>
  <si>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</si>
  <si>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</si>
  <si>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</si>
  <si>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</si>
  <si>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</si>
  <si>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</si>
  <si>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</si>
  <si>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Deportes</t>
  </si>
  <si>
    <t>Milenio Hidalgo</t>
  </si>
  <si>
    <t>Publicidad</t>
  </si>
  <si>
    <t>Publicidad gubernamental</t>
  </si>
  <si>
    <t>Marfeca</t>
  </si>
  <si>
    <t>Plaza Juárez</t>
  </si>
  <si>
    <t>Zunoticia</t>
  </si>
  <si>
    <t>El Sol de Hidalgo</t>
  </si>
  <si>
    <t>Effetá</t>
  </si>
  <si>
    <t>Semana Santa</t>
  </si>
  <si>
    <t>Usa el puente peatonal</t>
  </si>
  <si>
    <t>Temas internacionales</t>
  </si>
  <si>
    <t>SICT</t>
  </si>
  <si>
    <t>PC</t>
  </si>
  <si>
    <t>Prevención De Riesgos</t>
  </si>
  <si>
    <t>Carril confinado</t>
  </si>
  <si>
    <t>titular</t>
  </si>
  <si>
    <t>Tren México Querétaro</t>
  </si>
  <si>
    <t>Editorial</t>
  </si>
  <si>
    <t>Fuga de hidrocarburo</t>
  </si>
  <si>
    <t>Menos homicidios dolosos en Hidalgo</t>
  </si>
  <si>
    <t>Incidencia Delictiva</t>
  </si>
  <si>
    <t>Positiva</t>
  </si>
  <si>
    <t>Limitan interacción por miedo a ser funados</t>
  </si>
  <si>
    <t>Clausuran barranca de Metztitlán por explotación</t>
  </si>
  <si>
    <t>Clausura de empresa contaminante</t>
  </si>
  <si>
    <t>Ley de devolución excluye al Códice Borbónico</t>
  </si>
  <si>
    <t>Códice borbónico</t>
  </si>
  <si>
    <t>Aumento de pasaje no afectará economía</t>
  </si>
  <si>
    <t>Aumento Tarifa De Transporte</t>
  </si>
  <si>
    <t>Dan espacio al arte</t>
  </si>
  <si>
    <t>Intervención Gráfica</t>
  </si>
  <si>
    <t>Bajan homicidios dolosos: CSP</t>
  </si>
  <si>
    <t>Planean regular salarios de alcaldes sin violar autonomía</t>
  </si>
  <si>
    <t>GLMorena</t>
  </si>
  <si>
    <t>Iniciativa</t>
  </si>
  <si>
    <t>Avisan vía notario de riesgo a afectados</t>
  </si>
  <si>
    <t>Reubicación de viviendas</t>
  </si>
  <si>
    <t>Pensar la historia como una disciplina fundamental implica reconocer que el pasado no es un conjunto de fechas y nombres, sino un campo vivo de...</t>
  </si>
  <si>
    <t>TUZOS BUSCARÁN LACOPA LA INMORTALIDAD</t>
  </si>
  <si>
    <t>PSG Y EL ATLÉTICO  AVANZAN A SEMIS</t>
  </si>
  <si>
    <t>NO ACEPTARÁN “CHANTAJE” POR EL NUEVO PASAJE</t>
  </si>
  <si>
    <t>PROPONEN ELIMINAR  LAS SINDICATURAS DE  MINORÍA EN CABILDOS</t>
  </si>
  <si>
    <t>ALCALDÍA Y  TIENDAS OXXO  REHABILITAN EL  JARDÍN DEL ARTE</t>
  </si>
  <si>
    <t>Alcalde</t>
  </si>
  <si>
    <t>Rehabilitación de espacios públicos</t>
  </si>
  <si>
    <t>Hidalgo ingresó 1,235 millones de pesos en la Semana Santa</t>
  </si>
  <si>
    <t>Esperan que Hospital General de Actopan funcione este año</t>
  </si>
  <si>
    <t>Nuevo Hospital General</t>
  </si>
  <si>
    <t>Crece el presupuesto de Pachuca; priorizan inversión en seguridad</t>
  </si>
  <si>
    <t>Modificación Presupuestal</t>
  </si>
  <si>
    <t>Preparan actividades para recibir  a los turistas</t>
  </si>
  <si>
    <t>Mundial De Futbol</t>
  </si>
  <si>
    <t>En Semana Santa estado recibe más de 1,235 mdp</t>
  </si>
  <si>
    <t>Tuzobús no logra metas de viajes... ni de ingresos</t>
  </si>
  <si>
    <t>Sitmah</t>
  </si>
  <si>
    <t>Deficiencias Tuzobús</t>
  </si>
  <si>
    <t>Hallan vestigios de más de 4 mil años; cambian trazo del tren</t>
  </si>
  <si>
    <t>Julio Menchaca: habrá aumento en la tarifa, pero sin chantajes</t>
  </si>
  <si>
    <t>Originario de Zimapán, el minero que sigue atrapado</t>
  </si>
  <si>
    <t>Tratamientos para vivir más sin certificado científico</t>
  </si>
  <si>
    <t>Magnicharters adeuda $150 millones a agencias y dueños se esfuman</t>
  </si>
  <si>
    <t>Una fuente de electricidad al menos por familia en 2030</t>
  </si>
  <si>
    <t>Energías renovables</t>
  </si>
  <si>
    <t>Shock chino 2.0 con productos de alta tecnología</t>
  </si>
  <si>
    <t>La Jornada Hidalgo</t>
  </si>
  <si>
    <t>Nuevas tarifas del transporte estarán listas este mes: JMS</t>
  </si>
  <si>
    <t>Municipios buscan contratar deuda tras daños por vaguada</t>
  </si>
  <si>
    <t>Huracán Priscilla</t>
  </si>
  <si>
    <t>Sheinbaum destaca caída de 45% en homicidios y escuela de Mandos</t>
  </si>
  <si>
    <t>Lluvias arrastran hidrocarburo a Poza Rica y Coatzintla: Pemex</t>
  </si>
  <si>
    <t>Pemex</t>
  </si>
  <si>
    <t>Colaplsa barda de INFRA y destroza camioneta</t>
  </si>
  <si>
    <t>La diferencia es que en San Luis Potosí el gobierno es ecologista y aquí  morenista y, por lo que se ha visto, el grupo en el poder no está dispuesto  a perder en las primeras elecciones los que les llevó tanto tiempo ganar”.</t>
  </si>
  <si>
    <t>Alianzas Electorales</t>
  </si>
  <si>
    <t>Exponen 15 hidalguenses su arte en Palacio de  Gobierno con “Hióki”</t>
  </si>
  <si>
    <t>Pachuca rehabilita el Jardín del Arte con apoyo de la iniciativa privada</t>
  </si>
  <si>
    <t>alcalde</t>
  </si>
  <si>
    <t>Supera Hidalgo los 2.4 millones de visitantes en Semana Santa 2026</t>
  </si>
  <si>
    <t>Aumento de tarifa del transporte  será “razonable” y podría definirse  este mes: Menchaca</t>
  </si>
  <si>
    <t>Pide Napeoleón a productores no caer en pánico por gusano barrenador</t>
  </si>
  <si>
    <t>Gusano barrenador</t>
  </si>
  <si>
    <t>JULIO MENCHACA INAUGURA INTERVENCIÓN GRÁFICA 4.1 HlóKi</t>
  </si>
  <si>
    <t>Productores apícolas piden certificación</t>
  </si>
  <si>
    <t>Certificación</t>
  </si>
  <si>
    <t>La reconstrucción de los puentes es con recurso federal: SICT</t>
  </si>
  <si>
    <t>Reactivan ícono de Pachuca</t>
  </si>
  <si>
    <t>El oficio político en tiempos de protagonismo</t>
  </si>
  <si>
    <t>Labor destacada</t>
  </si>
  <si>
    <t>Carril exclusivo del Tuzobús, decisión en beneficio de la mayoría: Menchaca</t>
  </si>
  <si>
    <t>PAN acusa ""robo"" de militantes</t>
  </si>
  <si>
    <t>Militancia Partidista</t>
  </si>
  <si>
    <t>En abril, aumento al pasaje</t>
  </si>
  <si>
    <t>¡Solo dos sanciones en 10 años!</t>
  </si>
  <si>
    <t>Proespa</t>
  </si>
  <si>
    <t>Maltrato animal</t>
  </si>
  <si>
    <t>Hidalgo fortalece acciones para prevenir el embarazo en niñas y adolescentes</t>
  </si>
  <si>
    <t>Coespo</t>
  </si>
  <si>
    <t>Prevención De Embarazo Adolescente</t>
  </si>
  <si>
    <t>Entregan en Tula calentadores del programa ""Energía para el Bienestar""</t>
  </si>
  <si>
    <t>AEEH</t>
  </si>
  <si>
    <t>Energía para el Bienestar</t>
  </si>
  <si>
    <t>Iniciaron los trabajos de pavimentación asfáltica en Ignacio Zaragoza</t>
  </si>
  <si>
    <t>Pavimentación</t>
  </si>
  <si>
    <t>Como un "acto de reconstrucción", Julio Menchaca inaugura intervención gráfica 4.1</t>
  </si>
  <si>
    <t>Jorge Reyes y Oxxo intervienen el Jardín del Arte para reactivar un espacio emblemático</t>
  </si>
  <si>
    <t>Apropiación de espacios públicos</t>
  </si>
  <si>
    <t>Rehabilitación de la calle Vía de los Reyes fortalece la conectividad en EI Daxthá, Actopan</t>
  </si>
  <si>
    <t>Rehabilitación Vial</t>
  </si>
  <si>
    <t>Natividad Castrejón abandera delegación hidalguense rumbo a la Olimpiada Nacional Conade</t>
  </si>
  <si>
    <t>Justa Deportiva</t>
  </si>
  <si>
    <t>Nueva tarifa de transporte, para este mes: Julio Menchaca</t>
  </si>
  <si>
    <t>Abanderan delegación hidalguense rumbo a la Olimpiada Nacional</t>
  </si>
  <si>
    <t>Participan 15 artistas en intervención gráfica 4.1 Hióki, en edificio de gobierno</t>
  </si>
  <si>
    <t>Máquina del tiempo</t>
  </si>
  <si>
    <t>Confirman incremento al pasaje del transporte público</t>
  </si>
  <si>
    <t>Refuerzan atención y control del gusano barrenador</t>
  </si>
  <si>
    <t>Denuncian entrega de bonos a regidores mediante apoyos</t>
  </si>
  <si>
    <t>Entrega De Apoyos</t>
  </si>
  <si>
    <t>Los homicidios cayeron un 41% en 18 meses con Sheinbaum</t>
  </si>
  <si>
    <t>A pesar de que no han subido de precio las gasolinas, los demás productos básico se han elevado como cohetes, lo que obliga a la gente a comprar por medios kilos o medios litros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</si>
</sst>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workbookViewId="0">
      <selection activeCell="A2" sqref="A2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71</v>
      </c>
    </row>
    <row r="2" spans="1:10" x14ac:dyDescent="0.35">
      <c r="A2" s="5">
        <v>46127</v>
      </c>
      <c r="B2" t="s">
        <v>80</v>
      </c>
      <c r="C2" s="6" t="s">
        <v>93</v>
      </c>
      <c r="D2" t="s">
        <v>12</v>
      </c>
      <c r="E2" t="s">
        <v>18</v>
      </c>
      <c r="F2" t="s">
        <v>18</v>
      </c>
      <c r="G2" t="s">
        <v>94</v>
      </c>
      <c r="H2" t="s">
        <v>95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x14ac:dyDescent="0.35">
      <c r="A3" s="5">
        <v>46127</v>
      </c>
      <c r="B3" t="s">
        <v>80</v>
      </c>
      <c r="C3" s="6" t="s">
        <v>96</v>
      </c>
      <c r="D3" t="s">
        <v>12</v>
      </c>
      <c r="E3" t="s">
        <v>10</v>
      </c>
      <c r="F3" t="s">
        <v>10</v>
      </c>
      <c r="G3" t="s">
        <v>68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46127</v>
      </c>
      <c r="B4" t="s">
        <v>80</v>
      </c>
      <c r="C4" s="6" t="s">
        <v>97</v>
      </c>
      <c r="D4" t="s">
        <v>9</v>
      </c>
      <c r="E4" t="s">
        <v>14</v>
      </c>
      <c r="F4" t="s">
        <v>14</v>
      </c>
      <c r="G4" t="s">
        <v>98</v>
      </c>
      <c r="H4" t="s">
        <v>11</v>
      </c>
      <c r="I4" t="str">
        <f>_xlfn.XLOOKUP(Tabla1[[#This Row],[Dependencia]],Tabla2[Dependencia],Tabla2[Clasificación],"No indexado")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46127</v>
      </c>
      <c r="B5" t="s">
        <v>80</v>
      </c>
      <c r="C5" s="6" t="s">
        <v>99</v>
      </c>
      <c r="D5" t="s">
        <v>12</v>
      </c>
      <c r="E5" t="s">
        <v>10</v>
      </c>
      <c r="F5" t="s">
        <v>10</v>
      </c>
      <c r="G5" t="s">
        <v>100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46127</v>
      </c>
      <c r="B6" t="s">
        <v>80</v>
      </c>
      <c r="C6" s="6" t="s">
        <v>101</v>
      </c>
      <c r="D6" t="s">
        <v>13</v>
      </c>
      <c r="E6" t="s">
        <v>25</v>
      </c>
      <c r="F6" t="s">
        <v>25</v>
      </c>
      <c r="G6" t="s">
        <v>102</v>
      </c>
      <c r="H6" t="s">
        <v>95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Gobernador</v>
      </c>
    </row>
    <row r="7" spans="1:10" x14ac:dyDescent="0.35">
      <c r="A7" s="5">
        <v>46127</v>
      </c>
      <c r="B7" t="s">
        <v>69</v>
      </c>
      <c r="C7" s="6" t="s">
        <v>103</v>
      </c>
      <c r="D7" t="s">
        <v>9</v>
      </c>
      <c r="E7" t="s">
        <v>38</v>
      </c>
      <c r="F7" t="s">
        <v>38</v>
      </c>
      <c r="G7" t="s">
        <v>104</v>
      </c>
      <c r="H7" t="s">
        <v>95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5">
        <v>46127</v>
      </c>
      <c r="B8" t="s">
        <v>69</v>
      </c>
      <c r="C8" s="6" t="s">
        <v>105</v>
      </c>
      <c r="D8" t="s">
        <v>12</v>
      </c>
      <c r="E8" t="s">
        <v>14</v>
      </c>
      <c r="F8" t="s">
        <v>14</v>
      </c>
      <c r="G8" t="s">
        <v>94</v>
      </c>
      <c r="H8" t="s">
        <v>95</v>
      </c>
      <c r="I8" t="str">
        <f>_xlfn.XLOOKUP(Tabla1[[#This Row],[Dependencia]],Tabla2[Dependencia],Tabla2[Clasificación],"No indexado")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46127</v>
      </c>
      <c r="B9" t="s">
        <v>69</v>
      </c>
      <c r="C9" s="6" t="s">
        <v>106</v>
      </c>
      <c r="D9" t="s">
        <v>13</v>
      </c>
      <c r="E9" t="s">
        <v>36</v>
      </c>
      <c r="F9" t="s">
        <v>107</v>
      </c>
      <c r="G9" t="s">
        <v>108</v>
      </c>
      <c r="H9" t="s">
        <v>95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46127</v>
      </c>
      <c r="B10" t="s">
        <v>69</v>
      </c>
      <c r="C10" s="6" t="s">
        <v>109</v>
      </c>
      <c r="D10" t="s">
        <v>12</v>
      </c>
      <c r="E10" t="s">
        <v>25</v>
      </c>
      <c r="F10" t="s">
        <v>25</v>
      </c>
      <c r="G10" t="s">
        <v>110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Gobernador</v>
      </c>
    </row>
    <row r="11" spans="1:10" ht="43.5" x14ac:dyDescent="0.35">
      <c r="A11" s="5">
        <v>46127</v>
      </c>
      <c r="B11" t="s">
        <v>69</v>
      </c>
      <c r="C11" s="6" t="s">
        <v>111</v>
      </c>
      <c r="D11" t="s">
        <v>12</v>
      </c>
      <c r="E11" t="s">
        <v>10</v>
      </c>
      <c r="F11" t="s">
        <v>10</v>
      </c>
      <c r="G11" t="s">
        <v>68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46127</v>
      </c>
      <c r="B12" t="s">
        <v>69</v>
      </c>
      <c r="C12" s="6" t="s">
        <v>112</v>
      </c>
      <c r="D12" t="s">
        <v>12</v>
      </c>
      <c r="E12" t="s">
        <v>10</v>
      </c>
      <c r="F12" t="s">
        <v>10</v>
      </c>
      <c r="G12" t="s">
        <v>73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46127</v>
      </c>
      <c r="B13" t="s">
        <v>69</v>
      </c>
      <c r="C13" s="6" t="s">
        <v>113</v>
      </c>
      <c r="D13" t="s">
        <v>12</v>
      </c>
      <c r="E13" t="s">
        <v>10</v>
      </c>
      <c r="F13" t="s">
        <v>10</v>
      </c>
      <c r="G13" t="s">
        <v>73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46127</v>
      </c>
      <c r="B14" t="s">
        <v>69</v>
      </c>
      <c r="C14" s="6" t="s">
        <v>114</v>
      </c>
      <c r="D14" t="s">
        <v>13</v>
      </c>
      <c r="E14" t="s">
        <v>25</v>
      </c>
      <c r="F14" t="s">
        <v>25</v>
      </c>
      <c r="G14" t="s">
        <v>102</v>
      </c>
      <c r="H14" t="s">
        <v>95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Gobernador</v>
      </c>
    </row>
    <row r="15" spans="1:10" ht="29" x14ac:dyDescent="0.35">
      <c r="A15" s="5">
        <v>46127</v>
      </c>
      <c r="B15" t="s">
        <v>69</v>
      </c>
      <c r="C15" s="6" t="s">
        <v>115</v>
      </c>
      <c r="D15" t="s">
        <v>12</v>
      </c>
      <c r="E15" t="s">
        <v>36</v>
      </c>
      <c r="F15" t="s">
        <v>107</v>
      </c>
      <c r="G15" t="s">
        <v>108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ht="29" x14ac:dyDescent="0.35">
      <c r="A16" s="5">
        <v>46127</v>
      </c>
      <c r="B16" t="s">
        <v>69</v>
      </c>
      <c r="C16" s="6" t="s">
        <v>116</v>
      </c>
      <c r="D16" t="s">
        <v>9</v>
      </c>
      <c r="E16" t="s">
        <v>17</v>
      </c>
      <c r="F16" t="s">
        <v>117</v>
      </c>
      <c r="G16" t="s">
        <v>118</v>
      </c>
      <c r="H16" t="s">
        <v>95</v>
      </c>
      <c r="I16" t="str">
        <f>_xlfn.XLOOKUP(Tabla1[[#This Row],[Dependencia]],Tabla2[Dependencia],Tabla2[Clasificación],"No indexado")</f>
        <v>Alcaldías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46127</v>
      </c>
      <c r="B17" t="s">
        <v>69</v>
      </c>
      <c r="C17" s="6" t="s">
        <v>119</v>
      </c>
      <c r="D17" t="s">
        <v>12</v>
      </c>
      <c r="E17" t="s">
        <v>31</v>
      </c>
      <c r="F17" t="s">
        <v>31</v>
      </c>
      <c r="G17" t="s">
        <v>82</v>
      </c>
      <c r="H17" t="s">
        <v>95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5">
        <v>46127</v>
      </c>
      <c r="B18" t="s">
        <v>69</v>
      </c>
      <c r="C18" s="6" t="s">
        <v>120</v>
      </c>
      <c r="D18" t="s">
        <v>12</v>
      </c>
      <c r="E18" t="s">
        <v>15</v>
      </c>
      <c r="F18" t="s">
        <v>89</v>
      </c>
      <c r="G18" t="s">
        <v>121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ht="29" x14ac:dyDescent="0.35">
      <c r="A19" s="5">
        <v>46127</v>
      </c>
      <c r="B19" t="s">
        <v>74</v>
      </c>
      <c r="C19" s="6" t="s">
        <v>122</v>
      </c>
      <c r="D19" t="s">
        <v>13</v>
      </c>
      <c r="E19" t="s">
        <v>17</v>
      </c>
      <c r="F19" t="s">
        <v>17</v>
      </c>
      <c r="G19" t="s">
        <v>123</v>
      </c>
      <c r="H19" t="s">
        <v>95</v>
      </c>
      <c r="I19" t="str">
        <f>_xlfn.XLOOKUP(Tabla1[[#This Row],[Dependencia]],Tabla2[Dependencia],Tabla2[Clasificación],"No indexado")</f>
        <v>Alcaldías</v>
      </c>
      <c r="J19" t="str">
        <f>_xlfn.XLOOKUP(Tabla1[[#This Row],[Dependencia]],Tabla3[Dependencia],Tabla3[Nivel],"otros",0)</f>
        <v>otros</v>
      </c>
    </row>
    <row r="20" spans="1:10" x14ac:dyDescent="0.35">
      <c r="A20" s="5">
        <v>46127</v>
      </c>
      <c r="B20" t="s">
        <v>74</v>
      </c>
      <c r="C20" s="6" t="s">
        <v>124</v>
      </c>
      <c r="D20" t="s">
        <v>12</v>
      </c>
      <c r="E20" t="s">
        <v>17</v>
      </c>
      <c r="F20" t="s">
        <v>17</v>
      </c>
      <c r="G20" t="s">
        <v>125</v>
      </c>
      <c r="H20" t="s">
        <v>11</v>
      </c>
      <c r="I20" t="str">
        <f>_xlfn.XLOOKUP(Tabla1[[#This Row],[Dependencia]],Tabla2[Dependencia],Tabla2[Clasificación],"No indexado")</f>
        <v>Alcaldías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46127</v>
      </c>
      <c r="B21" t="s">
        <v>74</v>
      </c>
      <c r="C21" s="6" t="s">
        <v>126</v>
      </c>
      <c r="D21" t="s">
        <v>12</v>
      </c>
      <c r="E21" t="s">
        <v>31</v>
      </c>
      <c r="F21" t="s">
        <v>31</v>
      </c>
      <c r="G21" t="s">
        <v>82</v>
      </c>
      <c r="H21" t="s">
        <v>95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5">
        <v>46127</v>
      </c>
      <c r="B22" t="s">
        <v>74</v>
      </c>
      <c r="C22" s="6" t="s">
        <v>127</v>
      </c>
      <c r="D22" t="s">
        <v>12</v>
      </c>
      <c r="E22" t="s">
        <v>29</v>
      </c>
      <c r="F22" t="s">
        <v>128</v>
      </c>
      <c r="G22" t="s">
        <v>129</v>
      </c>
      <c r="H22" t="s">
        <v>16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46127</v>
      </c>
      <c r="B23" t="s">
        <v>74</v>
      </c>
      <c r="C23" s="6" t="s">
        <v>130</v>
      </c>
      <c r="D23" t="s">
        <v>9</v>
      </c>
      <c r="E23" t="s">
        <v>14</v>
      </c>
      <c r="F23" t="s">
        <v>14</v>
      </c>
      <c r="G23" t="s">
        <v>90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ht="29" x14ac:dyDescent="0.35">
      <c r="A24" s="5">
        <v>46127</v>
      </c>
      <c r="B24" t="s">
        <v>74</v>
      </c>
      <c r="C24" s="6" t="s">
        <v>131</v>
      </c>
      <c r="D24" t="s">
        <v>12</v>
      </c>
      <c r="E24" t="s">
        <v>25</v>
      </c>
      <c r="F24" t="s">
        <v>25</v>
      </c>
      <c r="G24" t="s">
        <v>102</v>
      </c>
      <c r="H24" t="s">
        <v>95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Gobernador</v>
      </c>
    </row>
    <row r="25" spans="1:10" x14ac:dyDescent="0.35">
      <c r="A25" s="5">
        <v>46127</v>
      </c>
      <c r="B25" t="s">
        <v>74</v>
      </c>
      <c r="C25" s="6" t="s">
        <v>132</v>
      </c>
      <c r="D25" t="s">
        <v>12</v>
      </c>
      <c r="E25" t="s">
        <v>14</v>
      </c>
      <c r="F25" t="s">
        <v>14</v>
      </c>
      <c r="G25" t="s">
        <v>68</v>
      </c>
      <c r="H25" t="s">
        <v>11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46127</v>
      </c>
      <c r="B26" t="s">
        <v>74</v>
      </c>
      <c r="C26" s="6" t="s">
        <v>133</v>
      </c>
      <c r="D26" t="s">
        <v>12</v>
      </c>
      <c r="E26" t="s">
        <v>10</v>
      </c>
      <c r="F26" t="s">
        <v>10</v>
      </c>
      <c r="G26" t="s">
        <v>68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29" x14ac:dyDescent="0.35">
      <c r="A27" s="5">
        <v>46127</v>
      </c>
      <c r="B27" t="s">
        <v>74</v>
      </c>
      <c r="C27" s="6" t="s">
        <v>134</v>
      </c>
      <c r="D27" t="s">
        <v>12</v>
      </c>
      <c r="E27" t="s">
        <v>10</v>
      </c>
      <c r="F27" t="s">
        <v>10</v>
      </c>
      <c r="G27" t="s">
        <v>68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46127</v>
      </c>
      <c r="B28" t="s">
        <v>74</v>
      </c>
      <c r="C28" s="6" t="s">
        <v>135</v>
      </c>
      <c r="D28" t="s">
        <v>12</v>
      </c>
      <c r="E28" t="s">
        <v>14</v>
      </c>
      <c r="F28" t="s">
        <v>14</v>
      </c>
      <c r="G28" t="s">
        <v>136</v>
      </c>
      <c r="H28" t="s">
        <v>95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46127</v>
      </c>
      <c r="B29" t="s">
        <v>74</v>
      </c>
      <c r="C29" s="6" t="s">
        <v>137</v>
      </c>
      <c r="D29" t="s">
        <v>12</v>
      </c>
      <c r="E29" t="s">
        <v>10</v>
      </c>
      <c r="F29" t="s">
        <v>10</v>
      </c>
      <c r="G29" t="s">
        <v>84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46127</v>
      </c>
      <c r="B30" t="s">
        <v>138</v>
      </c>
      <c r="C30" s="6" t="s">
        <v>139</v>
      </c>
      <c r="D30" t="s">
        <v>12</v>
      </c>
      <c r="E30" t="s">
        <v>25</v>
      </c>
      <c r="F30" t="s">
        <v>25</v>
      </c>
      <c r="G30" t="s">
        <v>102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Gobernador</v>
      </c>
    </row>
    <row r="31" spans="1:10" x14ac:dyDescent="0.35">
      <c r="A31" s="5">
        <v>46127</v>
      </c>
      <c r="B31" t="s">
        <v>138</v>
      </c>
      <c r="C31" s="6" t="s">
        <v>140</v>
      </c>
      <c r="D31" t="s">
        <v>13</v>
      </c>
      <c r="E31" t="s">
        <v>17</v>
      </c>
      <c r="F31" t="s">
        <v>17</v>
      </c>
      <c r="G31" t="s">
        <v>141</v>
      </c>
      <c r="H31" t="s">
        <v>11</v>
      </c>
      <c r="I31" t="str">
        <f>_xlfn.XLOOKUP(Tabla1[[#This Row],[Dependencia]],Tabla2[Dependencia],Tabla2[Clasificación],"No indexado")</f>
        <v>Alcaldías</v>
      </c>
      <c r="J31" t="str">
        <f>_xlfn.XLOOKUP(Tabla1[[#This Row],[Dependencia]],Tabla3[Dependencia],Tabla3[Nivel],"otros",0)</f>
        <v>otros</v>
      </c>
    </row>
    <row r="32" spans="1:10" ht="29" x14ac:dyDescent="0.35">
      <c r="A32" s="5">
        <v>46127</v>
      </c>
      <c r="B32" t="s">
        <v>138</v>
      </c>
      <c r="C32" s="6" t="s">
        <v>142</v>
      </c>
      <c r="D32" t="s">
        <v>12</v>
      </c>
      <c r="E32" t="s">
        <v>14</v>
      </c>
      <c r="F32" t="s">
        <v>14</v>
      </c>
      <c r="G32" t="s">
        <v>94</v>
      </c>
      <c r="H32" t="s">
        <v>95</v>
      </c>
      <c r="I32" t="str">
        <f>_xlfn.XLOOKUP(Tabla1[[#This Row],[Dependencia]],Tabla2[Dependencia],Tabla2[Clasificación],"No indexado")</f>
        <v>Presidencia de la República</v>
      </c>
      <c r="J32" t="str">
        <f>_xlfn.XLOOKUP(Tabla1[[#This Row],[Dependencia]],Tabla3[Dependencia],Tabla3[Nivel],"otros",0)</f>
        <v>otros</v>
      </c>
    </row>
    <row r="33" spans="1:10" ht="29" x14ac:dyDescent="0.35">
      <c r="A33" s="5">
        <v>46127</v>
      </c>
      <c r="B33" t="s">
        <v>138</v>
      </c>
      <c r="C33" s="6" t="s">
        <v>143</v>
      </c>
      <c r="D33" t="s">
        <v>12</v>
      </c>
      <c r="E33" t="s">
        <v>14</v>
      </c>
      <c r="F33" t="s">
        <v>144</v>
      </c>
      <c r="G33" t="s">
        <v>92</v>
      </c>
      <c r="H33" t="s">
        <v>16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x14ac:dyDescent="0.35">
      <c r="A34" s="5">
        <v>46127</v>
      </c>
      <c r="B34" t="s">
        <v>138</v>
      </c>
      <c r="C34" s="6" t="s">
        <v>145</v>
      </c>
      <c r="D34" t="s">
        <v>9</v>
      </c>
      <c r="E34" t="s">
        <v>24</v>
      </c>
      <c r="F34" t="s">
        <v>86</v>
      </c>
      <c r="G34" t="s">
        <v>87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58" x14ac:dyDescent="0.35">
      <c r="A35" s="5">
        <v>46127</v>
      </c>
      <c r="B35" t="s">
        <v>138</v>
      </c>
      <c r="C35" s="6" t="s">
        <v>146</v>
      </c>
      <c r="D35" t="s">
        <v>12</v>
      </c>
      <c r="E35" t="s">
        <v>19</v>
      </c>
      <c r="F35" t="s">
        <v>19</v>
      </c>
      <c r="G35" t="s">
        <v>147</v>
      </c>
      <c r="H35" t="s">
        <v>11</v>
      </c>
      <c r="I35" t="str">
        <f>_xlfn.XLOOKUP(Tabla1[[#This Row],[Dependencia]],Tabla2[Dependencia],Tabla2[Clasificación],"No indexado")</f>
        <v>Partidos</v>
      </c>
      <c r="J35" t="str">
        <f>_xlfn.XLOOKUP(Tabla1[[#This Row],[Dependencia]],Tabla3[Dependencia],Tabla3[Nivel],"otros",0)</f>
        <v>otros</v>
      </c>
    </row>
    <row r="36" spans="1:10" ht="29" x14ac:dyDescent="0.35">
      <c r="A36" s="5">
        <v>46127</v>
      </c>
      <c r="B36" t="s">
        <v>70</v>
      </c>
      <c r="C36" s="6" t="s">
        <v>148</v>
      </c>
      <c r="D36" t="s">
        <v>13</v>
      </c>
      <c r="E36" t="s">
        <v>25</v>
      </c>
      <c r="F36" t="s">
        <v>25</v>
      </c>
      <c r="G36" t="s">
        <v>104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ht="29" x14ac:dyDescent="0.35">
      <c r="A37" s="5">
        <v>46127</v>
      </c>
      <c r="B37" t="s">
        <v>70</v>
      </c>
      <c r="C37" s="6" t="s">
        <v>149</v>
      </c>
      <c r="D37" t="s">
        <v>12</v>
      </c>
      <c r="E37" t="s">
        <v>17</v>
      </c>
      <c r="F37" t="s">
        <v>150</v>
      </c>
      <c r="G37" t="s">
        <v>118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ht="29" x14ac:dyDescent="0.35">
      <c r="A38" s="5">
        <v>46127</v>
      </c>
      <c r="B38" t="s">
        <v>70</v>
      </c>
      <c r="C38" s="6" t="s">
        <v>151</v>
      </c>
      <c r="D38" t="s">
        <v>12</v>
      </c>
      <c r="E38" t="s">
        <v>31</v>
      </c>
      <c r="F38" t="s">
        <v>2</v>
      </c>
      <c r="G38" t="s">
        <v>82</v>
      </c>
      <c r="H38" t="s">
        <v>95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5">
        <v>46127</v>
      </c>
      <c r="B39" t="s">
        <v>70</v>
      </c>
      <c r="C39" s="6" t="s">
        <v>152</v>
      </c>
      <c r="D39" t="s">
        <v>12</v>
      </c>
      <c r="E39" t="s">
        <v>25</v>
      </c>
      <c r="F39" t="s">
        <v>25</v>
      </c>
      <c r="G39" t="s">
        <v>102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Gobernador</v>
      </c>
    </row>
    <row r="40" spans="1:10" ht="29" x14ac:dyDescent="0.35">
      <c r="A40" s="5">
        <v>46127</v>
      </c>
      <c r="B40" t="s">
        <v>79</v>
      </c>
      <c r="C40" s="6" t="s">
        <v>153</v>
      </c>
      <c r="D40" t="s">
        <v>13</v>
      </c>
      <c r="E40" t="s">
        <v>56</v>
      </c>
      <c r="F40" t="s">
        <v>2</v>
      </c>
      <c r="G40" t="s">
        <v>154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ht="29" x14ac:dyDescent="0.35">
      <c r="A41" s="5">
        <v>46127</v>
      </c>
      <c r="B41" t="s">
        <v>79</v>
      </c>
      <c r="C41" s="6" t="s">
        <v>155</v>
      </c>
      <c r="D41" t="s">
        <v>12</v>
      </c>
      <c r="E41" t="s">
        <v>25</v>
      </c>
      <c r="F41" t="s">
        <v>25</v>
      </c>
      <c r="G41" t="s">
        <v>104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Gobernador</v>
      </c>
    </row>
    <row r="42" spans="1:10" x14ac:dyDescent="0.35">
      <c r="A42" s="5">
        <v>46127</v>
      </c>
      <c r="B42" t="s">
        <v>79</v>
      </c>
      <c r="C42" s="6" t="s">
        <v>156</v>
      </c>
      <c r="D42" t="s">
        <v>12</v>
      </c>
      <c r="E42" t="s">
        <v>10</v>
      </c>
      <c r="F42" t="s">
        <v>10</v>
      </c>
      <c r="G42" t="s">
        <v>157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46127</v>
      </c>
      <c r="B43" t="s">
        <v>79</v>
      </c>
      <c r="C43" s="6" t="s">
        <v>158</v>
      </c>
      <c r="D43" t="s">
        <v>12</v>
      </c>
      <c r="E43" t="s">
        <v>14</v>
      </c>
      <c r="F43" t="s">
        <v>85</v>
      </c>
      <c r="G43" t="s">
        <v>141</v>
      </c>
      <c r="H43" t="s">
        <v>11</v>
      </c>
      <c r="I43" t="str">
        <f>_xlfn.XLOOKUP(Tabla1[[#This Row],[Dependencia]],Tabla2[Dependencia],Tabla2[Clasificación],"No indexado")</f>
        <v>Presidencia de la República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46127</v>
      </c>
      <c r="B44" t="s">
        <v>81</v>
      </c>
      <c r="C44" s="6" t="s">
        <v>159</v>
      </c>
      <c r="D44" t="s">
        <v>9</v>
      </c>
      <c r="E44" t="s">
        <v>17</v>
      </c>
      <c r="F44" t="s">
        <v>117</v>
      </c>
      <c r="G44" t="s">
        <v>118</v>
      </c>
      <c r="H44" t="s">
        <v>95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46127</v>
      </c>
      <c r="B45" t="s">
        <v>81</v>
      </c>
      <c r="C45" s="6" t="s">
        <v>160</v>
      </c>
      <c r="D45" t="s">
        <v>91</v>
      </c>
      <c r="E45" t="s">
        <v>38</v>
      </c>
      <c r="F45" t="s">
        <v>2</v>
      </c>
      <c r="G45" t="s">
        <v>161</v>
      </c>
      <c r="H45" t="s">
        <v>95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ht="29" x14ac:dyDescent="0.35">
      <c r="A46" s="5">
        <v>46127</v>
      </c>
      <c r="B46" t="s">
        <v>81</v>
      </c>
      <c r="C46" s="6" t="s">
        <v>162</v>
      </c>
      <c r="D46" t="s">
        <v>13</v>
      </c>
      <c r="E46" t="s">
        <v>25</v>
      </c>
      <c r="F46" t="s">
        <v>25</v>
      </c>
      <c r="G46" t="s">
        <v>88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Gobernador</v>
      </c>
    </row>
    <row r="47" spans="1:10" x14ac:dyDescent="0.35">
      <c r="A47" s="5">
        <v>46127</v>
      </c>
      <c r="B47" t="s">
        <v>81</v>
      </c>
      <c r="C47" s="6" t="s">
        <v>163</v>
      </c>
      <c r="D47" t="s">
        <v>12</v>
      </c>
      <c r="E47" t="s">
        <v>48</v>
      </c>
      <c r="F47" t="s">
        <v>48</v>
      </c>
      <c r="G47" t="s">
        <v>164</v>
      </c>
      <c r="H47" t="s">
        <v>11</v>
      </c>
      <c r="I47" t="str">
        <f>_xlfn.XLOOKUP(Tabla1[[#This Row],[Dependencia]],Tabla2[Dependencia],Tabla2[Clasificación],"No indexado")</f>
        <v>Partidos</v>
      </c>
      <c r="J47" t="str">
        <f>_xlfn.XLOOKUP(Tabla1[[#This Row],[Dependencia]],Tabla3[Dependencia],Tabla3[Nivel],"otros",0)</f>
        <v>otros</v>
      </c>
    </row>
    <row r="48" spans="1:10" x14ac:dyDescent="0.35">
      <c r="A48" s="5">
        <v>46127</v>
      </c>
      <c r="B48" t="s">
        <v>81</v>
      </c>
      <c r="C48" s="6" t="s">
        <v>165</v>
      </c>
      <c r="D48" t="s">
        <v>12</v>
      </c>
      <c r="E48" t="s">
        <v>25</v>
      </c>
      <c r="F48" t="s">
        <v>25</v>
      </c>
      <c r="G48" t="s">
        <v>102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Gobernador</v>
      </c>
    </row>
    <row r="49" spans="1:10" x14ac:dyDescent="0.35">
      <c r="A49" s="5">
        <v>46127</v>
      </c>
      <c r="B49" t="s">
        <v>81</v>
      </c>
      <c r="C49" s="6" t="s">
        <v>166</v>
      </c>
      <c r="D49" t="s">
        <v>12</v>
      </c>
      <c r="E49" t="s">
        <v>21</v>
      </c>
      <c r="F49" t="s">
        <v>167</v>
      </c>
      <c r="G49" t="s">
        <v>168</v>
      </c>
      <c r="H49" t="s">
        <v>16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29" x14ac:dyDescent="0.35">
      <c r="A50" s="5">
        <v>46127</v>
      </c>
      <c r="B50" t="s">
        <v>77</v>
      </c>
      <c r="C50" s="6" t="s">
        <v>169</v>
      </c>
      <c r="D50" t="s">
        <v>12</v>
      </c>
      <c r="E50" t="s">
        <v>24</v>
      </c>
      <c r="F50" t="s">
        <v>170</v>
      </c>
      <c r="G50" t="s">
        <v>171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5">
        <v>46127</v>
      </c>
      <c r="B51" t="s">
        <v>77</v>
      </c>
      <c r="C51" s="6" t="s">
        <v>172</v>
      </c>
      <c r="D51" t="s">
        <v>12</v>
      </c>
      <c r="E51" t="s">
        <v>57</v>
      </c>
      <c r="F51" t="s">
        <v>173</v>
      </c>
      <c r="G51" t="s">
        <v>174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ht="29" x14ac:dyDescent="0.35">
      <c r="A52" s="5">
        <v>46127</v>
      </c>
      <c r="B52" t="s">
        <v>77</v>
      </c>
      <c r="C52" s="6" t="s">
        <v>175</v>
      </c>
      <c r="D52" t="s">
        <v>12</v>
      </c>
      <c r="E52" t="s">
        <v>17</v>
      </c>
      <c r="F52" t="s">
        <v>17</v>
      </c>
      <c r="G52" t="s">
        <v>176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29" x14ac:dyDescent="0.35">
      <c r="A53" s="5">
        <v>46127</v>
      </c>
      <c r="B53" t="s">
        <v>77</v>
      </c>
      <c r="C53" s="6" t="s">
        <v>177</v>
      </c>
      <c r="D53" t="s">
        <v>13</v>
      </c>
      <c r="E53" t="s">
        <v>25</v>
      </c>
      <c r="F53" t="s">
        <v>25</v>
      </c>
      <c r="G53" t="s">
        <v>104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Gobernador</v>
      </c>
    </row>
    <row r="54" spans="1:10" ht="29" x14ac:dyDescent="0.35">
      <c r="A54" s="5">
        <v>46127</v>
      </c>
      <c r="B54" t="s">
        <v>77</v>
      </c>
      <c r="C54" s="6" t="s">
        <v>178</v>
      </c>
      <c r="D54" t="s">
        <v>12</v>
      </c>
      <c r="E54" t="s">
        <v>17</v>
      </c>
      <c r="F54" t="s">
        <v>150</v>
      </c>
      <c r="G54" t="s">
        <v>179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x14ac:dyDescent="0.35">
      <c r="A55" s="5">
        <v>46127</v>
      </c>
      <c r="B55" t="s">
        <v>77</v>
      </c>
      <c r="C55" s="6" t="s">
        <v>83</v>
      </c>
      <c r="D55" t="s">
        <v>75</v>
      </c>
      <c r="E55" t="s">
        <v>17</v>
      </c>
      <c r="F55" t="s">
        <v>17</v>
      </c>
      <c r="G55" t="s">
        <v>76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ht="29" x14ac:dyDescent="0.35">
      <c r="A56" s="5">
        <v>46127</v>
      </c>
      <c r="B56" t="s">
        <v>77</v>
      </c>
      <c r="C56" s="6" t="s">
        <v>180</v>
      </c>
      <c r="D56" t="s">
        <v>12</v>
      </c>
      <c r="E56" t="s">
        <v>17</v>
      </c>
      <c r="F56" t="s">
        <v>17</v>
      </c>
      <c r="G56" t="s">
        <v>181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ht="29" x14ac:dyDescent="0.35">
      <c r="A57" s="5">
        <v>46127</v>
      </c>
      <c r="B57" t="s">
        <v>77</v>
      </c>
      <c r="C57" s="6" t="s">
        <v>182</v>
      </c>
      <c r="D57" t="s">
        <v>12</v>
      </c>
      <c r="E57" t="s">
        <v>27</v>
      </c>
      <c r="F57" t="s">
        <v>2</v>
      </c>
      <c r="G57" t="s">
        <v>183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35">
      <c r="A58" s="5">
        <v>46127</v>
      </c>
      <c r="B58" t="s">
        <v>28</v>
      </c>
      <c r="C58" s="6" t="s">
        <v>184</v>
      </c>
      <c r="D58" t="s">
        <v>13</v>
      </c>
      <c r="E58" t="s">
        <v>25</v>
      </c>
      <c r="F58" t="s">
        <v>25</v>
      </c>
      <c r="G58" t="s">
        <v>102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Gobernador</v>
      </c>
    </row>
    <row r="59" spans="1:10" ht="29" x14ac:dyDescent="0.35">
      <c r="A59" s="5">
        <v>46127</v>
      </c>
      <c r="B59" t="s">
        <v>28</v>
      </c>
      <c r="C59" s="6" t="s">
        <v>185</v>
      </c>
      <c r="D59" t="s">
        <v>12</v>
      </c>
      <c r="E59" t="s">
        <v>27</v>
      </c>
      <c r="F59" t="s">
        <v>2</v>
      </c>
      <c r="G59" t="s">
        <v>183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29" x14ac:dyDescent="0.35">
      <c r="A60" s="5">
        <v>46127</v>
      </c>
      <c r="B60" t="s">
        <v>28</v>
      </c>
      <c r="C60" s="6" t="s">
        <v>178</v>
      </c>
      <c r="D60" t="s">
        <v>12</v>
      </c>
      <c r="E60" t="s">
        <v>17</v>
      </c>
      <c r="F60" t="s">
        <v>17</v>
      </c>
      <c r="G60" t="s">
        <v>118</v>
      </c>
      <c r="H60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ht="29" x14ac:dyDescent="0.35">
      <c r="A61" s="5">
        <v>46127</v>
      </c>
      <c r="B61" t="s">
        <v>28</v>
      </c>
      <c r="C61" s="6" t="s">
        <v>186</v>
      </c>
      <c r="D61" t="s">
        <v>12</v>
      </c>
      <c r="E61" t="s">
        <v>38</v>
      </c>
      <c r="F61" t="s">
        <v>38</v>
      </c>
      <c r="G61" t="s">
        <v>104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x14ac:dyDescent="0.35">
      <c r="A62" s="5">
        <v>46127</v>
      </c>
      <c r="B62" t="s">
        <v>28</v>
      </c>
      <c r="C62" s="6" t="s">
        <v>187</v>
      </c>
      <c r="D62" t="s">
        <v>75</v>
      </c>
      <c r="E62" t="s">
        <v>10</v>
      </c>
      <c r="F62" t="s">
        <v>10</v>
      </c>
      <c r="G62" t="s">
        <v>68</v>
      </c>
      <c r="H62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x14ac:dyDescent="0.35">
      <c r="A63" s="5">
        <v>46127</v>
      </c>
      <c r="B63" t="s">
        <v>28</v>
      </c>
      <c r="C63" s="6" t="s">
        <v>83</v>
      </c>
      <c r="D63" t="s">
        <v>75</v>
      </c>
      <c r="E63" t="s">
        <v>17</v>
      </c>
      <c r="F63" t="s">
        <v>17</v>
      </c>
      <c r="G63" t="s">
        <v>76</v>
      </c>
      <c r="H63" t="s">
        <v>11</v>
      </c>
      <c r="I63" t="str">
        <f>_xlfn.XLOOKUP(Tabla1[[#This Row],[Dependencia]],Tabla2[Dependencia],Tabla2[Clasificación],"No indexado")</f>
        <v>Alcaldías</v>
      </c>
      <c r="J63" t="str">
        <f>_xlfn.XLOOKUP(Tabla1[[#This Row],[Dependencia]],Tabla3[Dependencia],Tabla3[Nivel],"otros",0)</f>
        <v>otros</v>
      </c>
    </row>
    <row r="64" spans="1:10" x14ac:dyDescent="0.35">
      <c r="A64" s="5">
        <v>46127</v>
      </c>
      <c r="B64" t="s">
        <v>78</v>
      </c>
      <c r="C64" s="6" t="s">
        <v>188</v>
      </c>
      <c r="D64" t="s">
        <v>13</v>
      </c>
      <c r="E64" t="s">
        <v>25</v>
      </c>
      <c r="F64" t="s">
        <v>25</v>
      </c>
      <c r="G64" t="s">
        <v>102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Gobernador</v>
      </c>
    </row>
    <row r="65" spans="1:10" x14ac:dyDescent="0.35">
      <c r="A65" s="5">
        <v>46127</v>
      </c>
      <c r="B65" t="s">
        <v>78</v>
      </c>
      <c r="C65" s="6" t="s">
        <v>189</v>
      </c>
      <c r="D65" t="s">
        <v>12</v>
      </c>
      <c r="E65" t="s">
        <v>56</v>
      </c>
      <c r="F65" t="s">
        <v>56</v>
      </c>
      <c r="G65" t="s">
        <v>154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35">
      <c r="A66" s="5">
        <v>46127</v>
      </c>
      <c r="B66" t="s">
        <v>78</v>
      </c>
      <c r="C66" s="6" t="s">
        <v>190</v>
      </c>
      <c r="D66" t="s">
        <v>12</v>
      </c>
      <c r="E66" t="s">
        <v>17</v>
      </c>
      <c r="F66" t="s">
        <v>17</v>
      </c>
      <c r="G66" t="s">
        <v>191</v>
      </c>
      <c r="H66" t="s">
        <v>11</v>
      </c>
      <c r="I66" t="str">
        <f>_xlfn.XLOOKUP(Tabla1[[#This Row],[Dependencia]],Tabla2[Dependencia],Tabla2[Clasificación],"No indexado")</f>
        <v>Alcaldías</v>
      </c>
      <c r="J66" t="str">
        <f>_xlfn.XLOOKUP(Tabla1[[#This Row],[Dependencia]],Tabla3[Dependencia],Tabla3[Nivel],"otros",0)</f>
        <v>otros</v>
      </c>
    </row>
    <row r="67" spans="1:10" x14ac:dyDescent="0.35">
      <c r="A67" s="5">
        <v>46127</v>
      </c>
      <c r="B67" t="s">
        <v>78</v>
      </c>
      <c r="C67" s="6" t="s">
        <v>192</v>
      </c>
      <c r="D67" t="s">
        <v>12</v>
      </c>
      <c r="E67" t="s">
        <v>14</v>
      </c>
      <c r="F67" t="s">
        <v>14</v>
      </c>
      <c r="G67" t="s">
        <v>94</v>
      </c>
      <c r="H67" t="s">
        <v>95</v>
      </c>
      <c r="I67" t="str">
        <f>_xlfn.XLOOKUP(Tabla1[[#This Row],[Dependencia]],Tabla2[Dependencia],Tabla2[Clasificación],"No indexado")</f>
        <v>Presidencia de la República</v>
      </c>
      <c r="J67" t="str">
        <f>_xlfn.XLOOKUP(Tabla1[[#This Row],[Dependencia]],Tabla3[Dependencia],Tabla3[Nivel],"otros",0)</f>
        <v>otros</v>
      </c>
    </row>
    <row r="68" spans="1:10" ht="58" x14ac:dyDescent="0.35">
      <c r="A68" s="5">
        <v>46127</v>
      </c>
      <c r="B68" t="s">
        <v>78</v>
      </c>
      <c r="C68" s="6" t="s">
        <v>193</v>
      </c>
      <c r="D68" t="s">
        <v>12</v>
      </c>
      <c r="E68" t="s">
        <v>10</v>
      </c>
      <c r="F68" t="s">
        <v>10</v>
      </c>
      <c r="G68" t="s">
        <v>68</v>
      </c>
      <c r="H68" t="s">
        <v>11</v>
      </c>
      <c r="I68" t="str">
        <f>_xlfn.XLOOKUP(Tabla1[[#This Row],[Dependencia]],Tabla2[Dependencia],Tabla2[Clasificación],"No indexado")</f>
        <v>Otros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32</v>
      </c>
      <c r="D1" s="8" t="s">
        <v>4</v>
      </c>
      <c r="E1" t="s">
        <v>71</v>
      </c>
    </row>
    <row r="2" spans="1:5" x14ac:dyDescent="0.35">
      <c r="A2" t="s">
        <v>64</v>
      </c>
      <c r="B2" t="s">
        <v>65</v>
      </c>
      <c r="D2" s="10" t="s">
        <v>20</v>
      </c>
      <c r="E2" t="s">
        <v>72</v>
      </c>
    </row>
    <row r="3" spans="1:5" x14ac:dyDescent="0.35">
      <c r="A3" t="s">
        <v>17</v>
      </c>
      <c r="B3" t="s">
        <v>33</v>
      </c>
      <c r="D3" s="9" t="s">
        <v>35</v>
      </c>
      <c r="E3" t="s">
        <v>72</v>
      </c>
    </row>
    <row r="4" spans="1:5" x14ac:dyDescent="0.35">
      <c r="A4" t="s">
        <v>20</v>
      </c>
      <c r="B4" t="s">
        <v>34</v>
      </c>
      <c r="D4" s="9" t="s">
        <v>37</v>
      </c>
      <c r="E4" t="s">
        <v>72</v>
      </c>
    </row>
    <row r="5" spans="1:5" x14ac:dyDescent="0.35">
      <c r="A5" t="s">
        <v>63</v>
      </c>
      <c r="B5" t="s">
        <v>10</v>
      </c>
      <c r="D5" s="10" t="s">
        <v>30</v>
      </c>
      <c r="E5" t="s">
        <v>72</v>
      </c>
    </row>
    <row r="6" spans="1:5" x14ac:dyDescent="0.35">
      <c r="A6" t="s">
        <v>35</v>
      </c>
      <c r="B6" t="s">
        <v>34</v>
      </c>
      <c r="D6" s="10" t="s">
        <v>38</v>
      </c>
      <c r="E6" t="s">
        <v>72</v>
      </c>
    </row>
    <row r="7" spans="1:5" x14ac:dyDescent="0.35">
      <c r="A7" t="s">
        <v>36</v>
      </c>
      <c r="B7" t="s">
        <v>10</v>
      </c>
      <c r="D7" s="9" t="s">
        <v>39</v>
      </c>
      <c r="E7" t="s">
        <v>72</v>
      </c>
    </row>
    <row r="8" spans="1:5" x14ac:dyDescent="0.35">
      <c r="A8" t="s">
        <v>37</v>
      </c>
      <c r="B8" t="s">
        <v>34</v>
      </c>
      <c r="D8" s="9" t="s">
        <v>39</v>
      </c>
      <c r="E8" t="s">
        <v>72</v>
      </c>
    </row>
    <row r="9" spans="1:5" x14ac:dyDescent="0.35">
      <c r="A9" t="s">
        <v>30</v>
      </c>
      <c r="B9" t="s">
        <v>34</v>
      </c>
      <c r="D9" s="9" t="s">
        <v>40</v>
      </c>
      <c r="E9" t="s">
        <v>72</v>
      </c>
    </row>
    <row r="10" spans="1:5" x14ac:dyDescent="0.35">
      <c r="A10" t="s">
        <v>26</v>
      </c>
      <c r="B10" t="s">
        <v>10</v>
      </c>
      <c r="D10" s="10" t="s">
        <v>25</v>
      </c>
      <c r="E10" t="s">
        <v>25</v>
      </c>
    </row>
    <row r="11" spans="1:5" x14ac:dyDescent="0.35">
      <c r="A11" t="s">
        <v>38</v>
      </c>
      <c r="B11" t="s">
        <v>34</v>
      </c>
      <c r="D11" s="9" t="s">
        <v>41</v>
      </c>
      <c r="E11" t="s">
        <v>72</v>
      </c>
    </row>
    <row r="12" spans="1:5" x14ac:dyDescent="0.35">
      <c r="A12" t="s">
        <v>39</v>
      </c>
      <c r="B12" t="s">
        <v>34</v>
      </c>
      <c r="D12" s="10" t="s">
        <v>42</v>
      </c>
      <c r="E12" t="s">
        <v>72</v>
      </c>
    </row>
    <row r="13" spans="1:5" x14ac:dyDescent="0.35">
      <c r="A13" t="s">
        <v>39</v>
      </c>
      <c r="B13" t="s">
        <v>34</v>
      </c>
      <c r="D13" s="10" t="s">
        <v>42</v>
      </c>
      <c r="E13" t="s">
        <v>72</v>
      </c>
    </row>
    <row r="14" spans="1:5" x14ac:dyDescent="0.35">
      <c r="A14" t="s">
        <v>66</v>
      </c>
      <c r="B14" t="s">
        <v>47</v>
      </c>
      <c r="D14" s="9" t="s">
        <v>22</v>
      </c>
      <c r="E14" t="s">
        <v>72</v>
      </c>
    </row>
    <row r="15" spans="1:5" x14ac:dyDescent="0.35">
      <c r="A15" t="s">
        <v>40</v>
      </c>
      <c r="B15" t="s">
        <v>34</v>
      </c>
      <c r="D15" s="10" t="s">
        <v>18</v>
      </c>
      <c r="E15" t="s">
        <v>72</v>
      </c>
    </row>
    <row r="16" spans="1:5" x14ac:dyDescent="0.35">
      <c r="A16" t="s">
        <v>25</v>
      </c>
      <c r="B16" t="s">
        <v>34</v>
      </c>
      <c r="D16" s="9" t="s">
        <v>50</v>
      </c>
      <c r="E16" t="s">
        <v>72</v>
      </c>
    </row>
    <row r="17" spans="1:5" x14ac:dyDescent="0.35">
      <c r="A17" t="s">
        <v>41</v>
      </c>
      <c r="B17" t="s">
        <v>34</v>
      </c>
      <c r="D17" s="9" t="s">
        <v>56</v>
      </c>
      <c r="E17" t="s">
        <v>72</v>
      </c>
    </row>
    <row r="18" spans="1:5" x14ac:dyDescent="0.35">
      <c r="A18" t="s">
        <v>42</v>
      </c>
      <c r="B18" t="s">
        <v>34</v>
      </c>
      <c r="D18" s="9" t="s">
        <v>57</v>
      </c>
      <c r="E18" t="s">
        <v>72</v>
      </c>
    </row>
    <row r="19" spans="1:5" x14ac:dyDescent="0.35">
      <c r="A19" t="s">
        <v>43</v>
      </c>
      <c r="B19" t="s">
        <v>10</v>
      </c>
      <c r="D19" s="9" t="s">
        <v>24</v>
      </c>
      <c r="E19" t="s">
        <v>72</v>
      </c>
    </row>
    <row r="20" spans="1:5" x14ac:dyDescent="0.35">
      <c r="A20" t="s">
        <v>44</v>
      </c>
      <c r="B20" t="s">
        <v>45</v>
      </c>
      <c r="D20" s="10" t="s">
        <v>21</v>
      </c>
      <c r="E20" t="s">
        <v>72</v>
      </c>
    </row>
    <row r="21" spans="1:5" x14ac:dyDescent="0.35">
      <c r="A21" t="s">
        <v>46</v>
      </c>
      <c r="B21" t="s">
        <v>47</v>
      </c>
      <c r="D21" s="9" t="s">
        <v>29</v>
      </c>
      <c r="E21" t="s">
        <v>72</v>
      </c>
    </row>
    <row r="22" spans="1:5" x14ac:dyDescent="0.35">
      <c r="A22" t="s">
        <v>19</v>
      </c>
      <c r="B22" t="s">
        <v>47</v>
      </c>
      <c r="D22" s="10" t="s">
        <v>27</v>
      </c>
      <c r="E22" t="s">
        <v>72</v>
      </c>
    </row>
    <row r="23" spans="1:5" x14ac:dyDescent="0.35">
      <c r="A23" t="s">
        <v>22</v>
      </c>
      <c r="B23" t="s">
        <v>34</v>
      </c>
      <c r="D23" s="9" t="s">
        <v>58</v>
      </c>
      <c r="E23" t="s">
        <v>72</v>
      </c>
    </row>
    <row r="24" spans="1:5" x14ac:dyDescent="0.35">
      <c r="A24" t="s">
        <v>10</v>
      </c>
      <c r="B24" t="s">
        <v>10</v>
      </c>
      <c r="D24" s="9" t="s">
        <v>15</v>
      </c>
      <c r="E24" t="s">
        <v>72</v>
      </c>
    </row>
    <row r="25" spans="1:5" x14ac:dyDescent="0.35">
      <c r="A25" t="s">
        <v>48</v>
      </c>
      <c r="B25" t="s">
        <v>47</v>
      </c>
      <c r="D25" s="10" t="s">
        <v>23</v>
      </c>
      <c r="E25" t="s">
        <v>72</v>
      </c>
    </row>
    <row r="26" spans="1:5" x14ac:dyDescent="0.35">
      <c r="A26" t="s">
        <v>49</v>
      </c>
      <c r="B26" t="s">
        <v>47</v>
      </c>
      <c r="D26" s="9" t="s">
        <v>59</v>
      </c>
      <c r="E26" t="s">
        <v>72</v>
      </c>
    </row>
    <row r="27" spans="1:5" x14ac:dyDescent="0.35">
      <c r="A27" t="s">
        <v>67</v>
      </c>
      <c r="B27" t="s">
        <v>47</v>
      </c>
      <c r="D27" s="11" t="s">
        <v>31</v>
      </c>
      <c r="E27" t="s">
        <v>72</v>
      </c>
    </row>
    <row r="28" spans="1:5" x14ac:dyDescent="0.35">
      <c r="A28" t="s">
        <v>18</v>
      </c>
      <c r="B28" t="s">
        <v>34</v>
      </c>
    </row>
    <row r="29" spans="1:5" x14ac:dyDescent="0.35">
      <c r="A29" t="s">
        <v>50</v>
      </c>
      <c r="B29" t="s">
        <v>34</v>
      </c>
    </row>
    <row r="30" spans="1:5" x14ac:dyDescent="0.35">
      <c r="A30" t="s">
        <v>51</v>
      </c>
      <c r="B30" t="s">
        <v>47</v>
      </c>
    </row>
    <row r="31" spans="1:5" x14ac:dyDescent="0.35">
      <c r="A31" t="s">
        <v>14</v>
      </c>
      <c r="B31" t="s">
        <v>52</v>
      </c>
    </row>
    <row r="32" spans="1:5" x14ac:dyDescent="0.35">
      <c r="A32" t="s">
        <v>53</v>
      </c>
      <c r="B32" t="s">
        <v>47</v>
      </c>
    </row>
    <row r="33" spans="1:2" x14ac:dyDescent="0.35">
      <c r="A33" t="s">
        <v>54</v>
      </c>
      <c r="B33" t="s">
        <v>47</v>
      </c>
    </row>
    <row r="34" spans="1:2" x14ac:dyDescent="0.35">
      <c r="A34" t="s">
        <v>55</v>
      </c>
      <c r="B34" t="s">
        <v>47</v>
      </c>
    </row>
    <row r="35" spans="1:2" x14ac:dyDescent="0.35">
      <c r="A35" t="s">
        <v>56</v>
      </c>
      <c r="B35" t="s">
        <v>34</v>
      </c>
    </row>
    <row r="36" spans="1:2" x14ac:dyDescent="0.35">
      <c r="A36" t="s">
        <v>57</v>
      </c>
      <c r="B36" t="s">
        <v>34</v>
      </c>
    </row>
    <row r="37" spans="1:2" x14ac:dyDescent="0.35">
      <c r="A37" t="s">
        <v>24</v>
      </c>
      <c r="B37" t="s">
        <v>34</v>
      </c>
    </row>
    <row r="38" spans="1:2" x14ac:dyDescent="0.35">
      <c r="A38" t="s">
        <v>21</v>
      </c>
      <c r="B38" t="s">
        <v>34</v>
      </c>
    </row>
    <row r="39" spans="1:2" x14ac:dyDescent="0.35">
      <c r="A39" t="s">
        <v>29</v>
      </c>
      <c r="B39" t="s">
        <v>34</v>
      </c>
    </row>
    <row r="40" spans="1:2" x14ac:dyDescent="0.35">
      <c r="A40" t="s">
        <v>27</v>
      </c>
      <c r="B40" t="s">
        <v>34</v>
      </c>
    </row>
    <row r="41" spans="1:2" x14ac:dyDescent="0.35">
      <c r="A41" t="s">
        <v>58</v>
      </c>
      <c r="B41" t="s">
        <v>34</v>
      </c>
    </row>
    <row r="42" spans="1:2" x14ac:dyDescent="0.35">
      <c r="A42" t="s">
        <v>15</v>
      </c>
      <c r="B42" t="s">
        <v>34</v>
      </c>
    </row>
    <row r="43" spans="1:2" x14ac:dyDescent="0.35">
      <c r="A43" t="s">
        <v>23</v>
      </c>
      <c r="B43" t="s">
        <v>34</v>
      </c>
    </row>
    <row r="44" spans="1:2" x14ac:dyDescent="0.35">
      <c r="A44" t="s">
        <v>59</v>
      </c>
      <c r="B44" t="s">
        <v>34</v>
      </c>
    </row>
    <row r="45" spans="1:2" x14ac:dyDescent="0.35">
      <c r="A45" t="s">
        <v>60</v>
      </c>
      <c r="B45" t="s">
        <v>10</v>
      </c>
    </row>
    <row r="46" spans="1:2" x14ac:dyDescent="0.35">
      <c r="A46" t="s">
        <v>61</v>
      </c>
      <c r="B46" t="s">
        <v>10</v>
      </c>
    </row>
    <row r="47" spans="1:2" x14ac:dyDescent="0.35">
      <c r="A47" t="s">
        <v>31</v>
      </c>
      <c r="B47" t="s">
        <v>34</v>
      </c>
    </row>
    <row r="48" spans="1:2" x14ac:dyDescent="0.35">
      <c r="A48" t="s">
        <v>62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2026-04-15T18:00:39Z</dcterms:modified>
</cp:coreProperties>
</file>