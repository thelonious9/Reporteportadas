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CD4B3B42-823E-4A6D-8B16-9AFECE3F3D66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</calcChain>
</file>

<file path=xl/sharedStrings.xml><?xml version="1.0" encoding="utf-8"?>
<sst xmlns="http://schemas.openxmlformats.org/spreadsheetml/2006/main" count="695" uniqueCount="198">
  <si>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</si>
  <si>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</si>
  <si>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</si>
  <si>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</si>
  <si>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</si>
  <si>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</si>
  <si>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</si>
  <si>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</si>
  <si>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</si>
  <si>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</si>
  <si>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</si>
  <si>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</si>
  <si>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</si>
  <si>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</si>
  <si>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</si>
  <si>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</si>
  <si>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</si>
  <si>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</si>
  <si>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</si>
  <si>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</si>
  <si>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</si>
  <si>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</si>
  <si>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</si>
  <si>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</si>
  <si>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</si>
  <si>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</si>
  <si>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</si>
  <si>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</si>
  <si>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</si>
  <si>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</si>
  <si>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</si>
  <si>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</si>
  <si>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</si>
  <si>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</si>
  <si>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</si>
  <si>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</si>
  <si>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</si>
  <si>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</si>
  <si>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</si>
  <si>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</si>
  <si>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</si>
  <si>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</si>
  <si>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</si>
  <si>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</si>
  <si>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</si>
  <si>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</si>
  <si>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</si>
  <si>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</si>
  <si>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</si>
  <si>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</si>
  <si>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</si>
  <si>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</si>
  <si>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</si>
  <si>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</si>
  <si>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</si>
  <si>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</si>
  <si>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</si>
  <si>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</si>
  <si>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</si>
  <si>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</si>
  <si>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</si>
  <si>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</si>
  <si>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</si>
  <si>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</si>
  <si>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</si>
  <si>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</si>
  <si>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</si>
  <si>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</si>
  <si>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</si>
  <si>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</si>
  <si>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</si>
  <si>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</si>
  <si>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</si>
  <si>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</si>
  <si>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</si>
  <si>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</si>
  <si>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</si>
  <si>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</si>
  <si>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</si>
  <si>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</si>
  <si>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</si>
  <si>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</si>
  <si>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</si>
  <si>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</si>
  <si>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Editorial</t>
  </si>
  <si>
    <t>Cuenta de Recurso editorial</t>
  </si>
  <si>
    <t>Etiquetas de fila</t>
  </si>
  <si>
    <t>Total general</t>
  </si>
  <si>
    <t>Effetá</t>
  </si>
  <si>
    <t>Pachuca Brilla</t>
  </si>
  <si>
    <t>Temas internacionales</t>
  </si>
  <si>
    <t>Recuerda: la detección temprana salva vidas</t>
  </si>
  <si>
    <t>Policía municipal</t>
  </si>
  <si>
    <t>Día De Muertos</t>
  </si>
  <si>
    <t>Temas varios</t>
  </si>
  <si>
    <t>Modernización catastral</t>
  </si>
  <si>
    <t>Percepción de inseguridad</t>
  </si>
  <si>
    <t>Plan Nacional De Vivienda</t>
  </si>
  <si>
    <t>Programas Del Bienestar</t>
  </si>
  <si>
    <t>Protesta Transportistas</t>
  </si>
  <si>
    <t>Infonavit</t>
  </si>
  <si>
    <t>Hidalgo, punto de encuentro nacional e internacional para la modernización catastral</t>
  </si>
  <si>
    <t>Transportistas recorrieron las calles en protesta</t>
  </si>
  <si>
    <t>Premian a tres hidalguenses</t>
  </si>
  <si>
    <t>Inhide</t>
  </si>
  <si>
    <t>Premio Estatal del Deporte</t>
  </si>
  <si>
    <t>Compran medicinas con apoyos sociales</t>
  </si>
  <si>
    <t>Piden investigar a Taddei</t>
  </si>
  <si>
    <t>PRI</t>
  </si>
  <si>
    <t>Conflicto de interés</t>
  </si>
  <si>
    <t>Hidalgo denuncia a Uber</t>
  </si>
  <si>
    <t>Apps de transporte</t>
  </si>
  <si>
    <t>Señalan riesgo en las nuevas evaluaciones</t>
  </si>
  <si>
    <t>Derechos laborales</t>
  </si>
  <si>
    <t>Triplican precio del Cemasúchil; dan hasta en mil pesos un ramo</t>
  </si>
  <si>
    <t>Impone Taddei consejerías en el IEEH; suma licitaciones por 135 mdp</t>
  </si>
  <si>
    <t>Estiman ingresos por 79 mil mdp</t>
  </si>
  <si>
    <t>Analizan Hoy No Circula para Pachuca</t>
  </si>
  <si>
    <t>Hoy no circula</t>
  </si>
  <si>
    <t>Vinculan a proceso a hombre y mujer por homicidio de menor en Ixmiquilpan</t>
  </si>
  <si>
    <t>Vinculación A Proceso</t>
  </si>
  <si>
    <t>Garantiza gobernador bono docente de fin de año</t>
  </si>
  <si>
    <t>Reunión con sindicato</t>
  </si>
  <si>
    <t>Se baña en oro</t>
  </si>
  <si>
    <t>Kane Balón de oro</t>
  </si>
  <si>
    <t>Prevén aplicar Hoy No Circula</t>
  </si>
  <si>
    <t>Hoy No Circula</t>
  </si>
  <si>
    <t>El presupuesto del 2027 podría ser de $79 mil millones, plantea Hacienda</t>
  </si>
  <si>
    <t>Buscará Susy la coordinación del Distrito 7 Federal</t>
  </si>
  <si>
    <t>Susana Ángeles</t>
  </si>
  <si>
    <t>Exigen mejoras laborales en el PJF</t>
  </si>
  <si>
    <t>Renuncian a sus cargos 3 en gobierno del estado</t>
  </si>
  <si>
    <t>Cambios En El Gabinete</t>
  </si>
  <si>
    <t>Contrata el IEEH a empresa investigada por caso Taddei</t>
  </si>
  <si>
    <t>Hacienda proyecta un presupuesto de 79 mil mdp</t>
  </si>
  <si>
    <t>Renuncia de la presidenta del INE, la mejor decisión: Postura de Julio Menchaca</t>
  </si>
  <si>
    <t>PRI culpa a Morena: ""Echaron a perder al Instituto"": Marco Mendoza</t>
  </si>
  <si>
    <t>Reconocen a más de dos mil trabajadors de educación</t>
  </si>
  <si>
    <t>Presentan estudiantes soluciones para Pachuca</t>
  </si>
  <si>
    <t>Participación Ciudadana</t>
  </si>
  <si>
    <t>Invertirá la capital 29 mdp en reparación de vialidades</t>
  </si>
  <si>
    <t>Atención afectaciones por lluvias</t>
  </si>
  <si>
    <t>Desmienten Morena y Verde que haya desacuerdo</t>
  </si>
  <si>
    <t>Alianzas Electorales</t>
  </si>
  <si>
    <t>Castigan los mercados el triunfo de Lula; "tiene pinta terrible", dice Trump</t>
  </si>
  <si>
    <t>Cineasta ve a través de los ojos de Elizabeth Holmes</t>
  </si>
  <si>
    <t>Caos en Pachuca por paro de los transportistas</t>
  </si>
  <si>
    <t>Charlyn Corral gana el premio a Delantera del Año 2026</t>
  </si>
  <si>
    <t>Proyectan un presupuesto estatal de 79 mil mdp para 2027</t>
  </si>
  <si>
    <t>Transportistas de Hidalgo se suman al paro nacional</t>
  </si>
  <si>
    <t>Machismo y misoginia contra Taddei, percipe CSP</t>
  </si>
  <si>
    <t>En ese marco de defender la soberanía, aprovecho para destacar el triunfo presidencial de Lula da Silva en  Brasil, donde a pesar de todas las adversidades e injerencias en su contra, la izquierda triunfó”.</t>
  </si>
  <si>
    <t>Simey</t>
  </si>
  <si>
    <t>Presupuesto de Hidalgo podría alcanzar los 79 mmdp en 2027: Hacienda</t>
  </si>
  <si>
    <t>Sheinbaum visitará Hidalgo dos días para entregar apoyos y poner en marcha inversiones</t>
  </si>
  <si>
    <t>Visita Sheinbaum</t>
  </si>
  <si>
    <t>Iniciarán sorteos de vivienda Bienestar en Actopan, Mixquiahual y Huautla</t>
  </si>
  <si>
    <t>Exigen transportistas frenar extorsiones y asaltos en carreteras</t>
  </si>
  <si>
    <t>Hidalgo formaliza denuncia ante la PGJEH contra Uber</t>
  </si>
  <si>
    <t>Proyectan presupuesto superior a 79 mil mdp para Hidalgo</t>
  </si>
  <si>
    <t>Ponen en marcha Módulos de Atención Social !Sí Confío!</t>
  </si>
  <si>
    <t>Entrega de instalaciones</t>
  </si>
  <si>
    <t>El paro de transportistas de México divide al sector</t>
  </si>
  <si>
    <t>Aplicaciones de trasporte operan sin autorización</t>
  </si>
  <si>
    <t>Gobierno de Hidalgo presenta denuncia penal contra Uber</t>
  </si>
  <si>
    <t>Entrega Vanesa Escalante apoyos de movilidad en Mixquiahuala</t>
  </si>
  <si>
    <t>Auxiliares funcionales</t>
  </si>
  <si>
    <t>Sheinbaum regresará a Hidalgo esta semana</t>
  </si>
  <si>
    <t>Tres funcionarios renuncian al Gobierno de Hidalgo</t>
  </si>
  <si>
    <t>Semot revisará seguros de taxis y colectivas</t>
  </si>
  <si>
    <t>Supervisión de transporte</t>
  </si>
  <si>
    <t>Presupuesto de Hidalgo podría superar los 79 mil millones</t>
  </si>
  <si>
    <t>Gobierno de Hidalgo formaliza denuncia contra Uber</t>
  </si>
  <si>
    <t>Charlyn Corral es reconocida como mejor delantera en el Balón de Oro</t>
  </si>
  <si>
    <t>Por su esfuerzo, vocación y años de servicio, más de dos mil trabajadoras y trabajadores de apoyo y asistencia a la educación recibieron un estímulo y fueron reconocidos por el gobernador Julio Menchaca Salazar, quien refrendo su compromiso con el fortalecimiento del sector educativo para transformar a la entidad.</t>
  </si>
  <si>
    <t>Gradúan a 40 mujeres en curso de manejo y entregan dos nuevas patrullas en Atotonilco de Tula</t>
  </si>
  <si>
    <t>Curso de manejo</t>
  </si>
  <si>
    <t>Inicia afiliación al programa Leche para el Bienestar en Tlaxcoapan</t>
  </si>
  <si>
    <t>del bienestar</t>
  </si>
  <si>
    <t>Claudia Sandoval entrega 250 sillas a la primaria Benito Juárez</t>
  </si>
  <si>
    <t>Entrega de infraestructura escolar</t>
  </si>
  <si>
    <t>Transportistas se movilizan en Hidalgo</t>
  </si>
  <si>
    <t>Said Vargas impulsa Caja de Ahorro para jubilados</t>
  </si>
  <si>
    <t>Menchaca confirma 3 renuncias y pide priorizar responsabilidades</t>
  </si>
  <si>
    <t>Más de 900 plantas dan nueva vida a la Avenida Acapulco en el Tablón</t>
  </si>
  <si>
    <t>Reforestación</t>
  </si>
  <si>
    <t>Inauguran el bachillerato Margarita Maza en Paseos de la Pradera</t>
  </si>
  <si>
    <t>Bachillerato Nacional</t>
  </si>
  <si>
    <t>2° concurso de Pan de Muerto Atitalaquia 2026</t>
  </si>
  <si>
    <t>¡Histórica! La tuza Charlyn Corral gana Balón de Oro a la Mejor Delantera</t>
  </si>
  <si>
    <t>Mediante políticas educativas, Julio Menchaca prioriza recursos para el sector</t>
  </si>
  <si>
    <t>Hidalgo podría superar los 79 mil millones de pesos de presupuesto en 2027</t>
  </si>
  <si>
    <t>Pachuca es la segunda ciudad del centro con menor percepción de inseguridad: Inegi</t>
  </si>
  <si>
    <t>Natividad Castrejón asiste al lanzamiento del Primer Concurso Nacional de Coros Escolares</t>
  </si>
  <si>
    <t>Justa Académica</t>
  </si>
  <si>
    <t>Cuida tu hogar: Mantén limpias azoteas, patios y coladeras</t>
  </si>
  <si>
    <t>Prevención De Enfermedades</t>
  </si>
  <si>
    <t>Presupuesto de egresos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</si>
</sst>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6" headerRowBorderDxfId="5">
  <autoFilter ref="A1:J71" xr:uid="{5593606E-308D-4113-AE3C-6E714B763B6E}"/>
  <tableColumns count="10">
    <tableColumn id="1" xr3:uid="{9D9ACAF2-1710-400E-A0E5-0A5BB378D4A0}" name="Fecha" dataDxfId="4"/>
    <tableColumn id="2" xr3:uid="{03A139BE-A997-45E6-81E6-5F7467162FC5}" name="Medio"/>
    <tableColumn id="3" xr3:uid="{4CA37DD5-010E-43EE-907D-87C1845DB2AB}" name="Titular" dataDxfId="3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2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1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86</v>
      </c>
      <c r="B4" t="s">
        <v>85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84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88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89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87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workbookViewId="0">
      <selection activeCell="G22" sqref="G2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46322</v>
      </c>
      <c r="B2" t="s">
        <v>79</v>
      </c>
      <c r="C2" s="5" t="s">
        <v>102</v>
      </c>
      <c r="D2" t="s">
        <v>9</v>
      </c>
      <c r="E2" t="s">
        <v>14</v>
      </c>
      <c r="F2" t="s">
        <v>14</v>
      </c>
      <c r="G2" t="s">
        <v>99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46322</v>
      </c>
      <c r="B3" t="s">
        <v>79</v>
      </c>
      <c r="C3" s="5" t="s">
        <v>103</v>
      </c>
      <c r="D3" t="s">
        <v>12</v>
      </c>
      <c r="E3" t="s">
        <v>26</v>
      </c>
      <c r="F3" t="s">
        <v>104</v>
      </c>
      <c r="G3" t="s">
        <v>105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46322</v>
      </c>
      <c r="B4" t="s">
        <v>79</v>
      </c>
      <c r="C4" s="5" t="s">
        <v>106</v>
      </c>
      <c r="D4" t="s">
        <v>13</v>
      </c>
      <c r="E4" t="s">
        <v>25</v>
      </c>
      <c r="F4" t="s">
        <v>25</v>
      </c>
      <c r="G4" t="s">
        <v>98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46322</v>
      </c>
      <c r="B5" t="s">
        <v>79</v>
      </c>
      <c r="C5" s="5" t="s">
        <v>107</v>
      </c>
      <c r="D5" t="s">
        <v>12</v>
      </c>
      <c r="E5" t="s">
        <v>108</v>
      </c>
      <c r="F5" t="s">
        <v>2</v>
      </c>
      <c r="G5" t="s">
        <v>109</v>
      </c>
      <c r="H5" t="s">
        <v>11</v>
      </c>
      <c r="I5" t="str">
        <f>_xlfn.XLOOKUP(Tabla1[[#This Row],[Dependencia]],Tabla2[Dependencia],Tabla2[Clasificación],"XXX",0)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46322</v>
      </c>
      <c r="B6" t="s">
        <v>79</v>
      </c>
      <c r="C6" s="5" t="s">
        <v>110</v>
      </c>
      <c r="D6" t="s">
        <v>12</v>
      </c>
      <c r="E6" t="s">
        <v>27</v>
      </c>
      <c r="F6" t="s">
        <v>27</v>
      </c>
      <c r="G6" t="s">
        <v>111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46322</v>
      </c>
      <c r="B7" t="s">
        <v>79</v>
      </c>
      <c r="C7" s="5" t="s">
        <v>112</v>
      </c>
      <c r="D7" t="s">
        <v>12</v>
      </c>
      <c r="E7" t="s">
        <v>10</v>
      </c>
      <c r="F7" t="s">
        <v>10</v>
      </c>
      <c r="G7" t="s">
        <v>113</v>
      </c>
      <c r="H7" t="s">
        <v>68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46322</v>
      </c>
      <c r="B8" t="s">
        <v>69</v>
      </c>
      <c r="C8" s="5" t="s">
        <v>114</v>
      </c>
      <c r="D8" t="s">
        <v>12</v>
      </c>
      <c r="E8" t="s">
        <v>10</v>
      </c>
      <c r="F8" t="s">
        <v>10</v>
      </c>
      <c r="G8" t="s">
        <v>93</v>
      </c>
      <c r="H8" t="s">
        <v>68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11">
        <v>46322</v>
      </c>
      <c r="B9" t="s">
        <v>69</v>
      </c>
      <c r="C9" s="5" t="s">
        <v>115</v>
      </c>
      <c r="D9" t="s">
        <v>13</v>
      </c>
      <c r="E9" t="s">
        <v>10</v>
      </c>
      <c r="F9" t="s">
        <v>10</v>
      </c>
      <c r="G9" t="s">
        <v>109</v>
      </c>
      <c r="H9" t="s">
        <v>68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46322</v>
      </c>
      <c r="B10" t="s">
        <v>69</v>
      </c>
      <c r="C10" s="5" t="s">
        <v>116</v>
      </c>
      <c r="D10" t="s">
        <v>12</v>
      </c>
      <c r="E10" t="s">
        <v>39</v>
      </c>
      <c r="F10" t="s">
        <v>2</v>
      </c>
      <c r="G10" t="s">
        <v>197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46322</v>
      </c>
      <c r="B11" t="s">
        <v>69</v>
      </c>
      <c r="C11" s="5" t="s">
        <v>117</v>
      </c>
      <c r="D11" t="s">
        <v>12</v>
      </c>
      <c r="E11" t="s">
        <v>27</v>
      </c>
      <c r="F11" t="s">
        <v>27</v>
      </c>
      <c r="G11" t="s">
        <v>118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11">
        <v>46322</v>
      </c>
      <c r="B12" t="s">
        <v>69</v>
      </c>
      <c r="C12" s="5" t="s">
        <v>119</v>
      </c>
      <c r="D12" t="s">
        <v>12</v>
      </c>
      <c r="E12" t="s">
        <v>17</v>
      </c>
      <c r="F12" t="s">
        <v>17</v>
      </c>
      <c r="G12" t="s">
        <v>120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46322</v>
      </c>
      <c r="B13" t="s">
        <v>69</v>
      </c>
      <c r="C13" s="5" t="s">
        <v>121</v>
      </c>
      <c r="D13" t="s">
        <v>9</v>
      </c>
      <c r="E13" t="s">
        <v>24</v>
      </c>
      <c r="F13" t="s">
        <v>24</v>
      </c>
      <c r="G13" t="s">
        <v>122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25">
      <c r="A14" s="11">
        <v>46322</v>
      </c>
      <c r="B14" t="s">
        <v>71</v>
      </c>
      <c r="C14" s="5" t="s">
        <v>123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46322</v>
      </c>
      <c r="B15" t="s">
        <v>71</v>
      </c>
      <c r="C15" s="5" t="s">
        <v>124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46322</v>
      </c>
      <c r="B16" t="s">
        <v>71</v>
      </c>
      <c r="C16" s="5" t="s">
        <v>125</v>
      </c>
      <c r="D16" t="s">
        <v>13</v>
      </c>
      <c r="E16" t="s">
        <v>27</v>
      </c>
      <c r="F16" t="s">
        <v>27</v>
      </c>
      <c r="G16" t="s">
        <v>126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46322</v>
      </c>
      <c r="B17" t="s">
        <v>71</v>
      </c>
      <c r="C17" s="5" t="s">
        <v>127</v>
      </c>
      <c r="D17" t="s">
        <v>12</v>
      </c>
      <c r="E17" t="s">
        <v>39</v>
      </c>
      <c r="F17" t="s">
        <v>2</v>
      </c>
      <c r="G17" t="s">
        <v>197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46322</v>
      </c>
      <c r="B18" t="s">
        <v>71</v>
      </c>
      <c r="C18" s="5" t="s">
        <v>128</v>
      </c>
      <c r="D18" t="s">
        <v>12</v>
      </c>
      <c r="E18" t="s">
        <v>61</v>
      </c>
      <c r="F18" t="s">
        <v>129</v>
      </c>
      <c r="G18" t="s">
        <v>61</v>
      </c>
      <c r="H18" t="s">
        <v>11</v>
      </c>
      <c r="I18" t="str">
        <f>_xlfn.XLOOKUP(Tabla1[[#This Row],[Dependencia]],Tabla2[Dependencia],Tabla2[Clasificación],"XXX",0)</f>
        <v>Sucesión gubernamental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46322</v>
      </c>
      <c r="B19" t="s">
        <v>71</v>
      </c>
      <c r="C19" s="5" t="s">
        <v>130</v>
      </c>
      <c r="D19" t="s">
        <v>12</v>
      </c>
      <c r="E19" t="s">
        <v>10</v>
      </c>
      <c r="F19" t="s">
        <v>10</v>
      </c>
      <c r="G19" t="s">
        <v>113</v>
      </c>
      <c r="H19" t="s">
        <v>68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46322</v>
      </c>
      <c r="B20" t="s">
        <v>71</v>
      </c>
      <c r="C20" s="5" t="s">
        <v>131</v>
      </c>
      <c r="D20" t="s">
        <v>12</v>
      </c>
      <c r="E20" t="s">
        <v>24</v>
      </c>
      <c r="F20" t="s">
        <v>24</v>
      </c>
      <c r="G20" t="s">
        <v>132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46322</v>
      </c>
      <c r="B21" t="s">
        <v>74</v>
      </c>
      <c r="C21" s="5" t="s">
        <v>133</v>
      </c>
      <c r="D21" t="s">
        <v>13</v>
      </c>
      <c r="E21" t="s">
        <v>40</v>
      </c>
      <c r="F21" t="s">
        <v>40</v>
      </c>
      <c r="G21" t="s">
        <v>109</v>
      </c>
      <c r="H21" t="s">
        <v>68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46322</v>
      </c>
      <c r="B22" t="s">
        <v>74</v>
      </c>
      <c r="C22" s="5" t="s">
        <v>134</v>
      </c>
      <c r="D22" t="s">
        <v>12</v>
      </c>
      <c r="E22" t="s">
        <v>39</v>
      </c>
      <c r="F22" t="s">
        <v>39</v>
      </c>
      <c r="G22" t="s">
        <v>197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46322</v>
      </c>
      <c r="B23" t="s">
        <v>74</v>
      </c>
      <c r="C23" s="5" t="s">
        <v>135</v>
      </c>
      <c r="D23" t="s">
        <v>12</v>
      </c>
      <c r="E23" t="s">
        <v>24</v>
      </c>
      <c r="F23" t="s">
        <v>24</v>
      </c>
      <c r="G23" t="s">
        <v>109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ht="30" x14ac:dyDescent="0.25">
      <c r="A24" s="11">
        <v>46322</v>
      </c>
      <c r="B24" t="s">
        <v>74</v>
      </c>
      <c r="C24" s="5" t="s">
        <v>136</v>
      </c>
      <c r="D24" t="s">
        <v>12</v>
      </c>
      <c r="E24" t="s">
        <v>18</v>
      </c>
      <c r="F24" t="s">
        <v>18</v>
      </c>
      <c r="G24" t="s">
        <v>109</v>
      </c>
      <c r="H24" t="s">
        <v>68</v>
      </c>
      <c r="I24" t="str">
        <f>_xlfn.XLOOKUP(Tabla1[[#This Row],[Dependencia]],Tabla2[Dependencia],Tabla2[Clasificación],"XXX",0)</f>
        <v>Partidos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46322</v>
      </c>
      <c r="B25" t="s">
        <v>74</v>
      </c>
      <c r="C25" s="5" t="s">
        <v>137</v>
      </c>
      <c r="D25" t="s">
        <v>9</v>
      </c>
      <c r="E25" t="s">
        <v>24</v>
      </c>
      <c r="F25" t="s">
        <v>24</v>
      </c>
      <c r="G25" t="s">
        <v>122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25">
      <c r="A26" s="11">
        <v>46322</v>
      </c>
      <c r="B26" t="s">
        <v>74</v>
      </c>
      <c r="C26" s="5" t="s">
        <v>138</v>
      </c>
      <c r="D26" t="s">
        <v>12</v>
      </c>
      <c r="E26" t="s">
        <v>26</v>
      </c>
      <c r="F26" t="s">
        <v>26</v>
      </c>
      <c r="G26" t="s">
        <v>139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46322</v>
      </c>
      <c r="B27" t="s">
        <v>74</v>
      </c>
      <c r="C27" s="5" t="s">
        <v>140</v>
      </c>
      <c r="D27" t="s">
        <v>12</v>
      </c>
      <c r="E27" t="s">
        <v>16</v>
      </c>
      <c r="F27" t="s">
        <v>16</v>
      </c>
      <c r="G27" t="s">
        <v>141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46322</v>
      </c>
      <c r="B28" t="s">
        <v>74</v>
      </c>
      <c r="C28" s="5" t="s">
        <v>142</v>
      </c>
      <c r="D28" t="s">
        <v>12</v>
      </c>
      <c r="E28" t="s">
        <v>18</v>
      </c>
      <c r="F28" t="s">
        <v>18</v>
      </c>
      <c r="G28" t="s">
        <v>143</v>
      </c>
      <c r="H28" t="s">
        <v>11</v>
      </c>
      <c r="I28" t="str">
        <f>_xlfn.XLOOKUP(Tabla1[[#This Row],[Dependencia]],Tabla2[Dependencia],Tabla2[Clasificación],"XXX",0)</f>
        <v>Partidos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46322</v>
      </c>
      <c r="B29" t="s">
        <v>74</v>
      </c>
      <c r="C29" s="5" t="s">
        <v>144</v>
      </c>
      <c r="D29" t="s">
        <v>12</v>
      </c>
      <c r="E29" t="s">
        <v>10</v>
      </c>
      <c r="F29" t="s">
        <v>10</v>
      </c>
      <c r="G29" t="s">
        <v>90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46322</v>
      </c>
      <c r="B30" t="s">
        <v>74</v>
      </c>
      <c r="C30" s="5" t="s">
        <v>145</v>
      </c>
      <c r="D30" t="s">
        <v>12</v>
      </c>
      <c r="E30" t="s">
        <v>10</v>
      </c>
      <c r="F30" t="s">
        <v>10</v>
      </c>
      <c r="G30" t="s">
        <v>94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46322</v>
      </c>
      <c r="B31" t="s">
        <v>74</v>
      </c>
      <c r="C31" s="5" t="s">
        <v>146</v>
      </c>
      <c r="D31" t="s">
        <v>12</v>
      </c>
      <c r="E31" t="s">
        <v>14</v>
      </c>
      <c r="F31" t="s">
        <v>14</v>
      </c>
      <c r="G31" t="s">
        <v>99</v>
      </c>
      <c r="H31" t="s">
        <v>68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46322</v>
      </c>
      <c r="B32" t="s">
        <v>77</v>
      </c>
      <c r="C32" s="5" t="s">
        <v>147</v>
      </c>
      <c r="D32" t="s">
        <v>9</v>
      </c>
      <c r="E32" t="s">
        <v>10</v>
      </c>
      <c r="F32" t="s">
        <v>10</v>
      </c>
      <c r="G32" t="s">
        <v>70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46322</v>
      </c>
      <c r="B33" t="s">
        <v>77</v>
      </c>
      <c r="C33" s="5" t="s">
        <v>148</v>
      </c>
      <c r="D33" t="s">
        <v>12</v>
      </c>
      <c r="E33" t="s">
        <v>39</v>
      </c>
      <c r="F33" t="s">
        <v>39</v>
      </c>
      <c r="G33" t="s">
        <v>197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46322</v>
      </c>
      <c r="B34" t="s">
        <v>77</v>
      </c>
      <c r="C34" s="5" t="s">
        <v>149</v>
      </c>
      <c r="D34" t="s">
        <v>12</v>
      </c>
      <c r="E34" t="s">
        <v>14</v>
      </c>
      <c r="F34" t="s">
        <v>14</v>
      </c>
      <c r="G34" t="s">
        <v>99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25">
      <c r="A35" s="11">
        <v>46322</v>
      </c>
      <c r="B35" t="s">
        <v>77</v>
      </c>
      <c r="C35" s="5" t="s">
        <v>150</v>
      </c>
      <c r="D35" t="s">
        <v>12</v>
      </c>
      <c r="E35" t="s">
        <v>14</v>
      </c>
      <c r="F35" t="s">
        <v>14</v>
      </c>
      <c r="G35" t="s">
        <v>109</v>
      </c>
      <c r="H35" t="s">
        <v>11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ht="60" x14ac:dyDescent="0.25">
      <c r="A36" s="11">
        <v>46322</v>
      </c>
      <c r="B36" t="s">
        <v>77</v>
      </c>
      <c r="C36" s="5" t="s">
        <v>151</v>
      </c>
      <c r="D36" t="s">
        <v>12</v>
      </c>
      <c r="E36" t="s">
        <v>61</v>
      </c>
      <c r="F36" t="s">
        <v>152</v>
      </c>
      <c r="G36" t="s">
        <v>90</v>
      </c>
      <c r="H36" t="s">
        <v>11</v>
      </c>
      <c r="I36" t="str">
        <f>_xlfn.XLOOKUP(Tabla1[[#This Row],[Dependencia]],Tabla2[Dependencia],Tabla2[Clasificación],"XXX",0)</f>
        <v>Sucesión gubernamental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46322</v>
      </c>
      <c r="B37" t="s">
        <v>73</v>
      </c>
      <c r="C37" s="5" t="s">
        <v>153</v>
      </c>
      <c r="D37" t="s">
        <v>13</v>
      </c>
      <c r="E37" t="s">
        <v>39</v>
      </c>
      <c r="F37" t="s">
        <v>2</v>
      </c>
      <c r="G37" t="s">
        <v>197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46322</v>
      </c>
      <c r="B38" t="s">
        <v>73</v>
      </c>
      <c r="C38" s="5" t="s">
        <v>154</v>
      </c>
      <c r="D38" t="s">
        <v>12</v>
      </c>
      <c r="E38" t="s">
        <v>14</v>
      </c>
      <c r="F38" t="s">
        <v>14</v>
      </c>
      <c r="G38" t="s">
        <v>155</v>
      </c>
      <c r="H38" t="s">
        <v>11</v>
      </c>
      <c r="I38" t="str">
        <f>_xlfn.XLOOKUP(Tabla1[[#This Row],[Dependencia]],Tabla2[Dependencia],Tabla2[Clasificación],"XXX",0)</f>
        <v>Presidencia de la República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46322</v>
      </c>
      <c r="B39" t="s">
        <v>73</v>
      </c>
      <c r="C39" s="5" t="s">
        <v>156</v>
      </c>
      <c r="D39" t="s">
        <v>12</v>
      </c>
      <c r="E39" t="s">
        <v>14</v>
      </c>
      <c r="F39" t="s">
        <v>100</v>
      </c>
      <c r="G39" t="s">
        <v>97</v>
      </c>
      <c r="H39" t="s">
        <v>11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46322</v>
      </c>
      <c r="B40" t="s">
        <v>73</v>
      </c>
      <c r="C40" s="5" t="s">
        <v>157</v>
      </c>
      <c r="D40" t="s">
        <v>12</v>
      </c>
      <c r="E40" t="s">
        <v>14</v>
      </c>
      <c r="F40" t="s">
        <v>14</v>
      </c>
      <c r="G40" t="s">
        <v>99</v>
      </c>
      <c r="H40" t="s">
        <v>68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46322</v>
      </c>
      <c r="B41" t="s">
        <v>73</v>
      </c>
      <c r="C41" s="5" t="s">
        <v>158</v>
      </c>
      <c r="D41" t="s">
        <v>12</v>
      </c>
      <c r="E41" t="s">
        <v>27</v>
      </c>
      <c r="F41" t="s">
        <v>27</v>
      </c>
      <c r="G41" t="s">
        <v>111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46322</v>
      </c>
      <c r="B42" t="s">
        <v>76</v>
      </c>
      <c r="C42" s="5" t="s">
        <v>159</v>
      </c>
      <c r="D42" t="s">
        <v>13</v>
      </c>
      <c r="E42" t="s">
        <v>39</v>
      </c>
      <c r="F42" t="s">
        <v>39</v>
      </c>
      <c r="G42" t="s">
        <v>197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46322</v>
      </c>
      <c r="B43" t="s">
        <v>76</v>
      </c>
      <c r="C43" s="5" t="s">
        <v>160</v>
      </c>
      <c r="D43" t="s">
        <v>12</v>
      </c>
      <c r="E43" t="s">
        <v>24</v>
      </c>
      <c r="F43" t="s">
        <v>24</v>
      </c>
      <c r="G43" t="s">
        <v>161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11">
        <v>46322</v>
      </c>
      <c r="B44" t="s">
        <v>76</v>
      </c>
      <c r="C44" s="5" t="s">
        <v>162</v>
      </c>
      <c r="D44" t="s">
        <v>12</v>
      </c>
      <c r="E44" t="s">
        <v>14</v>
      </c>
      <c r="F44" t="s">
        <v>14</v>
      </c>
      <c r="G44" t="s">
        <v>99</v>
      </c>
      <c r="H44" t="s">
        <v>68</v>
      </c>
      <c r="I44" t="str">
        <f>_xlfn.XLOOKUP(Tabla1[[#This Row],[Dependencia]],Tabla2[Dependencia],Tabla2[Clasificación],"XXX",0)</f>
        <v>Presidencia de la República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46322</v>
      </c>
      <c r="B45" t="s">
        <v>76</v>
      </c>
      <c r="C45" s="5" t="s">
        <v>163</v>
      </c>
      <c r="D45" t="s">
        <v>12</v>
      </c>
      <c r="E45" t="s">
        <v>27</v>
      </c>
      <c r="F45" t="s">
        <v>27</v>
      </c>
      <c r="G45" t="s">
        <v>111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46322</v>
      </c>
      <c r="B46" t="s">
        <v>88</v>
      </c>
      <c r="C46" s="5" t="s">
        <v>164</v>
      </c>
      <c r="D46" t="s">
        <v>13</v>
      </c>
      <c r="E46" t="s">
        <v>27</v>
      </c>
      <c r="F46" t="s">
        <v>27</v>
      </c>
      <c r="G46" t="s">
        <v>111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46322</v>
      </c>
      <c r="B47" t="s">
        <v>88</v>
      </c>
      <c r="C47" s="5" t="s">
        <v>165</v>
      </c>
      <c r="D47" t="s">
        <v>12</v>
      </c>
      <c r="E47" t="s">
        <v>15</v>
      </c>
      <c r="F47" t="s">
        <v>2</v>
      </c>
      <c r="G47" t="s">
        <v>166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46322</v>
      </c>
      <c r="B48" t="s">
        <v>88</v>
      </c>
      <c r="C48" s="5" t="s">
        <v>167</v>
      </c>
      <c r="D48" t="s">
        <v>9</v>
      </c>
      <c r="E48" t="s">
        <v>24</v>
      </c>
      <c r="F48" t="s">
        <v>24</v>
      </c>
      <c r="G48" t="s">
        <v>155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25">
      <c r="A49" s="11">
        <v>46322</v>
      </c>
      <c r="B49" t="s">
        <v>88</v>
      </c>
      <c r="C49" s="5" t="s">
        <v>168</v>
      </c>
      <c r="D49" t="s">
        <v>12</v>
      </c>
      <c r="E49" t="s">
        <v>24</v>
      </c>
      <c r="F49" t="s">
        <v>24</v>
      </c>
      <c r="G49" t="s">
        <v>132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Gobernador</v>
      </c>
    </row>
    <row r="50" spans="1:10" x14ac:dyDescent="0.25">
      <c r="A50" s="11">
        <v>46322</v>
      </c>
      <c r="B50" t="s">
        <v>88</v>
      </c>
      <c r="C50" s="5" t="s">
        <v>169</v>
      </c>
      <c r="D50" t="s">
        <v>12</v>
      </c>
      <c r="E50" t="s">
        <v>27</v>
      </c>
      <c r="F50" t="s">
        <v>27</v>
      </c>
      <c r="G50" t="s">
        <v>170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46322</v>
      </c>
      <c r="B51" t="s">
        <v>88</v>
      </c>
      <c r="C51" s="5" t="s">
        <v>171</v>
      </c>
      <c r="D51" t="s">
        <v>12</v>
      </c>
      <c r="E51" t="s">
        <v>39</v>
      </c>
      <c r="F51" t="s">
        <v>39</v>
      </c>
      <c r="G51" t="s">
        <v>197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11">
        <v>46322</v>
      </c>
      <c r="B52" t="s">
        <v>80</v>
      </c>
      <c r="C52" s="5" t="s">
        <v>172</v>
      </c>
      <c r="D52" t="s">
        <v>81</v>
      </c>
      <c r="E52" t="s">
        <v>27</v>
      </c>
      <c r="F52" t="s">
        <v>27</v>
      </c>
      <c r="G52" t="s">
        <v>111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46322</v>
      </c>
      <c r="B53" t="s">
        <v>80</v>
      </c>
      <c r="C53" s="5" t="s">
        <v>173</v>
      </c>
      <c r="D53" t="s">
        <v>12</v>
      </c>
      <c r="E53" t="s">
        <v>10</v>
      </c>
      <c r="F53" t="s">
        <v>10</v>
      </c>
      <c r="G53" t="s">
        <v>70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46322</v>
      </c>
      <c r="B54" t="s">
        <v>80</v>
      </c>
      <c r="C54" s="5" t="s">
        <v>101</v>
      </c>
      <c r="D54" t="s">
        <v>13</v>
      </c>
      <c r="E54" t="s">
        <v>39</v>
      </c>
      <c r="F54" t="s">
        <v>39</v>
      </c>
      <c r="G54" t="s">
        <v>95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105" x14ac:dyDescent="0.25">
      <c r="A55" s="11">
        <v>46322</v>
      </c>
      <c r="B55" t="s">
        <v>80</v>
      </c>
      <c r="C55" s="5" t="s">
        <v>174</v>
      </c>
      <c r="D55" t="s">
        <v>9</v>
      </c>
      <c r="E55" t="s">
        <v>24</v>
      </c>
      <c r="F55" t="s">
        <v>24</v>
      </c>
      <c r="G55" t="s">
        <v>122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46322</v>
      </c>
      <c r="B56" t="s">
        <v>80</v>
      </c>
      <c r="C56" s="5" t="s">
        <v>175</v>
      </c>
      <c r="D56" t="s">
        <v>12</v>
      </c>
      <c r="E56" t="s">
        <v>16</v>
      </c>
      <c r="F56" t="s">
        <v>92</v>
      </c>
      <c r="G56" t="s">
        <v>176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46322</v>
      </c>
      <c r="B57" t="s">
        <v>80</v>
      </c>
      <c r="C57" s="5" t="s">
        <v>177</v>
      </c>
      <c r="D57" t="s">
        <v>12</v>
      </c>
      <c r="E57" t="s">
        <v>25</v>
      </c>
      <c r="F57" t="s">
        <v>25</v>
      </c>
      <c r="G57" t="s">
        <v>178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46322</v>
      </c>
      <c r="B58" t="s">
        <v>80</v>
      </c>
      <c r="C58" s="5" t="s">
        <v>179</v>
      </c>
      <c r="D58" t="s">
        <v>12</v>
      </c>
      <c r="E58" t="s">
        <v>16</v>
      </c>
      <c r="F58" t="s">
        <v>83</v>
      </c>
      <c r="G58" t="s">
        <v>180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46322</v>
      </c>
      <c r="B59" t="s">
        <v>80</v>
      </c>
      <c r="C59" s="5" t="s">
        <v>181</v>
      </c>
      <c r="D59" t="s">
        <v>12</v>
      </c>
      <c r="E59" t="s">
        <v>14</v>
      </c>
      <c r="F59" t="s">
        <v>14</v>
      </c>
      <c r="G59" t="s">
        <v>99</v>
      </c>
      <c r="H59" t="s">
        <v>68</v>
      </c>
      <c r="I59" t="str">
        <f>_xlfn.XLOOKUP(Tabla1[[#This Row],[Dependencia]],Tabla2[Dependencia],Tabla2[Clasificación],"XXX",0)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46322</v>
      </c>
      <c r="B60" t="s">
        <v>80</v>
      </c>
      <c r="C60" s="5" t="s">
        <v>182</v>
      </c>
      <c r="D60" t="s">
        <v>12</v>
      </c>
      <c r="E60" t="s">
        <v>10</v>
      </c>
      <c r="F60" t="s">
        <v>10</v>
      </c>
      <c r="G60" t="s">
        <v>122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46322</v>
      </c>
      <c r="B61" t="s">
        <v>80</v>
      </c>
      <c r="C61" s="5" t="s">
        <v>183</v>
      </c>
      <c r="D61" t="s">
        <v>12</v>
      </c>
      <c r="E61" t="s">
        <v>24</v>
      </c>
      <c r="F61" t="s">
        <v>24</v>
      </c>
      <c r="G61" t="s">
        <v>132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11">
        <v>46322</v>
      </c>
      <c r="B62" t="s">
        <v>80</v>
      </c>
      <c r="C62" s="5" t="s">
        <v>184</v>
      </c>
      <c r="D62" t="s">
        <v>12</v>
      </c>
      <c r="E62" t="s">
        <v>16</v>
      </c>
      <c r="F62" t="s">
        <v>16</v>
      </c>
      <c r="G62" t="s">
        <v>185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46322</v>
      </c>
      <c r="B63" t="s">
        <v>80</v>
      </c>
      <c r="C63" s="5" t="s">
        <v>186</v>
      </c>
      <c r="D63" t="s">
        <v>12</v>
      </c>
      <c r="E63" t="s">
        <v>16</v>
      </c>
      <c r="F63" t="s">
        <v>16</v>
      </c>
      <c r="G63" t="s">
        <v>187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x14ac:dyDescent="0.25">
      <c r="A64" s="11">
        <v>46322</v>
      </c>
      <c r="B64" t="s">
        <v>80</v>
      </c>
      <c r="C64" s="5" t="s">
        <v>188</v>
      </c>
      <c r="D64" t="s">
        <v>78</v>
      </c>
      <c r="E64" t="s">
        <v>16</v>
      </c>
      <c r="F64" t="s">
        <v>16</v>
      </c>
      <c r="G64" t="s">
        <v>93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ht="30" x14ac:dyDescent="0.25">
      <c r="A65" s="11">
        <v>46322</v>
      </c>
      <c r="B65" t="s">
        <v>89</v>
      </c>
      <c r="C65" s="5" t="s">
        <v>189</v>
      </c>
      <c r="D65" t="s">
        <v>13</v>
      </c>
      <c r="E65" t="s">
        <v>10</v>
      </c>
      <c r="F65" t="s">
        <v>10</v>
      </c>
      <c r="G65" t="s">
        <v>70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46322</v>
      </c>
      <c r="B66" t="s">
        <v>89</v>
      </c>
      <c r="C66" s="5" t="s">
        <v>190</v>
      </c>
      <c r="D66" t="s">
        <v>12</v>
      </c>
      <c r="E66" t="s">
        <v>24</v>
      </c>
      <c r="F66" t="s">
        <v>24</v>
      </c>
      <c r="G66" t="s">
        <v>122</v>
      </c>
      <c r="H66" t="s">
        <v>72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ht="30" x14ac:dyDescent="0.25">
      <c r="A67" s="11">
        <v>46322</v>
      </c>
      <c r="B67" t="s">
        <v>89</v>
      </c>
      <c r="C67" s="5" t="s">
        <v>191</v>
      </c>
      <c r="D67" t="s">
        <v>12</v>
      </c>
      <c r="E67" t="s">
        <v>39</v>
      </c>
      <c r="F67" t="s">
        <v>2</v>
      </c>
      <c r="G67" t="s">
        <v>197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11">
        <v>46322</v>
      </c>
      <c r="B68" t="s">
        <v>89</v>
      </c>
      <c r="C68" s="5" t="s">
        <v>192</v>
      </c>
      <c r="D68" t="s">
        <v>12</v>
      </c>
      <c r="E68" t="s">
        <v>16</v>
      </c>
      <c r="F68" t="s">
        <v>92</v>
      </c>
      <c r="G68" t="s">
        <v>96</v>
      </c>
      <c r="H68" t="s">
        <v>72</v>
      </c>
      <c r="I68" t="str">
        <f>_xlfn.XLOOKUP(Tabla1[[#This Row],[Dependencia]],Tabla2[Dependencia],Tabla2[Clasificación],"XXX",0)</f>
        <v>Alcaldías</v>
      </c>
      <c r="J68" t="str">
        <f>_xlfn.XLOOKUP(Tabla1[[#This Row],[Dependencia]],Tabla3[Dependencia],Tabla3[Nivel],"Otros",0)</f>
        <v>Otros</v>
      </c>
    </row>
    <row r="69" spans="1:10" ht="30" x14ac:dyDescent="0.25">
      <c r="A69" s="11">
        <v>46322</v>
      </c>
      <c r="B69" t="s">
        <v>89</v>
      </c>
      <c r="C69" s="5" t="s">
        <v>193</v>
      </c>
      <c r="D69" t="s">
        <v>12</v>
      </c>
      <c r="E69" t="s">
        <v>26</v>
      </c>
      <c r="F69" t="s">
        <v>2</v>
      </c>
      <c r="G69" t="s">
        <v>194</v>
      </c>
      <c r="H69" t="s">
        <v>11</v>
      </c>
      <c r="I69" t="str">
        <f>_xlfn.XLOOKUP(Tabla1[[#This Row],[Dependencia]],Tabla2[Dependencia],Tabla2[Clasificación],"XXX",0)</f>
        <v>Gobierno del estado</v>
      </c>
      <c r="J69" t="str">
        <f>_xlfn.XLOOKUP(Tabla1[[#This Row],[Dependencia]],Tabla3[Dependencia],Tabla3[Nivel],"Otros",0)</f>
        <v>Gabinete</v>
      </c>
    </row>
    <row r="70" spans="1:10" ht="30" x14ac:dyDescent="0.25">
      <c r="A70" s="11">
        <v>46322</v>
      </c>
      <c r="B70" t="s">
        <v>89</v>
      </c>
      <c r="C70" s="5" t="s">
        <v>195</v>
      </c>
      <c r="D70" t="s">
        <v>78</v>
      </c>
      <c r="E70" t="s">
        <v>15</v>
      </c>
      <c r="F70" t="s">
        <v>15</v>
      </c>
      <c r="G70" t="s">
        <v>196</v>
      </c>
      <c r="H70" t="s">
        <v>11</v>
      </c>
      <c r="I70" t="str">
        <f>_xlfn.XLOOKUP(Tabla1[[#This Row],[Dependencia]],Tabla2[Dependencia],Tabla2[Clasificación],"XXX",0)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25">
      <c r="A71" s="11">
        <v>46322</v>
      </c>
      <c r="B71" t="s">
        <v>89</v>
      </c>
      <c r="C71" s="5" t="s">
        <v>91</v>
      </c>
      <c r="D71" t="s">
        <v>78</v>
      </c>
      <c r="E71" t="s">
        <v>16</v>
      </c>
      <c r="F71" t="s">
        <v>16</v>
      </c>
      <c r="G71" t="s">
        <v>82</v>
      </c>
      <c r="H71" t="s">
        <v>11</v>
      </c>
      <c r="I71" t="str">
        <f>_xlfn.XLOOKUP(Tabla1[[#This Row],[Dependencia]],Tabla2[Dependencia],Tabla2[Clasificación],"XXX",0)</f>
        <v>Alcaldías</v>
      </c>
      <c r="J71" t="str">
        <f>_xlfn.XLOOKUP(Tabla1[[#This Row],[Dependencia]],Tabla3[Dependencia],Tabla3[Nivel],"Otros",0)</f>
        <v>Otros</v>
      </c>
    </row>
  </sheetData>
  <conditionalFormatting sqref="I2:I71">
    <cfRule type="expression" dxfId="0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2026-10-27T16:17:18Z</dcterms:modified>
</cp:coreProperties>
</file>