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E04F69DC-9EE8-4278-91F8-EB32260302D1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I2" i="1"/>
  <c r="J2" i="1"/>
</calcChain>
</file>

<file path=xl/sharedStrings.xml><?xml version="1.0" encoding="utf-8"?>
<sst xmlns="http://schemas.openxmlformats.org/spreadsheetml/2006/main" count="608" uniqueCount="192">
  <si>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</si>
  <si>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</si>
  <si>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</si>
  <si>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</si>
  <si>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</si>
  <si>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</si>
  <si>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</si>
  <si>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</si>
  <si>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</si>
  <si>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</si>
  <si>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</si>
  <si>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</si>
  <si>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</si>
  <si>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</si>
  <si>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</si>
  <si>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</si>
  <si>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</si>
  <si>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</si>
  <si>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</si>
  <si>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</si>
  <si>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</si>
  <si>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</si>
  <si>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</si>
  <si>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</si>
  <si>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</si>
  <si>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</si>
  <si>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</si>
  <si>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</si>
  <si>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</si>
  <si>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</si>
  <si>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</si>
  <si>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</si>
  <si>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</si>
  <si>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</si>
  <si>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</si>
  <si>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</si>
  <si>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</si>
  <si>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</si>
  <si>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</si>
  <si>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</si>
  <si>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</si>
  <si>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</si>
  <si>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</si>
  <si>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</si>
  <si>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</si>
  <si>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</si>
  <si>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</si>
  <si>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</si>
  <si>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</si>
  <si>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</si>
  <si>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</si>
  <si>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</si>
  <si>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</si>
  <si>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</si>
  <si>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</si>
  <si>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</si>
  <si>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</si>
  <si>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</si>
  <si>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</si>
  <si>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</si>
  <si>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</si>
  <si>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</si>
  <si>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</si>
  <si>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</si>
  <si>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</si>
  <si>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</si>
  <si>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</si>
  <si>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</si>
  <si>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</si>
  <si>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</si>
  <si>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</si>
  <si>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</si>
  <si>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Negativa</t>
  </si>
  <si>
    <t>Milenio Hidalgo</t>
  </si>
  <si>
    <t>El Universal Hidalgo</t>
  </si>
  <si>
    <t>Criterio</t>
  </si>
  <si>
    <t>Pachuca Brilla</t>
  </si>
  <si>
    <t>Temas varios</t>
  </si>
  <si>
    <t>Deportes</t>
  </si>
  <si>
    <t>Plaza Juárez</t>
  </si>
  <si>
    <t>Publicidad</t>
  </si>
  <si>
    <t>Marfeca</t>
  </si>
  <si>
    <t>Cintillo</t>
  </si>
  <si>
    <t>Muralismo</t>
  </si>
  <si>
    <t>Videovigilancia</t>
  </si>
  <si>
    <t>Abasto de agua</t>
  </si>
  <si>
    <t>Zunoticia</t>
  </si>
  <si>
    <t>Órganos de Control Interno</t>
  </si>
  <si>
    <t>Accidente Vial</t>
  </si>
  <si>
    <t>Trasladarse al empleo presiona la economía</t>
  </si>
  <si>
    <t>Aumento Tarifa De Transporte</t>
  </si>
  <si>
    <t>Dan a conocer nuevos cambios en parroquias</t>
  </si>
  <si>
    <t>La Rhesidencia cierra sus puertas en Pachuca</t>
  </si>
  <si>
    <t>Constante afluencia a la Feria del Libro</t>
  </si>
  <si>
    <t>Feria Del Libro</t>
  </si>
  <si>
    <t>Tras restauración, vuelve imagen de Santa Rosa</t>
  </si>
  <si>
    <t>INAH</t>
  </si>
  <si>
    <t>Conservación del Patrimonio Cultural</t>
  </si>
  <si>
    <t>Modifican calendario interno en Morena</t>
  </si>
  <si>
    <t>Elecciones</t>
  </si>
  <si>
    <t>Suman a siete municipios a la Zona Metropolitana</t>
  </si>
  <si>
    <t>ZMVM</t>
  </si>
  <si>
    <t>Economía de Hidalgo crece 8.2%, es primero en el país</t>
  </si>
  <si>
    <t>Crecimiento Económico</t>
  </si>
  <si>
    <t>Impugna Tribunal nombramiento de contralor interno</t>
  </si>
  <si>
    <t>Va el PVEM por duplicar municipios</t>
  </si>
  <si>
    <t>Sucesión alcaldía</t>
  </si>
  <si>
    <t>Homicidios bajan 20% en el estado</t>
  </si>
  <si>
    <t>Incidencia Delictiva</t>
  </si>
  <si>
    <t>Encontró su reto</t>
  </si>
  <si>
    <t>Tuzos buscan nueva vida</t>
  </si>
  <si>
    <t>Presión social mete el freno a dos proyectos</t>
  </si>
  <si>
    <t>Cancelación de proyectos</t>
  </si>
  <si>
    <t>Cerró julio con 10 homicidios; 4 se reportaron en Atitalaquia</t>
  </si>
  <si>
    <t>Sin registro de instituciones militarizadas en la entidad</t>
  </si>
  <si>
    <t>Escuelas militarizadas</t>
  </si>
  <si>
    <t>Pide TEEH revocar designación de su contralor interno; el caso va al Trife</t>
  </si>
  <si>
    <t>Órganos de Control Internos</t>
  </si>
  <si>
    <t>Lo taparon y revivió: el bache inmune</t>
  </si>
  <si>
    <t>Baches</t>
  </si>
  <si>
    <t>Cada 48 horas, un percance de motocicleta en Pachuca</t>
  </si>
  <si>
    <t>Advierten aplicación estricta de sanciones</t>
  </si>
  <si>
    <t>Multa de tránsito</t>
  </si>
  <si>
    <t>Violencia familiar, lesiones y amenazas representan 71%</t>
  </si>
  <si>
    <t>Violencia familiar</t>
  </si>
  <si>
    <t>En julio 133 unidades fueron restituidas a propietarios</t>
  </si>
  <si>
    <t>Recuperación De Vehículos Robados</t>
  </si>
  <si>
    <t>Ampliarán el abasto de agua en Pacula</t>
  </si>
  <si>
    <t>Demanda medio EU a Trump por nuevos aranceles</t>
  </si>
  <si>
    <t>Aranceles</t>
  </si>
  <si>
    <t>Especialistas suben a 1.2% expectativa de crecimiento; los empresarios, cautelosos</t>
  </si>
  <si>
    <t>Aumentan 3.1% las remesas, pese a presión antimigratoria</t>
  </si>
  <si>
    <t>Remesas</t>
  </si>
  <si>
    <t>El actor John Leguizamo y la odisea de ser latino en Hollywood</t>
  </si>
  <si>
    <t>Se integran al Valle de México 7 municipios de la entidad</t>
  </si>
  <si>
    <t>Buscan proteger el cielo nocturno de Huasca</t>
  </si>
  <si>
    <t>Cielo oscuro</t>
  </si>
  <si>
    <t>Hidalgo agrega siete municipios más a la ZMVM</t>
  </si>
  <si>
    <t>EN el ranking de aprobación de gobernadores del mes de julio, el mandatario estatal Julio Menchaca obtuvo 69.1% de la aceptación ciudadana, de acuerdo con Demoscopia</t>
  </si>
  <si>
    <t>Aprobación Gobernador</t>
  </si>
  <si>
    <t>TEEH impugna nombrambiento de su contralor</t>
  </si>
  <si>
    <t>Órganos Internos e Control</t>
  </si>
  <si>
    <t>Recuperan Canal Once; indagan responsabilidades</t>
  </si>
  <si>
    <t>Durante la primera sesión ordinaria del Consejo de Desarrollo Metropolitano del Valle de México, fue aprobada por unanimidad la incorporación  de los municipios</t>
  </si>
  <si>
    <t>Cuando se habla de compartir inteligencia y videovigilancia entre estados, no se está hablando de burocracia adicional: se está hablando de cerrarle a la delincuenciala única ventaja que hoy tiene  garantizada sin que nadie se la dispute”.</t>
  </si>
  <si>
    <t>Se incorporan siete municipios hidalguenses a la Zona Metropolitana del Valle de México</t>
  </si>
  <si>
    <t>Inauguran juzgado especializado para acortar la espera de infantes que buscan familia</t>
  </si>
  <si>
    <t>Juzgado Especializado</t>
  </si>
  <si>
    <t>Víctimas pierden hasta 15 mil pesos por falsas ofertas de trabajo en el extranjero</t>
  </si>
  <si>
    <t>Alerta De Fraude</t>
  </si>
  <si>
    <t>Impugna Tribunal Electoral del estado nombramiento de contralor interno</t>
  </si>
  <si>
    <t>Órganos Internos de Control</t>
  </si>
  <si>
    <t>Huejutla celebrará el segundo festival de pueblos originarios ""Tlajtoli 2026""</t>
  </si>
  <si>
    <t>alcald</t>
  </si>
  <si>
    <t>Tlajtoli</t>
  </si>
  <si>
    <t>Consolida Hidalgo integración a la Zona Metropolitana del Valle de México de 8 municipios hidalguenses</t>
  </si>
  <si>
    <t>Artistas muralistas plasmarán la belleza histórica de Huejutla</t>
  </si>
  <si>
    <t>Cierran calles del Centro de Huejutla por festival Tlajtoli</t>
  </si>
  <si>
    <t>Estado de Hidalgo entre los primeros 10 estados que generan empleos formales</t>
  </si>
  <si>
    <t>Empleo formal</t>
  </si>
  <si>
    <t>Mujer pierde la vida en trágico accidente vial en Tula</t>
  </si>
  <si>
    <t>Accidente transporte público</t>
  </si>
  <si>
    <t>La DILIJ Hidalgo 2026 continúa con literatura, cine, música y teatro para toda la familia</t>
  </si>
  <si>
    <t>Menchaca consolida integración de ocho municipios hidalguenses</t>
  </si>
  <si>
    <t>¡Histórico! Atitalaquia ya forma parte de la zona Metropolitana del Valle de México</t>
  </si>
  <si>
    <t>Tlaxcoapan participa en la Primera Sesión del Consejo de Desarrollo Metropolitano del Valle de México</t>
  </si>
  <si>
    <t>Alcalde</t>
  </si>
  <si>
    <t>Zitlaly Zúñiga inaugura cancha de futbol 5 en Ajacuba</t>
  </si>
  <si>
    <t>Fomento Al Deporte</t>
  </si>
  <si>
    <t>Durante julio se recuperaron 133 vehículos robados</t>
  </si>
  <si>
    <t>Reunión Gabinete De Seguridad</t>
  </si>
  <si>
    <t>Promueven la prevención de la violencia contra personas adultas mayores en Tlahuelilpan</t>
  </si>
  <si>
    <t>Atención a adultos mayores</t>
  </si>
  <si>
    <t>¡Únete a nuestro equipo!</t>
  </si>
  <si>
    <t>Publicidad comercial</t>
  </si>
  <si>
    <t>Julio Menchaca consolida integración de ocho municipios hidalguenses a la zona metropolitana del Valle de México</t>
  </si>
  <si>
    <t>La entidad, entre los primeros 10 estados en generación de empleo</t>
  </si>
  <si>
    <t>Tuzos comienzan participación en Leagues Cup ante Cincinnati</t>
  </si>
  <si>
    <t>El estado cumple con cobertura total de "Vive Saludable, Vive Feliz"</t>
  </si>
  <si>
    <t>Vida Saludable</t>
  </si>
  <si>
    <t>Crecimiento, empleo y certeza impulsan a Hidalgo como potencia económica en marcha</t>
  </si>
  <si>
    <t>Mañanera de Hidalgo</t>
  </si>
  <si>
    <t>Conecta con las mejores opciones financieras</t>
  </si>
  <si>
    <t>Expo industrial</t>
  </si>
  <si>
    <t>Seguridad</t>
  </si>
  <si>
    <t>Hidalgo lidera crecimiento económico nacional: Sedeco</t>
  </si>
  <si>
    <t>Impugna TEEH la designación de titular del OIC</t>
  </si>
  <si>
    <t>Sheinbaum recibirá a maestros de Oaxaca para revisar acuerdos</t>
  </si>
  <si>
    <t>Paro nacional</t>
  </si>
  <si>
    <t>Balacera entre Guardia Nacional y agresores deja dos heridos</t>
  </si>
  <si>
    <t>GN</t>
  </si>
  <si>
    <t>Enfrentamiento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</si>
</sst>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5" headerRowBorderDxfId="4">
  <autoFilter ref="A1:J65" xr:uid="{5593606E-308D-4113-AE3C-6E714B763B6E}"/>
  <sortState xmlns:xlrd2="http://schemas.microsoft.com/office/spreadsheetml/2017/richdata2" ref="A2:J2">
    <sortCondition ref="C1:C3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workbookViewId="0">
      <selection activeCell="A2" sqref="A2:H65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46238</v>
      </c>
      <c r="B2" t="s">
        <v>67</v>
      </c>
      <c r="C2" s="5" t="s">
        <v>89</v>
      </c>
      <c r="D2" t="s">
        <v>13</v>
      </c>
      <c r="E2" t="s">
        <v>27</v>
      </c>
      <c r="F2" t="s">
        <v>27</v>
      </c>
      <c r="G2" t="s">
        <v>90</v>
      </c>
      <c r="H2" t="s">
        <v>72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35">
      <c r="A3" s="11">
        <v>46238</v>
      </c>
      <c r="B3" t="s">
        <v>67</v>
      </c>
      <c r="C3" s="5" t="s">
        <v>91</v>
      </c>
      <c r="D3" t="s">
        <v>12</v>
      </c>
      <c r="E3" t="s">
        <v>10</v>
      </c>
      <c r="F3" t="s">
        <v>10</v>
      </c>
      <c r="G3" t="s">
        <v>77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46238</v>
      </c>
      <c r="B4" t="s">
        <v>67</v>
      </c>
      <c r="C4" s="5" t="s">
        <v>92</v>
      </c>
      <c r="D4" t="s">
        <v>12</v>
      </c>
      <c r="E4" t="s">
        <v>10</v>
      </c>
      <c r="F4" t="s">
        <v>10</v>
      </c>
      <c r="G4" t="s">
        <v>77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46238</v>
      </c>
      <c r="B5" t="s">
        <v>67</v>
      </c>
      <c r="C5" s="5" t="s">
        <v>93</v>
      </c>
      <c r="D5" t="s">
        <v>9</v>
      </c>
      <c r="E5" t="s">
        <v>28</v>
      </c>
      <c r="F5" t="s">
        <v>28</v>
      </c>
      <c r="G5" t="s">
        <v>94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11">
        <v>46238</v>
      </c>
      <c r="B6" t="s">
        <v>67</v>
      </c>
      <c r="C6" s="5" t="s">
        <v>95</v>
      </c>
      <c r="D6" t="s">
        <v>12</v>
      </c>
      <c r="E6" t="s">
        <v>14</v>
      </c>
      <c r="F6" t="s">
        <v>96</v>
      </c>
      <c r="G6" t="s">
        <v>97</v>
      </c>
      <c r="H6" t="s">
        <v>11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46238</v>
      </c>
      <c r="B7" t="s">
        <v>67</v>
      </c>
      <c r="C7" s="5" t="s">
        <v>98</v>
      </c>
      <c r="D7" t="s">
        <v>12</v>
      </c>
      <c r="E7" t="s">
        <v>18</v>
      </c>
      <c r="F7" t="s">
        <v>18</v>
      </c>
      <c r="G7" t="s">
        <v>99</v>
      </c>
      <c r="H7" t="s">
        <v>11</v>
      </c>
      <c r="I7" t="str">
        <f>_xlfn.XLOOKUP(Tabla1[[#This Row],[Dependencia]],Tabla2[Dependencia],Tabla2[Clasificación],"XXX",0)</f>
        <v>Partidos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46238</v>
      </c>
      <c r="B8" t="s">
        <v>74</v>
      </c>
      <c r="C8" s="5" t="s">
        <v>100</v>
      </c>
      <c r="D8" t="s">
        <v>9</v>
      </c>
      <c r="E8" t="s">
        <v>24</v>
      </c>
      <c r="F8" t="s">
        <v>24</v>
      </c>
      <c r="G8" t="s">
        <v>101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35">
      <c r="A9" s="11">
        <v>46238</v>
      </c>
      <c r="B9" t="s">
        <v>74</v>
      </c>
      <c r="C9" s="5" t="s">
        <v>102</v>
      </c>
      <c r="D9" t="s">
        <v>13</v>
      </c>
      <c r="E9" t="s">
        <v>54</v>
      </c>
      <c r="F9" t="s">
        <v>54</v>
      </c>
      <c r="G9" t="s">
        <v>103</v>
      </c>
      <c r="H9" t="s">
        <v>68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46238</v>
      </c>
      <c r="B10" t="s">
        <v>74</v>
      </c>
      <c r="C10" s="5" t="s">
        <v>104</v>
      </c>
      <c r="D10" t="s">
        <v>12</v>
      </c>
      <c r="E10" t="s">
        <v>57</v>
      </c>
      <c r="F10" t="s">
        <v>57</v>
      </c>
      <c r="G10" t="s">
        <v>87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46238</v>
      </c>
      <c r="B11" t="s">
        <v>74</v>
      </c>
      <c r="C11" s="5" t="s">
        <v>105</v>
      </c>
      <c r="D11" t="s">
        <v>12</v>
      </c>
      <c r="E11" t="s">
        <v>52</v>
      </c>
      <c r="F11" t="s">
        <v>52</v>
      </c>
      <c r="G11" t="s">
        <v>106</v>
      </c>
      <c r="H11" t="s">
        <v>11</v>
      </c>
      <c r="I11" t="str">
        <f>_xlfn.XLOOKUP(Tabla1[[#This Row],[Dependencia]],Tabla2[Dependencia],Tabla2[Clasificación],"XXX",0)</f>
        <v>Partidos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46238</v>
      </c>
      <c r="B12" t="s">
        <v>74</v>
      </c>
      <c r="C12" s="5" t="s">
        <v>107</v>
      </c>
      <c r="D12" t="s">
        <v>12</v>
      </c>
      <c r="E12" t="s">
        <v>17</v>
      </c>
      <c r="F12" t="s">
        <v>17</v>
      </c>
      <c r="G12" t="s">
        <v>108</v>
      </c>
      <c r="H12" t="s">
        <v>68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11">
        <v>46238</v>
      </c>
      <c r="B13" t="s">
        <v>75</v>
      </c>
      <c r="C13" s="5" t="s">
        <v>109</v>
      </c>
      <c r="D13" t="s">
        <v>12</v>
      </c>
      <c r="E13" t="s">
        <v>10</v>
      </c>
      <c r="F13" t="s">
        <v>10</v>
      </c>
      <c r="G13" t="s">
        <v>78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46238</v>
      </c>
      <c r="B14" t="s">
        <v>75</v>
      </c>
      <c r="C14" s="5" t="s">
        <v>110</v>
      </c>
      <c r="D14" t="s">
        <v>12</v>
      </c>
      <c r="E14" t="s">
        <v>10</v>
      </c>
      <c r="F14" t="s">
        <v>10</v>
      </c>
      <c r="G14" t="s">
        <v>78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46238</v>
      </c>
      <c r="B15" t="s">
        <v>75</v>
      </c>
      <c r="C15" s="5" t="s">
        <v>111</v>
      </c>
      <c r="D15" t="s">
        <v>13</v>
      </c>
      <c r="E15" t="s">
        <v>38</v>
      </c>
      <c r="F15" t="s">
        <v>38</v>
      </c>
      <c r="G15" t="s">
        <v>112</v>
      </c>
      <c r="H15" t="s">
        <v>72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11">
        <v>46238</v>
      </c>
      <c r="B16" t="s">
        <v>75</v>
      </c>
      <c r="C16" s="5" t="s">
        <v>113</v>
      </c>
      <c r="D16" t="s">
        <v>12</v>
      </c>
      <c r="E16" t="s">
        <v>17</v>
      </c>
      <c r="F16" t="s">
        <v>17</v>
      </c>
      <c r="G16" t="s">
        <v>108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46238</v>
      </c>
      <c r="B17" t="s">
        <v>75</v>
      </c>
      <c r="C17" s="5" t="s">
        <v>114</v>
      </c>
      <c r="D17" t="s">
        <v>12</v>
      </c>
      <c r="E17" t="s">
        <v>26</v>
      </c>
      <c r="F17" t="s">
        <v>26</v>
      </c>
      <c r="G17" t="s">
        <v>115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11">
        <v>46238</v>
      </c>
      <c r="B18" t="s">
        <v>75</v>
      </c>
      <c r="C18" s="5" t="s">
        <v>116</v>
      </c>
      <c r="D18" t="s">
        <v>12</v>
      </c>
      <c r="E18" t="s">
        <v>57</v>
      </c>
      <c r="F18" t="s">
        <v>57</v>
      </c>
      <c r="G18" t="s">
        <v>117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46238</v>
      </c>
      <c r="B19" t="s">
        <v>75</v>
      </c>
      <c r="C19" s="5" t="s">
        <v>118</v>
      </c>
      <c r="D19" t="s">
        <v>9</v>
      </c>
      <c r="E19" t="s">
        <v>16</v>
      </c>
      <c r="F19" t="s">
        <v>16</v>
      </c>
      <c r="G19" t="s">
        <v>119</v>
      </c>
      <c r="H19" t="s">
        <v>72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x14ac:dyDescent="0.35">
      <c r="A20" s="11">
        <v>46238</v>
      </c>
      <c r="B20" t="s">
        <v>73</v>
      </c>
      <c r="C20" s="5" t="s">
        <v>120</v>
      </c>
      <c r="D20" t="s">
        <v>13</v>
      </c>
      <c r="E20" t="s">
        <v>16</v>
      </c>
      <c r="F20" t="s">
        <v>16</v>
      </c>
      <c r="G20" t="s">
        <v>88</v>
      </c>
      <c r="H20" t="s">
        <v>11</v>
      </c>
      <c r="I20" t="str">
        <f>_xlfn.XLOOKUP(Tabla1[[#This Row],[Dependencia]],Tabla2[Dependencia],Tabla2[Clasificación],"XXX",0)</f>
        <v>Alcaldías</v>
      </c>
      <c r="J20" t="str">
        <f>_xlfn.XLOOKUP(Tabla1[[#This Row],[Dependencia]],Tabla3[Dependencia],Tabla3[Nivel],"Otros",0)</f>
        <v>Otros</v>
      </c>
    </row>
    <row r="21" spans="1:10" x14ac:dyDescent="0.35">
      <c r="A21" s="11">
        <v>46238</v>
      </c>
      <c r="B21" t="s">
        <v>73</v>
      </c>
      <c r="C21" s="5" t="s">
        <v>121</v>
      </c>
      <c r="D21" t="s">
        <v>12</v>
      </c>
      <c r="E21" t="s">
        <v>16</v>
      </c>
      <c r="F21" t="s">
        <v>16</v>
      </c>
      <c r="G21" t="s">
        <v>122</v>
      </c>
      <c r="H21" t="s">
        <v>11</v>
      </c>
      <c r="I21" t="str">
        <f>_xlfn.XLOOKUP(Tabla1[[#This Row],[Dependencia]],Tabla2[Dependencia],Tabla2[Clasificación],"XXX",0)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46238</v>
      </c>
      <c r="B22" t="s">
        <v>73</v>
      </c>
      <c r="C22" s="5" t="s">
        <v>123</v>
      </c>
      <c r="D22" t="s">
        <v>12</v>
      </c>
      <c r="E22" t="s">
        <v>17</v>
      </c>
      <c r="F22" t="s">
        <v>17</v>
      </c>
      <c r="G22" t="s">
        <v>124</v>
      </c>
      <c r="H22" t="s">
        <v>72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11">
        <v>46238</v>
      </c>
      <c r="B23" t="s">
        <v>73</v>
      </c>
      <c r="C23" s="5" t="s">
        <v>125</v>
      </c>
      <c r="D23" t="s">
        <v>12</v>
      </c>
      <c r="E23" t="s">
        <v>22</v>
      </c>
      <c r="F23" t="s">
        <v>22</v>
      </c>
      <c r="G23" t="s">
        <v>126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11">
        <v>46238</v>
      </c>
      <c r="B24" t="s">
        <v>73</v>
      </c>
      <c r="C24" s="5" t="s">
        <v>127</v>
      </c>
      <c r="D24" t="s">
        <v>12</v>
      </c>
      <c r="E24" t="s">
        <v>16</v>
      </c>
      <c r="F24" t="s">
        <v>16</v>
      </c>
      <c r="G24" t="s">
        <v>85</v>
      </c>
      <c r="H24" t="s">
        <v>68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x14ac:dyDescent="0.35">
      <c r="A25" s="11">
        <v>46238</v>
      </c>
      <c r="B25" t="s">
        <v>73</v>
      </c>
      <c r="C25" s="5" t="s">
        <v>128</v>
      </c>
      <c r="D25" t="s">
        <v>9</v>
      </c>
      <c r="E25" t="s">
        <v>10</v>
      </c>
      <c r="F25" t="s">
        <v>10</v>
      </c>
      <c r="G25" t="s">
        <v>129</v>
      </c>
      <c r="H25" t="s">
        <v>68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11">
        <v>46238</v>
      </c>
      <c r="B26" t="s">
        <v>73</v>
      </c>
      <c r="C26" s="5" t="s">
        <v>130</v>
      </c>
      <c r="D26" t="s">
        <v>12</v>
      </c>
      <c r="E26" t="s">
        <v>14</v>
      </c>
      <c r="F26" t="s">
        <v>14</v>
      </c>
      <c r="G26" t="s">
        <v>103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46238</v>
      </c>
      <c r="B27" t="s">
        <v>73</v>
      </c>
      <c r="C27" s="5" t="s">
        <v>131</v>
      </c>
      <c r="D27" t="s">
        <v>12</v>
      </c>
      <c r="E27" t="s">
        <v>10</v>
      </c>
      <c r="F27" t="s">
        <v>10</v>
      </c>
      <c r="G27" t="s">
        <v>132</v>
      </c>
      <c r="H27" t="s">
        <v>68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46238</v>
      </c>
      <c r="B28" t="s">
        <v>73</v>
      </c>
      <c r="C28" s="5" t="s">
        <v>133</v>
      </c>
      <c r="D28" t="s">
        <v>12</v>
      </c>
      <c r="E28" t="s">
        <v>10</v>
      </c>
      <c r="F28" t="s">
        <v>10</v>
      </c>
      <c r="G28" t="s">
        <v>77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46238</v>
      </c>
      <c r="B29" t="s">
        <v>73</v>
      </c>
      <c r="C29" s="5" t="s">
        <v>134</v>
      </c>
      <c r="D29" t="s">
        <v>12</v>
      </c>
      <c r="E29" t="s">
        <v>24</v>
      </c>
      <c r="F29" t="s">
        <v>24</v>
      </c>
      <c r="G29" t="s">
        <v>101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Gobernador</v>
      </c>
    </row>
    <row r="30" spans="1:10" x14ac:dyDescent="0.35">
      <c r="A30" s="11">
        <v>46238</v>
      </c>
      <c r="B30" t="s">
        <v>73</v>
      </c>
      <c r="C30" s="5" t="s">
        <v>135</v>
      </c>
      <c r="D30" t="s">
        <v>12</v>
      </c>
      <c r="E30" t="s">
        <v>59</v>
      </c>
      <c r="F30" t="s">
        <v>59</v>
      </c>
      <c r="G30" t="s">
        <v>136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46238</v>
      </c>
      <c r="B31" t="s">
        <v>70</v>
      </c>
      <c r="C31" s="5" t="s">
        <v>137</v>
      </c>
      <c r="D31" t="s">
        <v>13</v>
      </c>
      <c r="E31" t="s">
        <v>24</v>
      </c>
      <c r="F31" t="s">
        <v>24</v>
      </c>
      <c r="G31" t="s">
        <v>101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43.5" x14ac:dyDescent="0.35">
      <c r="A32" s="11">
        <v>46238</v>
      </c>
      <c r="B32" t="s">
        <v>70</v>
      </c>
      <c r="C32" s="5" t="s">
        <v>138</v>
      </c>
      <c r="D32" t="s">
        <v>12</v>
      </c>
      <c r="E32" t="s">
        <v>24</v>
      </c>
      <c r="F32" t="s">
        <v>24</v>
      </c>
      <c r="G32" t="s">
        <v>139</v>
      </c>
      <c r="H32" t="s">
        <v>68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Gobernador</v>
      </c>
    </row>
    <row r="33" spans="1:10" x14ac:dyDescent="0.35">
      <c r="A33" s="11">
        <v>46238</v>
      </c>
      <c r="B33" t="s">
        <v>70</v>
      </c>
      <c r="C33" s="5" t="s">
        <v>140</v>
      </c>
      <c r="D33" t="s">
        <v>12</v>
      </c>
      <c r="E33" t="s">
        <v>57</v>
      </c>
      <c r="F33" t="s">
        <v>57</v>
      </c>
      <c r="G33" t="s">
        <v>141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x14ac:dyDescent="0.35">
      <c r="A34" s="11">
        <v>46238</v>
      </c>
      <c r="B34" t="s">
        <v>70</v>
      </c>
      <c r="C34" s="5" t="s">
        <v>142</v>
      </c>
      <c r="D34" t="s">
        <v>12</v>
      </c>
      <c r="E34" t="s">
        <v>14</v>
      </c>
      <c r="F34" t="s">
        <v>14</v>
      </c>
      <c r="G34" t="s">
        <v>77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43.5" x14ac:dyDescent="0.35">
      <c r="A35" s="11">
        <v>46238</v>
      </c>
      <c r="B35" t="s">
        <v>70</v>
      </c>
      <c r="C35" s="5" t="s">
        <v>143</v>
      </c>
      <c r="D35" t="s">
        <v>9</v>
      </c>
      <c r="E35" t="s">
        <v>24</v>
      </c>
      <c r="F35" t="s">
        <v>24</v>
      </c>
      <c r="G35" t="s">
        <v>101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58" x14ac:dyDescent="0.35">
      <c r="A36" s="11">
        <v>46238</v>
      </c>
      <c r="B36" t="s">
        <v>70</v>
      </c>
      <c r="C36" s="5" t="s">
        <v>144</v>
      </c>
      <c r="D36" t="s">
        <v>12</v>
      </c>
      <c r="E36" t="s">
        <v>24</v>
      </c>
      <c r="F36" t="s">
        <v>24</v>
      </c>
      <c r="G36" t="s">
        <v>101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29" x14ac:dyDescent="0.35">
      <c r="A37" s="11">
        <v>46238</v>
      </c>
      <c r="B37" t="s">
        <v>69</v>
      </c>
      <c r="C37" s="5" t="s">
        <v>145</v>
      </c>
      <c r="D37" t="s">
        <v>13</v>
      </c>
      <c r="E37" t="s">
        <v>24</v>
      </c>
      <c r="F37" t="s">
        <v>24</v>
      </c>
      <c r="G37" t="s">
        <v>101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ht="29" x14ac:dyDescent="0.35">
      <c r="A38" s="11">
        <v>46238</v>
      </c>
      <c r="B38" t="s">
        <v>69</v>
      </c>
      <c r="C38" s="5" t="s">
        <v>146</v>
      </c>
      <c r="D38" t="s">
        <v>12</v>
      </c>
      <c r="E38" t="s">
        <v>58</v>
      </c>
      <c r="F38" t="s">
        <v>58</v>
      </c>
      <c r="G38" t="s">
        <v>147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29" x14ac:dyDescent="0.35">
      <c r="A39" s="11">
        <v>46238</v>
      </c>
      <c r="B39" t="s">
        <v>69</v>
      </c>
      <c r="C39" s="5" t="s">
        <v>148</v>
      </c>
      <c r="D39" t="s">
        <v>12</v>
      </c>
      <c r="E39" t="s">
        <v>56</v>
      </c>
      <c r="F39" t="s">
        <v>2</v>
      </c>
      <c r="G39" t="s">
        <v>149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11">
        <v>46238</v>
      </c>
      <c r="B40" t="s">
        <v>69</v>
      </c>
      <c r="C40" s="5" t="s">
        <v>150</v>
      </c>
      <c r="D40" t="s">
        <v>12</v>
      </c>
      <c r="E40" t="s">
        <v>57</v>
      </c>
      <c r="F40" t="s">
        <v>57</v>
      </c>
      <c r="G40" t="s">
        <v>151</v>
      </c>
      <c r="H40" t="s">
        <v>11</v>
      </c>
      <c r="I40" t="str">
        <f>_xlfn.XLOOKUP(Tabla1[[#This Row],[Dependencia]],Tabla2[Dependencia],Tabla2[Clasificación],"XXX",0)</f>
        <v>Otros</v>
      </c>
      <c r="J40" t="str">
        <f>_xlfn.XLOOKUP(Tabla1[[#This Row],[Dependencia]],Tabla3[Dependencia],Tabla3[Nivel],"Otros",0)</f>
        <v>Otros</v>
      </c>
    </row>
    <row r="41" spans="1:10" ht="29" x14ac:dyDescent="0.35">
      <c r="A41" s="11">
        <v>46238</v>
      </c>
      <c r="B41" t="s">
        <v>86</v>
      </c>
      <c r="C41" s="5" t="s">
        <v>152</v>
      </c>
      <c r="D41" t="s">
        <v>13</v>
      </c>
      <c r="E41" t="s">
        <v>16</v>
      </c>
      <c r="F41" t="s">
        <v>153</v>
      </c>
      <c r="G41" t="s">
        <v>154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46238</v>
      </c>
      <c r="B42" t="s">
        <v>86</v>
      </c>
      <c r="C42" s="5" t="s">
        <v>155</v>
      </c>
      <c r="D42" t="s">
        <v>12</v>
      </c>
      <c r="E42" t="s">
        <v>24</v>
      </c>
      <c r="F42" t="s">
        <v>24</v>
      </c>
      <c r="G42" t="s">
        <v>101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35">
      <c r="A43" s="11">
        <v>46238</v>
      </c>
      <c r="B43" t="s">
        <v>86</v>
      </c>
      <c r="C43" s="5" t="s">
        <v>156</v>
      </c>
      <c r="D43" t="s">
        <v>12</v>
      </c>
      <c r="E43" t="s">
        <v>16</v>
      </c>
      <c r="F43" t="s">
        <v>16</v>
      </c>
      <c r="G43" t="s">
        <v>83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46238</v>
      </c>
      <c r="B44" t="s">
        <v>86</v>
      </c>
      <c r="C44" s="5" t="s">
        <v>157</v>
      </c>
      <c r="D44" t="s">
        <v>12</v>
      </c>
      <c r="E44" t="s">
        <v>16</v>
      </c>
      <c r="F44" t="s">
        <v>16</v>
      </c>
      <c r="G44" t="s">
        <v>154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29" x14ac:dyDescent="0.35">
      <c r="A45" s="11">
        <v>46238</v>
      </c>
      <c r="B45" t="s">
        <v>86</v>
      </c>
      <c r="C45" s="5" t="s">
        <v>158</v>
      </c>
      <c r="D45" t="s">
        <v>12</v>
      </c>
      <c r="E45" t="s">
        <v>56</v>
      </c>
      <c r="F45" t="s">
        <v>56</v>
      </c>
      <c r="G45" t="s">
        <v>159</v>
      </c>
      <c r="H45" t="s">
        <v>68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11">
        <v>46238</v>
      </c>
      <c r="B46" t="s">
        <v>81</v>
      </c>
      <c r="C46" s="5" t="s">
        <v>160</v>
      </c>
      <c r="D46" t="s">
        <v>82</v>
      </c>
      <c r="E46" t="s">
        <v>27</v>
      </c>
      <c r="F46" t="s">
        <v>27</v>
      </c>
      <c r="G46" t="s">
        <v>161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11">
        <v>46238</v>
      </c>
      <c r="B47" t="s">
        <v>81</v>
      </c>
      <c r="C47" s="5" t="s">
        <v>162</v>
      </c>
      <c r="D47" t="s">
        <v>12</v>
      </c>
      <c r="E47" t="s">
        <v>28</v>
      </c>
      <c r="F47" t="s">
        <v>28</v>
      </c>
      <c r="G47" t="s">
        <v>94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11">
        <v>46238</v>
      </c>
      <c r="B48" t="s">
        <v>81</v>
      </c>
      <c r="C48" s="5" t="s">
        <v>163</v>
      </c>
      <c r="D48" t="s">
        <v>13</v>
      </c>
      <c r="E48" t="s">
        <v>24</v>
      </c>
      <c r="F48" t="s">
        <v>24</v>
      </c>
      <c r="G48" t="s">
        <v>101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29" x14ac:dyDescent="0.35">
      <c r="A49" s="11">
        <v>46238</v>
      </c>
      <c r="B49" t="s">
        <v>81</v>
      </c>
      <c r="C49" s="5" t="s">
        <v>164</v>
      </c>
      <c r="D49" t="s">
        <v>12</v>
      </c>
      <c r="E49" t="s">
        <v>24</v>
      </c>
      <c r="F49" t="s">
        <v>24</v>
      </c>
      <c r="G49" t="s">
        <v>101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Gobernador</v>
      </c>
    </row>
    <row r="50" spans="1:10" ht="29" x14ac:dyDescent="0.35">
      <c r="A50" s="11">
        <v>46238</v>
      </c>
      <c r="B50" t="s">
        <v>81</v>
      </c>
      <c r="C50" s="5" t="s">
        <v>165</v>
      </c>
      <c r="D50" t="s">
        <v>12</v>
      </c>
      <c r="E50" t="s">
        <v>16</v>
      </c>
      <c r="F50" t="s">
        <v>166</v>
      </c>
      <c r="G50" t="s">
        <v>101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46238</v>
      </c>
      <c r="B51" t="s">
        <v>81</v>
      </c>
      <c r="C51" s="5" t="s">
        <v>167</v>
      </c>
      <c r="D51" t="s">
        <v>12</v>
      </c>
      <c r="E51" t="s">
        <v>16</v>
      </c>
      <c r="F51" t="s">
        <v>166</v>
      </c>
      <c r="G51" t="s">
        <v>168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x14ac:dyDescent="0.35">
      <c r="A52" s="11">
        <v>46238</v>
      </c>
      <c r="B52" t="s">
        <v>81</v>
      </c>
      <c r="C52" s="5" t="s">
        <v>169</v>
      </c>
      <c r="D52" t="s">
        <v>12</v>
      </c>
      <c r="E52" t="s">
        <v>24</v>
      </c>
      <c r="F52" t="s">
        <v>24</v>
      </c>
      <c r="G52" t="s">
        <v>170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29" x14ac:dyDescent="0.35">
      <c r="A53" s="11">
        <v>46238</v>
      </c>
      <c r="B53" t="s">
        <v>81</v>
      </c>
      <c r="C53" s="5" t="s">
        <v>171</v>
      </c>
      <c r="D53" t="s">
        <v>12</v>
      </c>
      <c r="E53" t="s">
        <v>16</v>
      </c>
      <c r="F53" t="s">
        <v>16</v>
      </c>
      <c r="G53" t="s">
        <v>172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35">
      <c r="A54" s="11">
        <v>46238</v>
      </c>
      <c r="B54" t="s">
        <v>81</v>
      </c>
      <c r="C54" s="5" t="s">
        <v>173</v>
      </c>
      <c r="D54" t="s">
        <v>80</v>
      </c>
      <c r="E54" t="s">
        <v>10</v>
      </c>
      <c r="F54" t="s">
        <v>10</v>
      </c>
      <c r="G54" t="s">
        <v>174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46238</v>
      </c>
      <c r="B55" t="s">
        <v>76</v>
      </c>
      <c r="C55" s="5" t="s">
        <v>175</v>
      </c>
      <c r="D55" t="s">
        <v>13</v>
      </c>
      <c r="E55" t="s">
        <v>24</v>
      </c>
      <c r="F55" t="s">
        <v>24</v>
      </c>
      <c r="G55" t="s">
        <v>101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29" x14ac:dyDescent="0.35">
      <c r="A56" s="11">
        <v>46238</v>
      </c>
      <c r="B56" t="s">
        <v>76</v>
      </c>
      <c r="C56" s="5" t="s">
        <v>176</v>
      </c>
      <c r="D56" t="s">
        <v>12</v>
      </c>
      <c r="E56" t="s">
        <v>56</v>
      </c>
      <c r="F56" t="s">
        <v>2</v>
      </c>
      <c r="G56" t="s">
        <v>159</v>
      </c>
      <c r="H56" t="s">
        <v>68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29" x14ac:dyDescent="0.35">
      <c r="A57" s="11">
        <v>46238</v>
      </c>
      <c r="B57" t="s">
        <v>76</v>
      </c>
      <c r="C57" s="5" t="s">
        <v>177</v>
      </c>
      <c r="D57" t="s">
        <v>12</v>
      </c>
      <c r="E57" t="s">
        <v>10</v>
      </c>
      <c r="F57" t="s">
        <v>10</v>
      </c>
      <c r="G57" t="s">
        <v>78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29" x14ac:dyDescent="0.35">
      <c r="A58" s="11">
        <v>46238</v>
      </c>
      <c r="B58" t="s">
        <v>76</v>
      </c>
      <c r="C58" s="5" t="s">
        <v>178</v>
      </c>
      <c r="D58" t="s">
        <v>12</v>
      </c>
      <c r="E58" t="s">
        <v>26</v>
      </c>
      <c r="F58" t="s">
        <v>2</v>
      </c>
      <c r="G58" t="s">
        <v>179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11">
        <v>46238</v>
      </c>
      <c r="B59" t="s">
        <v>76</v>
      </c>
      <c r="C59" s="5" t="s">
        <v>180</v>
      </c>
      <c r="D59" t="s">
        <v>12</v>
      </c>
      <c r="E59" t="s">
        <v>38</v>
      </c>
      <c r="F59" t="s">
        <v>38</v>
      </c>
      <c r="G59" t="s">
        <v>181</v>
      </c>
      <c r="H59" t="s">
        <v>68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35">
      <c r="A60" s="11">
        <v>46238</v>
      </c>
      <c r="B60" t="s">
        <v>76</v>
      </c>
      <c r="C60" s="5" t="s">
        <v>182</v>
      </c>
      <c r="D60" t="s">
        <v>80</v>
      </c>
      <c r="E60" t="s">
        <v>54</v>
      </c>
      <c r="F60" t="s">
        <v>54</v>
      </c>
      <c r="G60" t="s">
        <v>183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11">
        <v>46238</v>
      </c>
      <c r="B61" t="s">
        <v>76</v>
      </c>
      <c r="C61" s="5" t="s">
        <v>184</v>
      </c>
      <c r="D61" t="s">
        <v>80</v>
      </c>
      <c r="E61" t="s">
        <v>16</v>
      </c>
      <c r="F61" t="s">
        <v>16</v>
      </c>
      <c r="G61" t="s">
        <v>84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46238</v>
      </c>
      <c r="B62" t="s">
        <v>79</v>
      </c>
      <c r="C62" s="5" t="s">
        <v>185</v>
      </c>
      <c r="D62" t="s">
        <v>13</v>
      </c>
      <c r="E62" t="s">
        <v>54</v>
      </c>
      <c r="F62" t="s">
        <v>54</v>
      </c>
      <c r="G62" t="s">
        <v>103</v>
      </c>
      <c r="H62" t="s">
        <v>68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11">
        <v>46238</v>
      </c>
      <c r="B63" t="s">
        <v>79</v>
      </c>
      <c r="C63" s="5" t="s">
        <v>186</v>
      </c>
      <c r="D63" t="s">
        <v>12</v>
      </c>
      <c r="E63" t="s">
        <v>57</v>
      </c>
      <c r="F63" t="s">
        <v>57</v>
      </c>
      <c r="G63" t="s">
        <v>151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  <row r="64" spans="1:10" ht="29" x14ac:dyDescent="0.35">
      <c r="A64" s="11">
        <v>46238</v>
      </c>
      <c r="B64" t="s">
        <v>79</v>
      </c>
      <c r="C64" s="5" t="s">
        <v>187</v>
      </c>
      <c r="D64" t="s">
        <v>12</v>
      </c>
      <c r="E64" t="s">
        <v>14</v>
      </c>
      <c r="F64" t="s">
        <v>14</v>
      </c>
      <c r="G64" t="s">
        <v>188</v>
      </c>
      <c r="H64" t="s">
        <v>11</v>
      </c>
      <c r="I64" t="str">
        <f>_xlfn.XLOOKUP(Tabla1[[#This Row],[Dependencia]],Tabla2[Dependencia],Tabla2[Clasificación],"XXX",0)</f>
        <v>Presidencia de la República</v>
      </c>
      <c r="J64" t="str">
        <f>_xlfn.XLOOKUP(Tabla1[[#This Row],[Dependencia]],Tabla3[Dependencia],Tabla3[Nivel],"Otros",0)</f>
        <v>Otros</v>
      </c>
    </row>
    <row r="65" spans="1:10" x14ac:dyDescent="0.35">
      <c r="A65" s="11">
        <v>46238</v>
      </c>
      <c r="B65" t="s">
        <v>79</v>
      </c>
      <c r="C65" s="5" t="s">
        <v>189</v>
      </c>
      <c r="D65" t="s">
        <v>12</v>
      </c>
      <c r="E65" t="s">
        <v>14</v>
      </c>
      <c r="F65" t="s">
        <v>190</v>
      </c>
      <c r="G65" t="s">
        <v>191</v>
      </c>
      <c r="H65" t="s">
        <v>11</v>
      </c>
      <c r="I65" t="str">
        <f>_xlfn.XLOOKUP(Tabla1[[#This Row],[Dependencia]],Tabla2[Dependencia],Tabla2[Clasificación],"XXX",0)</f>
        <v>Presidencia de la República</v>
      </c>
      <c r="J65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2026-08-04T19:53:06Z</dcterms:modified>
</cp:coreProperties>
</file>