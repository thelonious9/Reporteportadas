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50CD185C-ACCE-433E-B2F7-A63404B97E8D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</calcChain>
</file>

<file path=xl/sharedStrings.xml><?xml version="1.0" encoding="utf-8"?>
<sst xmlns="http://schemas.openxmlformats.org/spreadsheetml/2006/main" count="1014" uniqueCount="177">
  <si>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</si>
  <si>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</si>
  <si>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</si>
  <si>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</si>
  <si>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</si>
  <si>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</si>
  <si>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</si>
  <si>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</si>
  <si>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</si>
  <si>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</si>
  <si>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</si>
  <si>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</si>
  <si>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</si>
  <si>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</si>
  <si>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</si>
  <si>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</si>
  <si>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</si>
  <si>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</si>
  <si>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</si>
  <si>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</si>
  <si>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</si>
  <si>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</si>
  <si>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</si>
  <si>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</si>
  <si>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</si>
  <si>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</si>
  <si>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</si>
  <si>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</si>
  <si>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</si>
  <si>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</si>
  <si>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</si>
  <si>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</si>
  <si>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</si>
  <si>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</si>
  <si>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</si>
  <si>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</si>
  <si>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</si>
  <si>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</si>
  <si>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</si>
  <si>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</si>
  <si>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</si>
  <si>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</si>
  <si>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</si>
  <si>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</si>
  <si>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</si>
  <si>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</si>
  <si>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</si>
  <si>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</si>
  <si>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</si>
  <si>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</si>
  <si>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</si>
  <si>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</si>
  <si>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</si>
  <si>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</si>
  <si>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</si>
  <si>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</si>
  <si>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</si>
  <si>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</si>
  <si>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</si>
  <si>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</si>
  <si>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</si>
  <si>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</si>
  <si>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</si>
  <si>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</si>
  <si>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</si>
  <si>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</si>
  <si>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</si>
  <si>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</si>
  <si>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La Jornada Hidalgo</t>
  </si>
  <si>
    <t>OCSAD</t>
  </si>
  <si>
    <t>Negativa</t>
  </si>
  <si>
    <t>El Universal Hidalgo</t>
  </si>
  <si>
    <t>Deportes</t>
  </si>
  <si>
    <t>Criterio</t>
  </si>
  <si>
    <t>Positiva</t>
  </si>
  <si>
    <t>Effetá</t>
  </si>
  <si>
    <t>Pachuca Brilla</t>
  </si>
  <si>
    <t>Plaza Juárez</t>
  </si>
  <si>
    <t>Síntesis</t>
  </si>
  <si>
    <t>Sipdus</t>
  </si>
  <si>
    <t>Marfeca</t>
  </si>
  <si>
    <t>Milenio Hidalgo</t>
  </si>
  <si>
    <t>Alcalde</t>
  </si>
  <si>
    <t>Informe De Gobierno</t>
  </si>
  <si>
    <t>Publicidad</t>
  </si>
  <si>
    <t>Feria Del Libro</t>
  </si>
  <si>
    <t>Alianzas Electorales</t>
  </si>
  <si>
    <t>Órgano Interno de Control</t>
  </si>
  <si>
    <t>Inundación Tula</t>
  </si>
  <si>
    <t>Informe Alcalde</t>
  </si>
  <si>
    <t>$7 mil mdp para las 3 obras viales del cierre sexenal</t>
  </si>
  <si>
    <t>Obras De Infraestructura</t>
  </si>
  <si>
    <t>Presupuesto estatal podría sumar 76 mmdp para 2027</t>
  </si>
  <si>
    <t>Presupuesto De Egresos</t>
  </si>
  <si>
    <t>Edil morenista, detenido en Puebla por crimen organizado</t>
  </si>
  <si>
    <t>Temas varios</t>
  </si>
  <si>
    <t>"En Hidalgo, la planeación urbana no ha sido política de Estado, ha sido un accidente que se repite cada seis años. Llega un gobernador, llegan sus ocurrencias, y con ellas se sepulta lo poco avanzado antes”.</t>
  </si>
  <si>
    <t>Ampliación carretera</t>
  </si>
  <si>
    <t>Destaca Gretchen esfuerzos en infraestructura y seguridad</t>
  </si>
  <si>
    <t>Destruyen 16 túneles utilizados en trasiego de huachicol</t>
  </si>
  <si>
    <t>PC</t>
  </si>
  <si>
    <t>Huachitúnel</t>
  </si>
  <si>
    <t>Elaboran tapetes de 5 kilómetros</t>
  </si>
  <si>
    <t>Feria Patronal</t>
  </si>
  <si>
    <t>Destinan $20 millones para El Grito</t>
  </si>
  <si>
    <t>Grito De Independencia</t>
  </si>
  <si>
    <t>Perfila Menchaca 2 últimos años con más obras</t>
  </si>
  <si>
    <t>Mañanera de Hidalgo</t>
  </si>
  <si>
    <t>Caen 31 generadores de violencia en municipios</t>
  </si>
  <si>
    <t>Reunión Gabinete De Seguridad</t>
  </si>
  <si>
    <t>Inhabilitan un conducto ilegal de hidrocarburo</t>
  </si>
  <si>
    <t>FGR</t>
  </si>
  <si>
    <t>Llama Obispo a evitar tragedias por lluvias</t>
  </si>
  <si>
    <t>Cinco años después, Tula se reconstruye</t>
  </si>
  <si>
    <t>Casi dos años de reparación en obras viales</t>
  </si>
  <si>
    <t>FUL a la autora Cristina Rivera Garza</t>
  </si>
  <si>
    <t>Monumento Niños Héroes en el olvido</t>
  </si>
  <si>
    <t>Vandalismo</t>
  </si>
  <si>
    <t>Defiende Menchaca decisiones ante las "críticas desde el enojo"</t>
  </si>
  <si>
    <t>Arranque de obras</t>
  </si>
  <si>
    <t>Empresas en operación</t>
  </si>
  <si>
    <t>Atracción De Inversiones</t>
  </si>
  <si>
    <t>Prevé Hacienda estatal 76 mmdp de presupuesto para el año 2027</t>
  </si>
  <si>
    <t>Crece vigilancia</t>
  </si>
  <si>
    <t>C5i</t>
  </si>
  <si>
    <t>Videovigilancia</t>
  </si>
  <si>
    <t>Combate al delito</t>
  </si>
  <si>
    <t>MILENIO y The New York Times dos líderes una visión global</t>
  </si>
  <si>
    <t>Imputa fiscal robo de información reservada a los hermanos Farías</t>
  </si>
  <si>
    <t>Huachicol fiscal</t>
  </si>
  <si>
    <t>Cifras de Capital Privado</t>
  </si>
  <si>
    <t>FUL la UAEH a la escritora Cristina Rivera Garza</t>
  </si>
  <si>
    <t>Anuncian inversión de 6 mil 451 MDP para obras de movilidad en Pachuca y Actopan</t>
  </si>
  <si>
    <t>Caen en Hidalgo 31 generadores de violencia</t>
  </si>
  <si>
    <t>Ampliarán alertas para advertir de fenómenos naturales</t>
  </si>
  <si>
    <t>Prevención De Riesgos</t>
  </si>
  <si>
    <t>Reencuentro con memoria</t>
  </si>
  <si>
    <t>Apuntan al bicampeonato</t>
  </si>
  <si>
    <t>Invertirán más de seis mil mdp en tres obras</t>
  </si>
  <si>
    <t>Autoridades destruyen huachitúnel</t>
  </si>
  <si>
    <t>Buscan mitigar el tránsito vehicular al sur de Pachuca, dice Jorge Reyes</t>
  </si>
  <si>
    <t>Tráfico vial</t>
  </si>
  <si>
    <t>Se analizará la segunda ruta del Transporte Metropolitano</t>
  </si>
  <si>
    <t>Ampliación Tuzobús</t>
  </si>
  <si>
    <t>PRI abre puerta a alianzas en Hidalgo con "opositores"</t>
  </si>
  <si>
    <t>PRI</t>
  </si>
  <si>
    <t>Cambio 21</t>
  </si>
  <si>
    <t>Habrá 2 Años más de Obras y Programas Sociales: Menchaca</t>
  </si>
  <si>
    <t>Ampliación Pachuca-México permitirá desahogar aforo por Polo de Desarrollo Zapotlán</t>
  </si>
  <si>
    <t>Localizan y destruyen túnel en Santa Catarina; van 16 en Hidalgo</t>
  </si>
  <si>
    <t>Claudia Sheinbaum visitará Pachuca el próximo 13 de septiembre</t>
  </si>
  <si>
    <t>Informe Sheinbaum</t>
  </si>
  <si>
    <t>Proyectan paquete hacendario de76 mil mdp para 2027</t>
  </si>
  <si>
    <t>Defiende jurista homenajeado por Tribunal Electoral importancia de la carrera judicial</t>
  </si>
  <si>
    <t>Reforma judicial</t>
  </si>
  <si>
    <t>Hidalgo proyecta presupuesto de al menos 76 mil millones</t>
  </si>
  <si>
    <t>Impuesto a la cerveza no pegará a cebaderos de Hidalgo</t>
  </si>
  <si>
    <t>Cebaderos</t>
  </si>
  <si>
    <t>Hidalgo destina 20 millones al Grito</t>
  </si>
  <si>
    <t>“Pasar de un discurso a una realidad”</t>
  </si>
  <si>
    <t>TEEH desestima acusaciones de excontralor</t>
  </si>
  <si>
    <t>¿Qué esconde el TEEH?</t>
  </si>
  <si>
    <t>Caen 31 presuntos generadores de violencia en operativos coordinados por el Gabinete de Seguridad</t>
  </si>
  <si>
    <t>Destruyen túnel clandestino en Santa Catarina</t>
  </si>
  <si>
    <t>Sección 15 del SNTE fortalece al #SNTEJoven y abre espacio a las nuevas generaciones</t>
  </si>
  <si>
    <t>Atotonilco de Tula reforzará seguridad en secundarias con cámaras conectadas al C2 y C5i</t>
  </si>
  <si>
    <t>A dos años de gobierno, Jorge Reyes fortalece la seguridad de Pachuca con más tecnología, equipamiento y mejores condiciones para policías</t>
  </si>
  <si>
    <t>“El Hidalgo que merecemos”: Menchaca lanza contundente compromiso para los próximos dos años</t>
  </si>
  <si>
    <t>Hidalgo se posiciona en mercados turísticos nacional e internacional</t>
  </si>
  <si>
    <t>Promoción turística</t>
  </si>
  <si>
    <t>Cambia tu vida este 11 de septiembre Sorteo San Judas</t>
  </si>
  <si>
    <t>Natividad Castrejón entrega uniformes y libros a estudiantes de bachillerato</t>
  </si>
  <si>
    <t>Paquete de apoyos escolares</t>
  </si>
  <si>
    <t>Claudia Sheinbaum presentará informe el domingo en la Feria de Pachuca</t>
  </si>
  <si>
    <t>Menchaca Salazar anticipa dos años con más obra pública y programas sociales en Hidalgo</t>
  </si>
  <si>
    <t>A dos años de gobierno, Jorge Reyes fortalece la seguridad de Pachuca</t>
  </si>
  <si>
    <t>Hidalgo es potencia en marcha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</si>
</sst>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123" totalsRowShown="0" headerRowDxfId="5" headerRowBorderDxfId="4">
  <autoFilter ref="A1:J123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123"/>
  <sheetViews>
    <sheetView tabSelected="1" topLeftCell="A93" workbookViewId="0">
      <selection activeCell="A123" sqref="A123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46273</v>
      </c>
      <c r="B2" t="s">
        <v>68</v>
      </c>
      <c r="C2" s="5" t="s">
        <v>90</v>
      </c>
      <c r="D2" t="s">
        <v>13</v>
      </c>
      <c r="E2" t="s">
        <v>79</v>
      </c>
      <c r="F2" t="s">
        <v>2</v>
      </c>
      <c r="G2" t="s">
        <v>91</v>
      </c>
      <c r="H2" t="s">
        <v>11</v>
      </c>
      <c r="I2" t="str">
        <f>_xlfn.XLOOKUP(Tabla1[[#This Row],[Dependencia]],Tabla2[Dependencia],Tabla2[Clasificación],"XXX",0)</f>
        <v>Gobierno del estado</v>
      </c>
      <c r="J2" t="str">
        <f>_xlfn.XLOOKUP(Tabla1[[#This Row],[Dependencia]],Tabla3[Dependencia],Tabla3[Nivel],"Otros",0)</f>
        <v>Gabinete</v>
      </c>
    </row>
    <row r="3" spans="1:10" x14ac:dyDescent="0.25">
      <c r="A3" s="12">
        <v>46273</v>
      </c>
      <c r="B3" t="s">
        <v>68</v>
      </c>
      <c r="C3" t="s">
        <v>92</v>
      </c>
      <c r="D3" t="s">
        <v>12</v>
      </c>
      <c r="E3" t="s">
        <v>39</v>
      </c>
      <c r="F3" t="s">
        <v>2</v>
      </c>
      <c r="G3" t="s">
        <v>93</v>
      </c>
      <c r="H3" t="s">
        <v>11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25">
      <c r="A4" s="12">
        <v>46273</v>
      </c>
      <c r="B4" t="s">
        <v>68</v>
      </c>
      <c r="C4" t="s">
        <v>94</v>
      </c>
      <c r="D4" t="s">
        <v>12</v>
      </c>
      <c r="E4" t="s">
        <v>10</v>
      </c>
      <c r="F4" t="s">
        <v>10</v>
      </c>
      <c r="G4" t="s">
        <v>95</v>
      </c>
      <c r="H4" t="s">
        <v>11</v>
      </c>
      <c r="I4" t="str">
        <f>_xlfn.XLOOKUP(Tabla1[[#This Row],[Dependencia]],Tabla2[Dependencia],Tabla2[Clasificación],"XXX",0)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12">
        <v>46273</v>
      </c>
      <c r="B5" t="s">
        <v>68</v>
      </c>
      <c r="C5" t="s">
        <v>96</v>
      </c>
      <c r="D5" t="s">
        <v>12</v>
      </c>
      <c r="E5" t="s">
        <v>24</v>
      </c>
      <c r="F5" t="s">
        <v>24</v>
      </c>
      <c r="G5" t="s">
        <v>97</v>
      </c>
      <c r="H5" t="s">
        <v>11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Gobernador</v>
      </c>
    </row>
    <row r="6" spans="1:10" x14ac:dyDescent="0.25">
      <c r="A6" s="12">
        <v>46273</v>
      </c>
      <c r="B6" t="s">
        <v>68</v>
      </c>
      <c r="C6" t="s">
        <v>98</v>
      </c>
      <c r="D6" t="s">
        <v>9</v>
      </c>
      <c r="E6" t="s">
        <v>16</v>
      </c>
      <c r="F6" t="s">
        <v>82</v>
      </c>
      <c r="G6" t="s">
        <v>89</v>
      </c>
      <c r="H6" t="s">
        <v>74</v>
      </c>
      <c r="I6" t="str">
        <f>_xlfn.XLOOKUP(Tabla1[[#This Row],[Dependencia]],Tabla2[Dependencia],Tabla2[Clasificación],"XXX",0)</f>
        <v>Alcaldías</v>
      </c>
      <c r="J6" t="str">
        <f>_xlfn.XLOOKUP(Tabla1[[#This Row],[Dependencia]],Tabla3[Dependencia],Tabla3[Nivel],"Otros",0)</f>
        <v>Otros</v>
      </c>
    </row>
    <row r="7" spans="1:10" x14ac:dyDescent="0.25">
      <c r="A7" s="12">
        <v>46273</v>
      </c>
      <c r="B7" t="s">
        <v>71</v>
      </c>
      <c r="C7" t="s">
        <v>99</v>
      </c>
      <c r="D7" t="s">
        <v>13</v>
      </c>
      <c r="E7" t="s">
        <v>23</v>
      </c>
      <c r="F7" t="s">
        <v>100</v>
      </c>
      <c r="G7" t="s">
        <v>101</v>
      </c>
      <c r="H7" t="s">
        <v>11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12">
        <v>46273</v>
      </c>
      <c r="B8" t="s">
        <v>71</v>
      </c>
      <c r="C8" t="s">
        <v>102</v>
      </c>
      <c r="D8" t="s">
        <v>9</v>
      </c>
      <c r="E8" t="s">
        <v>10</v>
      </c>
      <c r="F8" t="s">
        <v>10</v>
      </c>
      <c r="G8" t="s">
        <v>103</v>
      </c>
      <c r="H8" t="s">
        <v>11</v>
      </c>
      <c r="I8" t="str">
        <f>_xlfn.XLOOKUP(Tabla1[[#This Row],[Dependencia]],Tabla2[Dependencia],Tabla2[Clasificación],"XXX",0)</f>
        <v>Otros</v>
      </c>
      <c r="J8" t="str">
        <f>_xlfn.XLOOKUP(Tabla1[[#This Row],[Dependencia]],Tabla3[Dependencia],Tabla3[Nivel],"Otros",0)</f>
        <v>Otros</v>
      </c>
    </row>
    <row r="9" spans="1:10" x14ac:dyDescent="0.25">
      <c r="A9" s="12">
        <v>46273</v>
      </c>
      <c r="B9" t="s">
        <v>71</v>
      </c>
      <c r="C9" t="s">
        <v>104</v>
      </c>
      <c r="D9" t="s">
        <v>12</v>
      </c>
      <c r="E9" t="s">
        <v>21</v>
      </c>
      <c r="F9" t="s">
        <v>2</v>
      </c>
      <c r="G9" t="s">
        <v>105</v>
      </c>
      <c r="H9" t="s">
        <v>11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x14ac:dyDescent="0.25">
      <c r="A10" s="12">
        <v>46273</v>
      </c>
      <c r="B10" t="s">
        <v>71</v>
      </c>
      <c r="C10" t="s">
        <v>106</v>
      </c>
      <c r="D10" t="s">
        <v>12</v>
      </c>
      <c r="E10" t="s">
        <v>24</v>
      </c>
      <c r="F10" t="s">
        <v>24</v>
      </c>
      <c r="G10" t="s">
        <v>107</v>
      </c>
      <c r="H10" t="s">
        <v>74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Gobernador</v>
      </c>
    </row>
    <row r="11" spans="1:10" x14ac:dyDescent="0.25">
      <c r="A11" s="12">
        <v>46273</v>
      </c>
      <c r="B11" t="s">
        <v>71</v>
      </c>
      <c r="C11" t="s">
        <v>108</v>
      </c>
      <c r="D11" t="s">
        <v>12</v>
      </c>
      <c r="E11" t="s">
        <v>24</v>
      </c>
      <c r="F11" t="s">
        <v>24</v>
      </c>
      <c r="G11" t="s">
        <v>109</v>
      </c>
      <c r="H11" t="s">
        <v>11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Gobernador</v>
      </c>
    </row>
    <row r="12" spans="1:10" x14ac:dyDescent="0.25">
      <c r="A12" s="12">
        <v>46273</v>
      </c>
      <c r="B12" t="s">
        <v>67</v>
      </c>
      <c r="C12" t="s">
        <v>110</v>
      </c>
      <c r="D12" t="s">
        <v>12</v>
      </c>
      <c r="E12" t="s">
        <v>14</v>
      </c>
      <c r="F12" t="s">
        <v>111</v>
      </c>
      <c r="G12" t="s">
        <v>101</v>
      </c>
      <c r="H12" t="s">
        <v>11</v>
      </c>
      <c r="I12" t="str">
        <f>_xlfn.XLOOKUP(Tabla1[[#This Row],[Dependencia]],Tabla2[Dependencia],Tabla2[Clasificación],"XXX",0)</f>
        <v>Presidencia de la República</v>
      </c>
      <c r="J12" t="str">
        <f>_xlfn.XLOOKUP(Tabla1[[#This Row],[Dependencia]],Tabla3[Dependencia],Tabla3[Nivel],"Otros",0)</f>
        <v>Otros</v>
      </c>
    </row>
    <row r="13" spans="1:10" x14ac:dyDescent="0.25">
      <c r="A13" s="12">
        <v>46273</v>
      </c>
      <c r="B13" t="s">
        <v>67</v>
      </c>
      <c r="C13" t="s">
        <v>112</v>
      </c>
      <c r="D13" t="s">
        <v>12</v>
      </c>
      <c r="E13" t="s">
        <v>10</v>
      </c>
      <c r="F13" t="s">
        <v>10</v>
      </c>
      <c r="G13" t="s">
        <v>88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12">
        <v>46273</v>
      </c>
      <c r="B14" t="s">
        <v>67</v>
      </c>
      <c r="C14" t="s">
        <v>113</v>
      </c>
      <c r="D14" t="s">
        <v>13</v>
      </c>
      <c r="E14" t="s">
        <v>14</v>
      </c>
      <c r="F14" t="s">
        <v>14</v>
      </c>
      <c r="G14" t="s">
        <v>88</v>
      </c>
      <c r="H14" t="s">
        <v>11</v>
      </c>
      <c r="I14" t="str">
        <f>_xlfn.XLOOKUP(Tabla1[[#This Row],[Dependencia]],Tabla2[Dependencia],Tabla2[Clasificación],"XXX",0)</f>
        <v>Presidencia de la República</v>
      </c>
      <c r="J14" t="str">
        <f>_xlfn.XLOOKUP(Tabla1[[#This Row],[Dependencia]],Tabla3[Dependencia],Tabla3[Nivel],"Otros",0)</f>
        <v>Otros</v>
      </c>
    </row>
    <row r="15" spans="1:10" x14ac:dyDescent="0.25">
      <c r="A15" s="12">
        <v>46273</v>
      </c>
      <c r="B15" t="s">
        <v>67</v>
      </c>
      <c r="C15" t="s">
        <v>114</v>
      </c>
      <c r="D15" t="s">
        <v>12</v>
      </c>
      <c r="E15" t="s">
        <v>79</v>
      </c>
      <c r="F15" t="s">
        <v>2</v>
      </c>
      <c r="G15" t="s">
        <v>91</v>
      </c>
      <c r="H15" t="s">
        <v>11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25">
      <c r="A16" s="12">
        <v>46273</v>
      </c>
      <c r="B16" t="s">
        <v>67</v>
      </c>
      <c r="C16" t="s">
        <v>115</v>
      </c>
      <c r="D16" t="s">
        <v>12</v>
      </c>
      <c r="E16" t="s">
        <v>59</v>
      </c>
      <c r="F16" t="s">
        <v>59</v>
      </c>
      <c r="G16" t="s">
        <v>85</v>
      </c>
      <c r="H16" t="s">
        <v>11</v>
      </c>
      <c r="I16" t="str">
        <f>_xlfn.XLOOKUP(Tabla1[[#This Row],[Dependencia]],Tabla2[Dependencia],Tabla2[Clasificación],"XXX",0)</f>
        <v>Otros</v>
      </c>
      <c r="J16" t="str">
        <f>_xlfn.XLOOKUP(Tabla1[[#This Row],[Dependencia]],Tabla3[Dependencia],Tabla3[Nivel],"Otros",0)</f>
        <v>Otros</v>
      </c>
    </row>
    <row r="17" spans="1:10" x14ac:dyDescent="0.25">
      <c r="A17" s="12">
        <v>46273</v>
      </c>
      <c r="B17" t="s">
        <v>67</v>
      </c>
      <c r="C17" t="s">
        <v>116</v>
      </c>
      <c r="D17" t="s">
        <v>9</v>
      </c>
      <c r="E17" t="s">
        <v>16</v>
      </c>
      <c r="F17" t="s">
        <v>16</v>
      </c>
      <c r="G17" t="s">
        <v>117</v>
      </c>
      <c r="H17" t="s">
        <v>70</v>
      </c>
      <c r="I17" t="str">
        <f>_xlfn.XLOOKUP(Tabla1[[#This Row],[Dependencia]],Tabla2[Dependencia],Tabla2[Clasificación],"XXX",0)</f>
        <v>Alcaldías</v>
      </c>
      <c r="J17" t="str">
        <f>_xlfn.XLOOKUP(Tabla1[[#This Row],[Dependencia]],Tabla3[Dependencia],Tabla3[Nivel],"Otros",0)</f>
        <v>Otros</v>
      </c>
    </row>
    <row r="18" spans="1:10" x14ac:dyDescent="0.25">
      <c r="A18" s="12">
        <v>46273</v>
      </c>
      <c r="B18" t="s">
        <v>81</v>
      </c>
      <c r="C18" t="s">
        <v>118</v>
      </c>
      <c r="D18" t="s">
        <v>13</v>
      </c>
      <c r="E18" t="s">
        <v>24</v>
      </c>
      <c r="F18" t="s">
        <v>24</v>
      </c>
      <c r="G18" t="s">
        <v>107</v>
      </c>
      <c r="H18" t="s">
        <v>74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Gobernador</v>
      </c>
    </row>
    <row r="19" spans="1:10" x14ac:dyDescent="0.25">
      <c r="A19" s="12">
        <v>46273</v>
      </c>
      <c r="B19" t="s">
        <v>81</v>
      </c>
      <c r="C19" t="s">
        <v>119</v>
      </c>
      <c r="D19" t="s">
        <v>12</v>
      </c>
      <c r="E19" t="s">
        <v>79</v>
      </c>
      <c r="F19" t="s">
        <v>2</v>
      </c>
      <c r="G19" t="s">
        <v>91</v>
      </c>
      <c r="H19" t="s">
        <v>11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25">
      <c r="A20" s="12">
        <v>46273</v>
      </c>
      <c r="B20" t="s">
        <v>81</v>
      </c>
      <c r="C20" t="s">
        <v>120</v>
      </c>
      <c r="D20" t="s">
        <v>12</v>
      </c>
      <c r="E20" t="s">
        <v>54</v>
      </c>
      <c r="F20" t="s">
        <v>2</v>
      </c>
      <c r="G20" t="s">
        <v>121</v>
      </c>
      <c r="H20" t="s">
        <v>11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25">
      <c r="A21" s="12">
        <v>46273</v>
      </c>
      <c r="B21" t="s">
        <v>81</v>
      </c>
      <c r="C21" t="s">
        <v>122</v>
      </c>
      <c r="D21" t="s">
        <v>12</v>
      </c>
      <c r="E21" t="s">
        <v>39</v>
      </c>
      <c r="F21" t="s">
        <v>2</v>
      </c>
      <c r="G21" t="s">
        <v>93</v>
      </c>
      <c r="H21" t="s">
        <v>11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25">
      <c r="A22" s="12">
        <v>46273</v>
      </c>
      <c r="B22" t="s">
        <v>81</v>
      </c>
      <c r="C22" t="s">
        <v>123</v>
      </c>
      <c r="D22" t="s">
        <v>12</v>
      </c>
      <c r="E22" t="s">
        <v>22</v>
      </c>
      <c r="F22" t="s">
        <v>124</v>
      </c>
      <c r="G22" t="s">
        <v>125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25">
      <c r="A23" s="12">
        <v>46273</v>
      </c>
      <c r="B23" t="s">
        <v>81</v>
      </c>
      <c r="C23" t="s">
        <v>126</v>
      </c>
      <c r="D23" t="s">
        <v>12</v>
      </c>
      <c r="E23" t="s">
        <v>23</v>
      </c>
      <c r="F23" t="s">
        <v>100</v>
      </c>
      <c r="G23" t="s">
        <v>101</v>
      </c>
      <c r="H23" t="s">
        <v>11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25">
      <c r="A24" s="12">
        <v>46273</v>
      </c>
      <c r="B24" t="s">
        <v>81</v>
      </c>
      <c r="C24" t="s">
        <v>127</v>
      </c>
      <c r="D24" t="s">
        <v>12</v>
      </c>
      <c r="E24" t="s">
        <v>10</v>
      </c>
      <c r="F24" t="s">
        <v>10</v>
      </c>
      <c r="G24" t="s">
        <v>95</v>
      </c>
      <c r="H24" t="s">
        <v>74</v>
      </c>
      <c r="I24" t="str">
        <f>_xlfn.XLOOKUP(Tabla1[[#This Row],[Dependencia]],Tabla2[Dependencia],Tabla2[Clasificación],"XXX",0)</f>
        <v>Otros</v>
      </c>
      <c r="J24" t="str">
        <f>_xlfn.XLOOKUP(Tabla1[[#This Row],[Dependencia]],Tabla3[Dependencia],Tabla3[Nivel],"Otros",0)</f>
        <v>Otros</v>
      </c>
    </row>
    <row r="25" spans="1:10" x14ac:dyDescent="0.25">
      <c r="A25" s="12">
        <v>46273</v>
      </c>
      <c r="B25" t="s">
        <v>81</v>
      </c>
      <c r="C25" t="s">
        <v>128</v>
      </c>
      <c r="D25" t="s">
        <v>12</v>
      </c>
      <c r="E25" t="s">
        <v>14</v>
      </c>
      <c r="F25" t="s">
        <v>111</v>
      </c>
      <c r="G25" t="s">
        <v>129</v>
      </c>
      <c r="H25" t="s">
        <v>11</v>
      </c>
      <c r="I25" t="str">
        <f>_xlfn.XLOOKUP(Tabla1[[#This Row],[Dependencia]],Tabla2[Dependencia],Tabla2[Clasificación],"XXX",0)</f>
        <v>Presidencia de la República</v>
      </c>
      <c r="J25" t="str">
        <f>_xlfn.XLOOKUP(Tabla1[[#This Row],[Dependencia]],Tabla3[Dependencia],Tabla3[Nivel],"Otros",0)</f>
        <v>Otros</v>
      </c>
    </row>
    <row r="26" spans="1:10" x14ac:dyDescent="0.25">
      <c r="A26" s="12">
        <v>46273</v>
      </c>
      <c r="B26" t="s">
        <v>81</v>
      </c>
      <c r="C26" t="s">
        <v>130</v>
      </c>
      <c r="D26" t="s">
        <v>12</v>
      </c>
      <c r="E26" t="s">
        <v>10</v>
      </c>
      <c r="F26" t="s">
        <v>10</v>
      </c>
      <c r="G26" t="s">
        <v>95</v>
      </c>
      <c r="H26" t="s">
        <v>11</v>
      </c>
      <c r="I26" t="str">
        <f>_xlfn.XLOOKUP(Tabla1[[#This Row],[Dependencia]],Tabla2[Dependencia],Tabla2[Clasificación],"XXX",0)</f>
        <v>Otros</v>
      </c>
      <c r="J26" t="str">
        <f>_xlfn.XLOOKUP(Tabla1[[#This Row],[Dependencia]],Tabla3[Dependencia],Tabla3[Nivel],"Otros",0)</f>
        <v>Otros</v>
      </c>
    </row>
    <row r="27" spans="1:10" x14ac:dyDescent="0.25">
      <c r="A27" s="12">
        <v>46273</v>
      </c>
      <c r="B27" t="s">
        <v>81</v>
      </c>
      <c r="C27" t="s">
        <v>131</v>
      </c>
      <c r="D27" t="s">
        <v>12</v>
      </c>
      <c r="E27" t="s">
        <v>59</v>
      </c>
      <c r="F27" t="s">
        <v>59</v>
      </c>
      <c r="G27" t="s">
        <v>85</v>
      </c>
      <c r="H27" t="s">
        <v>11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x14ac:dyDescent="0.25">
      <c r="A28" s="12">
        <v>46273</v>
      </c>
      <c r="B28" t="s">
        <v>77</v>
      </c>
      <c r="C28" t="s">
        <v>132</v>
      </c>
      <c r="D28" t="s">
        <v>13</v>
      </c>
      <c r="E28" t="s">
        <v>79</v>
      </c>
      <c r="F28" t="s">
        <v>2</v>
      </c>
      <c r="G28" t="s">
        <v>91</v>
      </c>
      <c r="H28" t="s">
        <v>74</v>
      </c>
      <c r="I28" t="str">
        <f>_xlfn.XLOOKUP(Tabla1[[#This Row],[Dependencia]],Tabla2[Dependencia],Tabla2[Clasificación],"XXX",0)</f>
        <v>Gobierno del estado</v>
      </c>
      <c r="J28" t="str">
        <f>_xlfn.XLOOKUP(Tabla1[[#This Row],[Dependencia]],Tabla3[Dependencia],Tabla3[Nivel],"Otros",0)</f>
        <v>Gabinete</v>
      </c>
    </row>
    <row r="29" spans="1:10" x14ac:dyDescent="0.25">
      <c r="A29" s="12">
        <v>46273</v>
      </c>
      <c r="B29" t="s">
        <v>77</v>
      </c>
      <c r="C29" t="s">
        <v>133</v>
      </c>
      <c r="D29" t="s">
        <v>9</v>
      </c>
      <c r="E29" t="s">
        <v>24</v>
      </c>
      <c r="F29" t="s">
        <v>24</v>
      </c>
      <c r="G29" t="s">
        <v>109</v>
      </c>
      <c r="H29" t="s">
        <v>11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Gobernador</v>
      </c>
    </row>
    <row r="30" spans="1:10" x14ac:dyDescent="0.25">
      <c r="A30" s="12">
        <v>46273</v>
      </c>
      <c r="B30" t="s">
        <v>77</v>
      </c>
      <c r="C30" t="s">
        <v>134</v>
      </c>
      <c r="D30" t="s">
        <v>12</v>
      </c>
      <c r="E30" t="s">
        <v>14</v>
      </c>
      <c r="F30" t="s">
        <v>14</v>
      </c>
      <c r="G30" t="s">
        <v>135</v>
      </c>
      <c r="H30" t="s">
        <v>11</v>
      </c>
      <c r="I30" t="str">
        <f>_xlfn.XLOOKUP(Tabla1[[#This Row],[Dependencia]],Tabla2[Dependencia],Tabla2[Clasificación],"XXX",0)</f>
        <v>Presidencia de la República</v>
      </c>
      <c r="J30" t="str">
        <f>_xlfn.XLOOKUP(Tabla1[[#This Row],[Dependencia]],Tabla3[Dependencia],Tabla3[Nivel],"Otros",0)</f>
        <v>Otros</v>
      </c>
    </row>
    <row r="31" spans="1:10" x14ac:dyDescent="0.25">
      <c r="A31" s="12">
        <v>46273</v>
      </c>
      <c r="B31" t="s">
        <v>73</v>
      </c>
      <c r="C31" t="s">
        <v>136</v>
      </c>
      <c r="D31" t="s">
        <v>12</v>
      </c>
      <c r="E31" t="s">
        <v>10</v>
      </c>
      <c r="F31" t="s">
        <v>10</v>
      </c>
      <c r="G31" t="s">
        <v>72</v>
      </c>
      <c r="H31" t="s">
        <v>11</v>
      </c>
      <c r="I31" t="str">
        <f>_xlfn.XLOOKUP(Tabla1[[#This Row],[Dependencia]],Tabla2[Dependencia],Tabla2[Clasificación],"XXX",0)</f>
        <v>Otros</v>
      </c>
      <c r="J31" t="str">
        <f>_xlfn.XLOOKUP(Tabla1[[#This Row],[Dependencia]],Tabla3[Dependencia],Tabla3[Nivel],"Otros",0)</f>
        <v>Otros</v>
      </c>
    </row>
    <row r="32" spans="1:10" x14ac:dyDescent="0.25">
      <c r="A32" s="12">
        <v>46273</v>
      </c>
      <c r="B32" t="s">
        <v>73</v>
      </c>
      <c r="C32" t="s">
        <v>137</v>
      </c>
      <c r="D32" t="s">
        <v>12</v>
      </c>
      <c r="E32" t="s">
        <v>10</v>
      </c>
      <c r="F32" t="s">
        <v>10</v>
      </c>
      <c r="G32" t="s">
        <v>72</v>
      </c>
      <c r="H32" t="s">
        <v>11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x14ac:dyDescent="0.25">
      <c r="A33" s="12">
        <v>46273</v>
      </c>
      <c r="B33" t="s">
        <v>73</v>
      </c>
      <c r="C33" t="s">
        <v>138</v>
      </c>
      <c r="D33" t="s">
        <v>13</v>
      </c>
      <c r="E33" t="s">
        <v>79</v>
      </c>
      <c r="F33" t="s">
        <v>2</v>
      </c>
      <c r="G33" t="s">
        <v>91</v>
      </c>
      <c r="H33" t="s">
        <v>74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x14ac:dyDescent="0.25">
      <c r="A34" s="12">
        <v>46273</v>
      </c>
      <c r="B34" t="s">
        <v>73</v>
      </c>
      <c r="C34" t="s">
        <v>139</v>
      </c>
      <c r="D34" t="s">
        <v>9</v>
      </c>
      <c r="E34" t="s">
        <v>23</v>
      </c>
      <c r="F34" t="s">
        <v>100</v>
      </c>
      <c r="G34" t="s">
        <v>101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x14ac:dyDescent="0.25">
      <c r="A35" s="12">
        <v>46273</v>
      </c>
      <c r="B35" t="s">
        <v>73</v>
      </c>
      <c r="C35" t="s">
        <v>140</v>
      </c>
      <c r="D35" t="s">
        <v>12</v>
      </c>
      <c r="E35" t="s">
        <v>16</v>
      </c>
      <c r="F35" t="s">
        <v>82</v>
      </c>
      <c r="G35" t="s">
        <v>141</v>
      </c>
      <c r="H35" t="s">
        <v>11</v>
      </c>
      <c r="I35" t="str">
        <f>_xlfn.XLOOKUP(Tabla1[[#This Row],[Dependencia]],Tabla2[Dependencia],Tabla2[Clasificación],"XXX",0)</f>
        <v>Alcaldías</v>
      </c>
      <c r="J35" t="str">
        <f>_xlfn.XLOOKUP(Tabla1[[#This Row],[Dependencia]],Tabla3[Dependencia],Tabla3[Nivel],"Otros",0)</f>
        <v>Otros</v>
      </c>
    </row>
    <row r="36" spans="1:10" x14ac:dyDescent="0.25">
      <c r="A36" s="12">
        <v>46273</v>
      </c>
      <c r="B36" t="s">
        <v>73</v>
      </c>
      <c r="C36" t="s">
        <v>142</v>
      </c>
      <c r="D36" t="s">
        <v>12</v>
      </c>
      <c r="E36" t="s">
        <v>24</v>
      </c>
      <c r="F36" t="s">
        <v>24</v>
      </c>
      <c r="G36" t="s">
        <v>143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Gobernador</v>
      </c>
    </row>
    <row r="37" spans="1:10" x14ac:dyDescent="0.25">
      <c r="A37" s="12">
        <v>46273</v>
      </c>
      <c r="B37" t="s">
        <v>73</v>
      </c>
      <c r="C37" t="s">
        <v>144</v>
      </c>
      <c r="D37" t="s">
        <v>12</v>
      </c>
      <c r="E37" t="s">
        <v>145</v>
      </c>
      <c r="F37" t="s">
        <v>2</v>
      </c>
      <c r="G37" t="s">
        <v>86</v>
      </c>
      <c r="H37" t="s">
        <v>11</v>
      </c>
      <c r="I37" t="str">
        <f>_xlfn.XLOOKUP(Tabla1[[#This Row],[Dependencia]],Tabla2[Dependencia],Tabla2[Clasificación],"XXX",0)</f>
        <v>Partidos</v>
      </c>
      <c r="J37" t="str">
        <f>_xlfn.XLOOKUP(Tabla1[[#This Row],[Dependencia]],Tabla3[Dependencia],Tabla3[Nivel],"Otros",0)</f>
        <v>Otros</v>
      </c>
    </row>
    <row r="38" spans="1:10" x14ac:dyDescent="0.25">
      <c r="A38" s="12">
        <v>46272</v>
      </c>
      <c r="B38" t="s">
        <v>146</v>
      </c>
      <c r="C38" t="s">
        <v>147</v>
      </c>
      <c r="D38" t="s">
        <v>13</v>
      </c>
      <c r="E38" t="s">
        <v>24</v>
      </c>
      <c r="F38" t="s">
        <v>24</v>
      </c>
      <c r="G38" t="s">
        <v>107</v>
      </c>
      <c r="H38" t="s">
        <v>74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Gobernador</v>
      </c>
    </row>
    <row r="39" spans="1:10" x14ac:dyDescent="0.25">
      <c r="A39" s="12">
        <v>46273</v>
      </c>
      <c r="B39" t="s">
        <v>78</v>
      </c>
      <c r="C39" t="s">
        <v>148</v>
      </c>
      <c r="D39" t="s">
        <v>13</v>
      </c>
      <c r="E39" t="s">
        <v>24</v>
      </c>
      <c r="F39" t="s">
        <v>24</v>
      </c>
      <c r="G39" t="s">
        <v>107</v>
      </c>
      <c r="H39" t="s">
        <v>74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Gobernador</v>
      </c>
    </row>
    <row r="40" spans="1:10" x14ac:dyDescent="0.25">
      <c r="A40" s="12">
        <v>46273</v>
      </c>
      <c r="B40" t="s">
        <v>78</v>
      </c>
      <c r="C40" t="s">
        <v>149</v>
      </c>
      <c r="D40" t="s">
        <v>9</v>
      </c>
      <c r="E40" t="s">
        <v>23</v>
      </c>
      <c r="F40" t="s">
        <v>23</v>
      </c>
      <c r="G40" t="s">
        <v>101</v>
      </c>
      <c r="H40" t="s">
        <v>11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25">
      <c r="A41" s="12">
        <v>46273</v>
      </c>
      <c r="B41" t="s">
        <v>78</v>
      </c>
      <c r="C41" t="s">
        <v>150</v>
      </c>
      <c r="D41" t="s">
        <v>12</v>
      </c>
      <c r="E41" t="s">
        <v>24</v>
      </c>
      <c r="F41" t="s">
        <v>24</v>
      </c>
      <c r="G41" t="s">
        <v>151</v>
      </c>
      <c r="H41" t="s">
        <v>11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Gobernador</v>
      </c>
    </row>
    <row r="42" spans="1:10" x14ac:dyDescent="0.25">
      <c r="A42" s="12">
        <v>46273</v>
      </c>
      <c r="B42" t="s">
        <v>78</v>
      </c>
      <c r="C42" t="s">
        <v>152</v>
      </c>
      <c r="D42" t="s">
        <v>12</v>
      </c>
      <c r="E42" t="s">
        <v>39</v>
      </c>
      <c r="F42" t="s">
        <v>2</v>
      </c>
      <c r="G42" t="s">
        <v>93</v>
      </c>
      <c r="H42" t="s">
        <v>11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x14ac:dyDescent="0.25">
      <c r="A43" s="12">
        <v>46273</v>
      </c>
      <c r="B43" t="s">
        <v>78</v>
      </c>
      <c r="C43" t="s">
        <v>153</v>
      </c>
      <c r="D43" t="s">
        <v>12</v>
      </c>
      <c r="E43" t="s">
        <v>57</v>
      </c>
      <c r="F43" t="s">
        <v>57</v>
      </c>
      <c r="G43" t="s">
        <v>154</v>
      </c>
      <c r="H43" t="s">
        <v>11</v>
      </c>
      <c r="I43" t="str">
        <f>_xlfn.XLOOKUP(Tabla1[[#This Row],[Dependencia]],Tabla2[Dependencia],Tabla2[Clasificación],"XXX",0)</f>
        <v>Otros</v>
      </c>
      <c r="J43" t="str">
        <f>_xlfn.XLOOKUP(Tabla1[[#This Row],[Dependencia]],Tabla3[Dependencia],Tabla3[Nivel],"Otros",0)</f>
        <v>Otros</v>
      </c>
    </row>
    <row r="44" spans="1:10" x14ac:dyDescent="0.25">
      <c r="A44" s="12">
        <v>46273</v>
      </c>
      <c r="B44" t="s">
        <v>75</v>
      </c>
      <c r="C44" t="s">
        <v>155</v>
      </c>
      <c r="D44" t="s">
        <v>13</v>
      </c>
      <c r="E44" t="s">
        <v>39</v>
      </c>
      <c r="F44" t="s">
        <v>2</v>
      </c>
      <c r="G44" t="s">
        <v>93</v>
      </c>
      <c r="H44" t="s">
        <v>11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Gabinete</v>
      </c>
    </row>
    <row r="45" spans="1:10" x14ac:dyDescent="0.25">
      <c r="A45" s="12">
        <v>46273</v>
      </c>
      <c r="B45" t="s">
        <v>75</v>
      </c>
      <c r="C45" t="s">
        <v>156</v>
      </c>
      <c r="D45" t="s">
        <v>12</v>
      </c>
      <c r="E45" t="s">
        <v>53</v>
      </c>
      <c r="F45" t="s">
        <v>2</v>
      </c>
      <c r="G45" t="s">
        <v>157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25">
      <c r="A46" s="12">
        <v>46273</v>
      </c>
      <c r="B46" t="s">
        <v>75</v>
      </c>
      <c r="C46" t="s">
        <v>158</v>
      </c>
      <c r="D46" t="s">
        <v>12</v>
      </c>
      <c r="E46" t="s">
        <v>21</v>
      </c>
      <c r="F46" t="s">
        <v>2</v>
      </c>
      <c r="G46" t="s">
        <v>105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x14ac:dyDescent="0.25">
      <c r="A47" s="12">
        <v>46273</v>
      </c>
      <c r="B47" t="s">
        <v>75</v>
      </c>
      <c r="C47" t="s">
        <v>159</v>
      </c>
      <c r="D47" t="s">
        <v>9</v>
      </c>
      <c r="E47" t="s">
        <v>24</v>
      </c>
      <c r="F47" t="s">
        <v>24</v>
      </c>
      <c r="G47" t="s">
        <v>107</v>
      </c>
      <c r="H47" t="s">
        <v>74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Gobernador</v>
      </c>
    </row>
    <row r="48" spans="1:10" x14ac:dyDescent="0.25">
      <c r="A48" s="12">
        <v>46273</v>
      </c>
      <c r="B48" t="s">
        <v>75</v>
      </c>
      <c r="C48" t="s">
        <v>160</v>
      </c>
      <c r="D48" t="s">
        <v>12</v>
      </c>
      <c r="E48" t="s">
        <v>57</v>
      </c>
      <c r="F48" t="s">
        <v>57</v>
      </c>
      <c r="G48" t="s">
        <v>87</v>
      </c>
      <c r="H48" t="s">
        <v>11</v>
      </c>
      <c r="I48" t="str">
        <f>_xlfn.XLOOKUP(Tabla1[[#This Row],[Dependencia]],Tabla2[Dependencia],Tabla2[Clasificación],"XXX",0)</f>
        <v>Otros</v>
      </c>
      <c r="J48" t="str">
        <f>_xlfn.XLOOKUP(Tabla1[[#This Row],[Dependencia]],Tabla3[Dependencia],Tabla3[Nivel],"Otros",0)</f>
        <v>Otros</v>
      </c>
    </row>
    <row r="49" spans="1:10" x14ac:dyDescent="0.25">
      <c r="A49" s="12">
        <v>46273</v>
      </c>
      <c r="B49" t="s">
        <v>75</v>
      </c>
      <c r="C49" t="s">
        <v>161</v>
      </c>
      <c r="D49" t="s">
        <v>12</v>
      </c>
      <c r="E49" t="s">
        <v>57</v>
      </c>
      <c r="F49" t="s">
        <v>57</v>
      </c>
      <c r="G49" t="s">
        <v>87</v>
      </c>
      <c r="H49" t="s">
        <v>70</v>
      </c>
      <c r="I49" t="str">
        <f>_xlfn.XLOOKUP(Tabla1[[#This Row],[Dependencia]],Tabla2[Dependencia],Tabla2[Clasificación],"XXX",0)</f>
        <v>Otros</v>
      </c>
      <c r="J49" t="str">
        <f>_xlfn.XLOOKUP(Tabla1[[#This Row],[Dependencia]],Tabla3[Dependencia],Tabla3[Nivel],"Otros",0)</f>
        <v>Otros</v>
      </c>
    </row>
    <row r="50" spans="1:10" x14ac:dyDescent="0.25">
      <c r="A50" s="12">
        <v>46273</v>
      </c>
      <c r="B50" t="s">
        <v>80</v>
      </c>
      <c r="C50" t="s">
        <v>162</v>
      </c>
      <c r="D50" t="s">
        <v>12</v>
      </c>
      <c r="E50" t="s">
        <v>24</v>
      </c>
      <c r="F50" t="s">
        <v>24</v>
      </c>
      <c r="G50" t="s">
        <v>109</v>
      </c>
      <c r="H50" t="s">
        <v>11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Gobernador</v>
      </c>
    </row>
    <row r="51" spans="1:10" x14ac:dyDescent="0.25">
      <c r="A51" s="12">
        <v>46273</v>
      </c>
      <c r="B51" t="s">
        <v>80</v>
      </c>
      <c r="C51" t="s">
        <v>163</v>
      </c>
      <c r="D51" t="s">
        <v>12</v>
      </c>
      <c r="E51" t="s">
        <v>23</v>
      </c>
      <c r="F51" t="s">
        <v>100</v>
      </c>
      <c r="G51" t="s">
        <v>101</v>
      </c>
      <c r="H51" t="s">
        <v>11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x14ac:dyDescent="0.25">
      <c r="A52" s="12">
        <v>46273</v>
      </c>
      <c r="B52" t="s">
        <v>80</v>
      </c>
      <c r="C52" t="s">
        <v>164</v>
      </c>
      <c r="D52" t="s">
        <v>12</v>
      </c>
      <c r="E52" t="s">
        <v>10</v>
      </c>
      <c r="F52" t="s">
        <v>10</v>
      </c>
      <c r="G52" t="s">
        <v>95</v>
      </c>
      <c r="H52" t="s">
        <v>11</v>
      </c>
      <c r="I52" t="str">
        <f>_xlfn.XLOOKUP(Tabla1[[#This Row],[Dependencia]],Tabla2[Dependencia],Tabla2[Clasificación],"XXX",0)</f>
        <v>Otros</v>
      </c>
      <c r="J52" t="str">
        <f>_xlfn.XLOOKUP(Tabla1[[#This Row],[Dependencia]],Tabla3[Dependencia],Tabla3[Nivel],"Otros",0)</f>
        <v>Otros</v>
      </c>
    </row>
    <row r="53" spans="1:10" x14ac:dyDescent="0.25">
      <c r="A53" s="12">
        <v>46273</v>
      </c>
      <c r="B53" t="s">
        <v>80</v>
      </c>
      <c r="C53" t="s">
        <v>165</v>
      </c>
      <c r="D53" t="s">
        <v>12</v>
      </c>
      <c r="E53" t="s">
        <v>16</v>
      </c>
      <c r="F53" t="s">
        <v>82</v>
      </c>
      <c r="G53" t="s">
        <v>125</v>
      </c>
      <c r="H53" t="s">
        <v>74</v>
      </c>
      <c r="I53" t="str">
        <f>_xlfn.XLOOKUP(Tabla1[[#This Row],[Dependencia]],Tabla2[Dependencia],Tabla2[Clasificación],"XXX",0)</f>
        <v>Alcaldías</v>
      </c>
      <c r="J53" t="str">
        <f>_xlfn.XLOOKUP(Tabla1[[#This Row],[Dependencia]],Tabla3[Dependencia],Tabla3[Nivel],"Otros",0)</f>
        <v>Otros</v>
      </c>
    </row>
    <row r="54" spans="1:10" x14ac:dyDescent="0.25">
      <c r="A54" s="12">
        <v>46273</v>
      </c>
      <c r="B54" t="s">
        <v>80</v>
      </c>
      <c r="C54" t="s">
        <v>166</v>
      </c>
      <c r="D54" t="s">
        <v>12</v>
      </c>
      <c r="E54" t="s">
        <v>16</v>
      </c>
      <c r="F54" t="s">
        <v>82</v>
      </c>
      <c r="G54" t="s">
        <v>89</v>
      </c>
      <c r="H54" t="s">
        <v>11</v>
      </c>
      <c r="I54" t="str">
        <f>_xlfn.XLOOKUP(Tabla1[[#This Row],[Dependencia]],Tabla2[Dependencia],Tabla2[Clasificación],"XXX",0)</f>
        <v>Alcaldías</v>
      </c>
      <c r="J54" t="str">
        <f>_xlfn.XLOOKUP(Tabla1[[#This Row],[Dependencia]],Tabla3[Dependencia],Tabla3[Nivel],"Otros",0)</f>
        <v>Otros</v>
      </c>
    </row>
    <row r="55" spans="1:10" x14ac:dyDescent="0.25">
      <c r="A55" s="12">
        <v>46273</v>
      </c>
      <c r="B55" t="s">
        <v>80</v>
      </c>
      <c r="C55" t="s">
        <v>167</v>
      </c>
      <c r="D55" t="s">
        <v>13</v>
      </c>
      <c r="E55" t="s">
        <v>24</v>
      </c>
      <c r="F55" t="s">
        <v>24</v>
      </c>
      <c r="G55" t="s">
        <v>107</v>
      </c>
      <c r="H55" t="s">
        <v>74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Gobernador</v>
      </c>
    </row>
    <row r="56" spans="1:10" x14ac:dyDescent="0.25">
      <c r="A56" s="12">
        <v>46273</v>
      </c>
      <c r="B56" t="s">
        <v>80</v>
      </c>
      <c r="C56" t="s">
        <v>168</v>
      </c>
      <c r="D56" t="s">
        <v>12</v>
      </c>
      <c r="E56" t="s">
        <v>29</v>
      </c>
      <c r="F56" t="s">
        <v>29</v>
      </c>
      <c r="G56" t="s">
        <v>169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x14ac:dyDescent="0.25">
      <c r="A57" s="12">
        <v>46273</v>
      </c>
      <c r="B57" t="s">
        <v>80</v>
      </c>
      <c r="C57" t="s">
        <v>170</v>
      </c>
      <c r="D57" t="s">
        <v>84</v>
      </c>
      <c r="E57" t="s">
        <v>10</v>
      </c>
      <c r="F57" t="s">
        <v>10</v>
      </c>
      <c r="G57" t="s">
        <v>95</v>
      </c>
      <c r="H57" t="s">
        <v>11</v>
      </c>
      <c r="I57" t="str">
        <f>_xlfn.XLOOKUP(Tabla1[[#This Row],[Dependencia]],Tabla2[Dependencia],Tabla2[Clasificación],"XXX",0)</f>
        <v>Otros</v>
      </c>
      <c r="J57" t="str">
        <f>_xlfn.XLOOKUP(Tabla1[[#This Row],[Dependencia]],Tabla3[Dependencia],Tabla3[Nivel],"Otros",0)</f>
        <v>Otros</v>
      </c>
    </row>
    <row r="58" spans="1:10" x14ac:dyDescent="0.25">
      <c r="A58" s="12">
        <v>46273</v>
      </c>
      <c r="B58" t="s">
        <v>76</v>
      </c>
      <c r="C58" t="s">
        <v>171</v>
      </c>
      <c r="D58" t="s">
        <v>12</v>
      </c>
      <c r="E58" t="s">
        <v>26</v>
      </c>
      <c r="F58" t="s">
        <v>2</v>
      </c>
      <c r="G58" t="s">
        <v>172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x14ac:dyDescent="0.25">
      <c r="A59" s="12">
        <v>46273</v>
      </c>
      <c r="B59" t="s">
        <v>76</v>
      </c>
      <c r="C59" t="s">
        <v>173</v>
      </c>
      <c r="D59" t="s">
        <v>12</v>
      </c>
      <c r="E59" t="s">
        <v>24</v>
      </c>
      <c r="F59" t="s">
        <v>24</v>
      </c>
      <c r="G59" t="s">
        <v>151</v>
      </c>
      <c r="H59" t="s">
        <v>11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Gobernador</v>
      </c>
    </row>
    <row r="60" spans="1:10" x14ac:dyDescent="0.25">
      <c r="A60" s="12">
        <v>46273</v>
      </c>
      <c r="B60" t="s">
        <v>76</v>
      </c>
      <c r="C60" t="s">
        <v>174</v>
      </c>
      <c r="D60" t="s">
        <v>13</v>
      </c>
      <c r="E60" t="s">
        <v>24</v>
      </c>
      <c r="F60" t="s">
        <v>24</v>
      </c>
      <c r="G60" t="s">
        <v>107</v>
      </c>
      <c r="H60" t="s">
        <v>74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Gobernador</v>
      </c>
    </row>
    <row r="61" spans="1:10" x14ac:dyDescent="0.25">
      <c r="A61" s="12">
        <v>46273</v>
      </c>
      <c r="B61" t="s">
        <v>76</v>
      </c>
      <c r="C61" t="s">
        <v>175</v>
      </c>
      <c r="D61" t="s">
        <v>12</v>
      </c>
      <c r="E61" t="s">
        <v>16</v>
      </c>
      <c r="F61" t="s">
        <v>82</v>
      </c>
      <c r="G61" t="s">
        <v>89</v>
      </c>
      <c r="H61" t="s">
        <v>74</v>
      </c>
      <c r="I61" t="str">
        <f>_xlfn.XLOOKUP(Tabla1[[#This Row],[Dependencia]],Tabla2[Dependencia],Tabla2[Clasificación],"XXX",0)</f>
        <v>Alcaldías</v>
      </c>
      <c r="J61" t="str">
        <f>_xlfn.XLOOKUP(Tabla1[[#This Row],[Dependencia]],Tabla3[Dependencia],Tabla3[Nivel],"Otros",0)</f>
        <v>Otros</v>
      </c>
    </row>
    <row r="62" spans="1:10" x14ac:dyDescent="0.25">
      <c r="A62" s="12">
        <v>46273</v>
      </c>
      <c r="B62" t="s">
        <v>76</v>
      </c>
      <c r="C62" t="s">
        <v>176</v>
      </c>
      <c r="D62" t="s">
        <v>84</v>
      </c>
      <c r="E62" t="s">
        <v>38</v>
      </c>
      <c r="F62" t="s">
        <v>38</v>
      </c>
      <c r="G62" t="s">
        <v>83</v>
      </c>
      <c r="H62" t="s">
        <v>11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Gabinete</v>
      </c>
    </row>
    <row r="63" spans="1:10" x14ac:dyDescent="0.25">
      <c r="A63" s="12">
        <v>46273</v>
      </c>
      <c r="B63" t="s">
        <v>68</v>
      </c>
      <c r="C63" t="s">
        <v>90</v>
      </c>
      <c r="D63" t="s">
        <v>13</v>
      </c>
      <c r="E63" t="s">
        <v>79</v>
      </c>
      <c r="F63" t="s">
        <v>2</v>
      </c>
      <c r="G63" t="s">
        <v>91</v>
      </c>
      <c r="H63" t="s">
        <v>11</v>
      </c>
      <c r="I63" t="str">
        <f>_xlfn.XLOOKUP(Tabla1[[#This Row],[Dependencia]],Tabla2[Dependencia],Tabla2[Clasificación],"XXX",0)</f>
        <v>Gobierno del estado</v>
      </c>
      <c r="J63" t="str">
        <f>_xlfn.XLOOKUP(Tabla1[[#This Row],[Dependencia]],Tabla3[Dependencia],Tabla3[Nivel],"Otros",0)</f>
        <v>Gabinete</v>
      </c>
    </row>
    <row r="64" spans="1:10" x14ac:dyDescent="0.25">
      <c r="A64" s="12">
        <v>46273</v>
      </c>
      <c r="B64" t="s">
        <v>68</v>
      </c>
      <c r="C64" t="s">
        <v>92</v>
      </c>
      <c r="D64" t="s">
        <v>12</v>
      </c>
      <c r="E64" t="s">
        <v>39</v>
      </c>
      <c r="F64" t="s">
        <v>2</v>
      </c>
      <c r="G64" t="s">
        <v>93</v>
      </c>
      <c r="H64" t="s">
        <v>11</v>
      </c>
      <c r="I64" t="str">
        <f>_xlfn.XLOOKUP(Tabla1[[#This Row],[Dependencia]],Tabla2[Dependencia],Tabla2[Clasificación],"XXX",0)</f>
        <v>Gobierno del estado</v>
      </c>
      <c r="J64" t="str">
        <f>_xlfn.XLOOKUP(Tabla1[[#This Row],[Dependencia]],Tabla3[Dependencia],Tabla3[Nivel],"Otros",0)</f>
        <v>Gabinete</v>
      </c>
    </row>
    <row r="65" spans="1:10" x14ac:dyDescent="0.25">
      <c r="A65" s="12">
        <v>46273</v>
      </c>
      <c r="B65" t="s">
        <v>68</v>
      </c>
      <c r="C65" t="s">
        <v>94</v>
      </c>
      <c r="D65" t="s">
        <v>12</v>
      </c>
      <c r="E65" t="s">
        <v>10</v>
      </c>
      <c r="F65" t="s">
        <v>10</v>
      </c>
      <c r="G65" t="s">
        <v>95</v>
      </c>
      <c r="H65" t="s">
        <v>11</v>
      </c>
      <c r="I65" t="str">
        <f>_xlfn.XLOOKUP(Tabla1[[#This Row],[Dependencia]],Tabla2[Dependencia],Tabla2[Clasificación],"XXX",0)</f>
        <v>Otros</v>
      </c>
      <c r="J65" t="str">
        <f>_xlfn.XLOOKUP(Tabla1[[#This Row],[Dependencia]],Tabla3[Dependencia],Tabla3[Nivel],"Otros",0)</f>
        <v>Otros</v>
      </c>
    </row>
    <row r="66" spans="1:10" x14ac:dyDescent="0.25">
      <c r="A66" s="12">
        <v>46273</v>
      </c>
      <c r="B66" t="s">
        <v>68</v>
      </c>
      <c r="C66" t="s">
        <v>96</v>
      </c>
      <c r="D66" t="s">
        <v>12</v>
      </c>
      <c r="E66" t="s">
        <v>24</v>
      </c>
      <c r="F66" t="s">
        <v>24</v>
      </c>
      <c r="G66" t="s">
        <v>97</v>
      </c>
      <c r="H66" t="s">
        <v>11</v>
      </c>
      <c r="I66" t="str">
        <f>_xlfn.XLOOKUP(Tabla1[[#This Row],[Dependencia]],Tabla2[Dependencia],Tabla2[Clasificación],"XXX",0)</f>
        <v>Gobierno del estado</v>
      </c>
      <c r="J66" t="str">
        <f>_xlfn.XLOOKUP(Tabla1[[#This Row],[Dependencia]],Tabla3[Dependencia],Tabla3[Nivel],"Otros",0)</f>
        <v>Gobernador</v>
      </c>
    </row>
    <row r="67" spans="1:10" x14ac:dyDescent="0.25">
      <c r="A67" s="12">
        <v>46273</v>
      </c>
      <c r="B67" t="s">
        <v>68</v>
      </c>
      <c r="C67" t="s">
        <v>98</v>
      </c>
      <c r="D67" t="s">
        <v>9</v>
      </c>
      <c r="E67" t="s">
        <v>16</v>
      </c>
      <c r="F67" t="s">
        <v>82</v>
      </c>
      <c r="G67" t="s">
        <v>89</v>
      </c>
      <c r="H67" t="s">
        <v>74</v>
      </c>
      <c r="I67" t="str">
        <f>_xlfn.XLOOKUP(Tabla1[[#This Row],[Dependencia]],Tabla2[Dependencia],Tabla2[Clasificación],"XXX",0)</f>
        <v>Alcaldías</v>
      </c>
      <c r="J67" t="str">
        <f>_xlfn.XLOOKUP(Tabla1[[#This Row],[Dependencia]],Tabla3[Dependencia],Tabla3[Nivel],"Otros",0)</f>
        <v>Otros</v>
      </c>
    </row>
    <row r="68" spans="1:10" x14ac:dyDescent="0.25">
      <c r="A68" s="12">
        <v>46273</v>
      </c>
      <c r="B68" t="s">
        <v>71</v>
      </c>
      <c r="C68" t="s">
        <v>99</v>
      </c>
      <c r="D68" t="s">
        <v>13</v>
      </c>
      <c r="E68" t="s">
        <v>23</v>
      </c>
      <c r="F68" t="s">
        <v>100</v>
      </c>
      <c r="G68" t="s">
        <v>101</v>
      </c>
      <c r="H68" t="s">
        <v>11</v>
      </c>
      <c r="I68" t="str">
        <f>_xlfn.XLOOKUP(Tabla1[[#This Row],[Dependencia]],Tabla2[Dependencia],Tabla2[Clasificación],"XXX",0)</f>
        <v>Gobierno del estado</v>
      </c>
      <c r="J68" t="str">
        <f>_xlfn.XLOOKUP(Tabla1[[#This Row],[Dependencia]],Tabla3[Dependencia],Tabla3[Nivel],"Otros",0)</f>
        <v>Gabinete</v>
      </c>
    </row>
    <row r="69" spans="1:10" x14ac:dyDescent="0.25">
      <c r="A69" s="12">
        <v>46273</v>
      </c>
      <c r="B69" t="s">
        <v>71</v>
      </c>
      <c r="C69" t="s">
        <v>102</v>
      </c>
      <c r="D69" t="s">
        <v>9</v>
      </c>
      <c r="E69" t="s">
        <v>10</v>
      </c>
      <c r="F69" t="s">
        <v>10</v>
      </c>
      <c r="G69" t="s">
        <v>103</v>
      </c>
      <c r="H69" t="s">
        <v>11</v>
      </c>
      <c r="I69" t="str">
        <f>_xlfn.XLOOKUP(Tabla1[[#This Row],[Dependencia]],Tabla2[Dependencia],Tabla2[Clasificación],"XXX",0)</f>
        <v>Otros</v>
      </c>
      <c r="J69" t="str">
        <f>_xlfn.XLOOKUP(Tabla1[[#This Row],[Dependencia]],Tabla3[Dependencia],Tabla3[Nivel],"Otros",0)</f>
        <v>Otros</v>
      </c>
    </row>
    <row r="70" spans="1:10" x14ac:dyDescent="0.25">
      <c r="A70" s="12">
        <v>46273</v>
      </c>
      <c r="B70" t="s">
        <v>71</v>
      </c>
      <c r="C70" t="s">
        <v>104</v>
      </c>
      <c r="D70" t="s">
        <v>12</v>
      </c>
      <c r="E70" t="s">
        <v>21</v>
      </c>
      <c r="F70" t="s">
        <v>2</v>
      </c>
      <c r="G70" t="s">
        <v>105</v>
      </c>
      <c r="H70" t="s">
        <v>11</v>
      </c>
      <c r="I70" t="str">
        <f>_xlfn.XLOOKUP(Tabla1[[#This Row],[Dependencia]],Tabla2[Dependencia],Tabla2[Clasificación],"XXX",0)</f>
        <v>Gobierno del estado</v>
      </c>
      <c r="J70" t="str">
        <f>_xlfn.XLOOKUP(Tabla1[[#This Row],[Dependencia]],Tabla3[Dependencia],Tabla3[Nivel],"Otros",0)</f>
        <v>Gabinete</v>
      </c>
    </row>
    <row r="71" spans="1:10" x14ac:dyDescent="0.25">
      <c r="A71" s="12">
        <v>46273</v>
      </c>
      <c r="B71" t="s">
        <v>71</v>
      </c>
      <c r="C71" t="s">
        <v>106</v>
      </c>
      <c r="D71" t="s">
        <v>12</v>
      </c>
      <c r="E71" t="s">
        <v>24</v>
      </c>
      <c r="F71" t="s">
        <v>24</v>
      </c>
      <c r="G71" t="s">
        <v>107</v>
      </c>
      <c r="H71" t="s">
        <v>74</v>
      </c>
      <c r="I71" t="str">
        <f>_xlfn.XLOOKUP(Tabla1[[#This Row],[Dependencia]],Tabla2[Dependencia],Tabla2[Clasificación],"XXX",0)</f>
        <v>Gobierno del estado</v>
      </c>
      <c r="J71" t="str">
        <f>_xlfn.XLOOKUP(Tabla1[[#This Row],[Dependencia]],Tabla3[Dependencia],Tabla3[Nivel],"Otros",0)</f>
        <v>Gobernador</v>
      </c>
    </row>
    <row r="72" spans="1:10" x14ac:dyDescent="0.25">
      <c r="A72" s="12">
        <v>46273</v>
      </c>
      <c r="B72" t="s">
        <v>71</v>
      </c>
      <c r="C72" t="s">
        <v>108</v>
      </c>
      <c r="D72" t="s">
        <v>12</v>
      </c>
      <c r="E72" t="s">
        <v>24</v>
      </c>
      <c r="F72" t="s">
        <v>24</v>
      </c>
      <c r="G72" t="s">
        <v>109</v>
      </c>
      <c r="H72" t="s">
        <v>11</v>
      </c>
      <c r="I72" t="str">
        <f>_xlfn.XLOOKUP(Tabla1[[#This Row],[Dependencia]],Tabla2[Dependencia],Tabla2[Clasificación],"XXX",0)</f>
        <v>Gobierno del estado</v>
      </c>
      <c r="J72" t="str">
        <f>_xlfn.XLOOKUP(Tabla1[[#This Row],[Dependencia]],Tabla3[Dependencia],Tabla3[Nivel],"Otros",0)</f>
        <v>Gobernador</v>
      </c>
    </row>
    <row r="73" spans="1:10" x14ac:dyDescent="0.25">
      <c r="A73" s="12">
        <v>46273</v>
      </c>
      <c r="B73" t="s">
        <v>67</v>
      </c>
      <c r="C73" t="s">
        <v>110</v>
      </c>
      <c r="D73" t="s">
        <v>12</v>
      </c>
      <c r="E73" t="s">
        <v>14</v>
      </c>
      <c r="F73" t="s">
        <v>111</v>
      </c>
      <c r="G73" t="s">
        <v>101</v>
      </c>
      <c r="H73" t="s">
        <v>11</v>
      </c>
      <c r="I73" t="str">
        <f>_xlfn.XLOOKUP(Tabla1[[#This Row],[Dependencia]],Tabla2[Dependencia],Tabla2[Clasificación],"XXX",0)</f>
        <v>Presidencia de la República</v>
      </c>
      <c r="J73" t="str">
        <f>_xlfn.XLOOKUP(Tabla1[[#This Row],[Dependencia]],Tabla3[Dependencia],Tabla3[Nivel],"Otros",0)</f>
        <v>Otros</v>
      </c>
    </row>
    <row r="74" spans="1:10" x14ac:dyDescent="0.25">
      <c r="A74" s="12">
        <v>46273</v>
      </c>
      <c r="B74" t="s">
        <v>67</v>
      </c>
      <c r="C74" t="s">
        <v>112</v>
      </c>
      <c r="D74" t="s">
        <v>12</v>
      </c>
      <c r="E74" t="s">
        <v>10</v>
      </c>
      <c r="F74" t="s">
        <v>10</v>
      </c>
      <c r="G74" t="s">
        <v>88</v>
      </c>
      <c r="H74" t="s">
        <v>11</v>
      </c>
      <c r="I74" t="str">
        <f>_xlfn.XLOOKUP(Tabla1[[#This Row],[Dependencia]],Tabla2[Dependencia],Tabla2[Clasificación],"XXX",0)</f>
        <v>Otros</v>
      </c>
      <c r="J74" t="str">
        <f>_xlfn.XLOOKUP(Tabla1[[#This Row],[Dependencia]],Tabla3[Dependencia],Tabla3[Nivel],"Otros",0)</f>
        <v>Otros</v>
      </c>
    </row>
    <row r="75" spans="1:10" x14ac:dyDescent="0.25">
      <c r="A75" s="12">
        <v>46273</v>
      </c>
      <c r="B75" t="s">
        <v>67</v>
      </c>
      <c r="C75" t="s">
        <v>113</v>
      </c>
      <c r="D75" t="s">
        <v>13</v>
      </c>
      <c r="E75" t="s">
        <v>14</v>
      </c>
      <c r="F75" t="s">
        <v>14</v>
      </c>
      <c r="G75" t="s">
        <v>88</v>
      </c>
      <c r="H75" t="s">
        <v>11</v>
      </c>
      <c r="I75" t="str">
        <f>_xlfn.XLOOKUP(Tabla1[[#This Row],[Dependencia]],Tabla2[Dependencia],Tabla2[Clasificación],"XXX",0)</f>
        <v>Presidencia de la República</v>
      </c>
      <c r="J75" t="str">
        <f>_xlfn.XLOOKUP(Tabla1[[#This Row],[Dependencia]],Tabla3[Dependencia],Tabla3[Nivel],"Otros",0)</f>
        <v>Otros</v>
      </c>
    </row>
    <row r="76" spans="1:10" x14ac:dyDescent="0.25">
      <c r="A76" s="12">
        <v>46273</v>
      </c>
      <c r="B76" t="s">
        <v>67</v>
      </c>
      <c r="C76" t="s">
        <v>114</v>
      </c>
      <c r="D76" t="s">
        <v>12</v>
      </c>
      <c r="E76" t="s">
        <v>79</v>
      </c>
      <c r="F76" t="s">
        <v>2</v>
      </c>
      <c r="G76" t="s">
        <v>91</v>
      </c>
      <c r="H76" t="s">
        <v>11</v>
      </c>
      <c r="I76" t="str">
        <f>_xlfn.XLOOKUP(Tabla1[[#This Row],[Dependencia]],Tabla2[Dependencia],Tabla2[Clasificación],"XXX",0)</f>
        <v>Gobierno del estado</v>
      </c>
      <c r="J76" t="str">
        <f>_xlfn.XLOOKUP(Tabla1[[#This Row],[Dependencia]],Tabla3[Dependencia],Tabla3[Nivel],"Otros",0)</f>
        <v>Gabinete</v>
      </c>
    </row>
    <row r="77" spans="1:10" x14ac:dyDescent="0.25">
      <c r="A77" s="12">
        <v>46273</v>
      </c>
      <c r="B77" t="s">
        <v>67</v>
      </c>
      <c r="C77" t="s">
        <v>115</v>
      </c>
      <c r="D77" t="s">
        <v>12</v>
      </c>
      <c r="E77" t="s">
        <v>59</v>
      </c>
      <c r="F77" t="s">
        <v>59</v>
      </c>
      <c r="G77" t="s">
        <v>85</v>
      </c>
      <c r="H77" t="s">
        <v>11</v>
      </c>
      <c r="I77" t="str">
        <f>_xlfn.XLOOKUP(Tabla1[[#This Row],[Dependencia]],Tabla2[Dependencia],Tabla2[Clasificación],"XXX",0)</f>
        <v>Otros</v>
      </c>
      <c r="J77" t="str">
        <f>_xlfn.XLOOKUP(Tabla1[[#This Row],[Dependencia]],Tabla3[Dependencia],Tabla3[Nivel],"Otros",0)</f>
        <v>Otros</v>
      </c>
    </row>
    <row r="78" spans="1:10" x14ac:dyDescent="0.25">
      <c r="A78" s="12">
        <v>46273</v>
      </c>
      <c r="B78" t="s">
        <v>67</v>
      </c>
      <c r="C78" t="s">
        <v>116</v>
      </c>
      <c r="D78" t="s">
        <v>9</v>
      </c>
      <c r="E78" t="s">
        <v>16</v>
      </c>
      <c r="F78" t="s">
        <v>16</v>
      </c>
      <c r="G78" t="s">
        <v>117</v>
      </c>
      <c r="H78" t="s">
        <v>70</v>
      </c>
      <c r="I78" t="str">
        <f>_xlfn.XLOOKUP(Tabla1[[#This Row],[Dependencia]],Tabla2[Dependencia],Tabla2[Clasificación],"XXX",0)</f>
        <v>Alcaldías</v>
      </c>
      <c r="J78" t="str">
        <f>_xlfn.XLOOKUP(Tabla1[[#This Row],[Dependencia]],Tabla3[Dependencia],Tabla3[Nivel],"Otros",0)</f>
        <v>Otros</v>
      </c>
    </row>
    <row r="79" spans="1:10" x14ac:dyDescent="0.25">
      <c r="A79" s="12">
        <v>46273</v>
      </c>
      <c r="B79" t="s">
        <v>81</v>
      </c>
      <c r="C79" t="s">
        <v>118</v>
      </c>
      <c r="D79" t="s">
        <v>13</v>
      </c>
      <c r="E79" t="s">
        <v>24</v>
      </c>
      <c r="F79" t="s">
        <v>24</v>
      </c>
      <c r="G79" t="s">
        <v>107</v>
      </c>
      <c r="H79" t="s">
        <v>74</v>
      </c>
      <c r="I79" t="str">
        <f>_xlfn.XLOOKUP(Tabla1[[#This Row],[Dependencia]],Tabla2[Dependencia],Tabla2[Clasificación],"XXX",0)</f>
        <v>Gobierno del estado</v>
      </c>
      <c r="J79" t="str">
        <f>_xlfn.XLOOKUP(Tabla1[[#This Row],[Dependencia]],Tabla3[Dependencia],Tabla3[Nivel],"Otros",0)</f>
        <v>Gobernador</v>
      </c>
    </row>
    <row r="80" spans="1:10" x14ac:dyDescent="0.25">
      <c r="A80" s="12">
        <v>46273</v>
      </c>
      <c r="B80" t="s">
        <v>81</v>
      </c>
      <c r="C80" t="s">
        <v>119</v>
      </c>
      <c r="D80" t="s">
        <v>12</v>
      </c>
      <c r="E80" t="s">
        <v>79</v>
      </c>
      <c r="F80" t="s">
        <v>2</v>
      </c>
      <c r="G80" t="s">
        <v>91</v>
      </c>
      <c r="H80" t="s">
        <v>11</v>
      </c>
      <c r="I80" t="str">
        <f>_xlfn.XLOOKUP(Tabla1[[#This Row],[Dependencia]],Tabla2[Dependencia],Tabla2[Clasificación],"XXX",0)</f>
        <v>Gobierno del estado</v>
      </c>
      <c r="J80" t="str">
        <f>_xlfn.XLOOKUP(Tabla1[[#This Row],[Dependencia]],Tabla3[Dependencia],Tabla3[Nivel],"Otros",0)</f>
        <v>Gabinete</v>
      </c>
    </row>
    <row r="81" spans="1:10" x14ac:dyDescent="0.25">
      <c r="A81" s="12">
        <v>46273</v>
      </c>
      <c r="B81" t="s">
        <v>81</v>
      </c>
      <c r="C81" t="s">
        <v>120</v>
      </c>
      <c r="D81" t="s">
        <v>12</v>
      </c>
      <c r="E81" t="s">
        <v>54</v>
      </c>
      <c r="F81" t="s">
        <v>2</v>
      </c>
      <c r="G81" t="s">
        <v>121</v>
      </c>
      <c r="H81" t="s">
        <v>11</v>
      </c>
      <c r="I81" t="str">
        <f>_xlfn.XLOOKUP(Tabla1[[#This Row],[Dependencia]],Tabla2[Dependencia],Tabla2[Clasificación],"XXX",0)</f>
        <v>Gobierno del estado</v>
      </c>
      <c r="J81" t="str">
        <f>_xlfn.XLOOKUP(Tabla1[[#This Row],[Dependencia]],Tabla3[Dependencia],Tabla3[Nivel],"Otros",0)</f>
        <v>Gabinete</v>
      </c>
    </row>
    <row r="82" spans="1:10" x14ac:dyDescent="0.25">
      <c r="A82" s="12">
        <v>46273</v>
      </c>
      <c r="B82" t="s">
        <v>81</v>
      </c>
      <c r="C82" t="s">
        <v>122</v>
      </c>
      <c r="D82" t="s">
        <v>12</v>
      </c>
      <c r="E82" t="s">
        <v>39</v>
      </c>
      <c r="F82" t="s">
        <v>2</v>
      </c>
      <c r="G82" t="s">
        <v>93</v>
      </c>
      <c r="H82" t="s">
        <v>11</v>
      </c>
      <c r="I82" t="str">
        <f>_xlfn.XLOOKUP(Tabla1[[#This Row],[Dependencia]],Tabla2[Dependencia],Tabla2[Clasificación],"XXX",0)</f>
        <v>Gobierno del estado</v>
      </c>
      <c r="J82" t="str">
        <f>_xlfn.XLOOKUP(Tabla1[[#This Row],[Dependencia]],Tabla3[Dependencia],Tabla3[Nivel],"Otros",0)</f>
        <v>Gabinete</v>
      </c>
    </row>
    <row r="83" spans="1:10" x14ac:dyDescent="0.25">
      <c r="A83" s="12">
        <v>46273</v>
      </c>
      <c r="B83" t="s">
        <v>81</v>
      </c>
      <c r="C83" t="s">
        <v>123</v>
      </c>
      <c r="D83" t="s">
        <v>12</v>
      </c>
      <c r="E83" t="s">
        <v>22</v>
      </c>
      <c r="F83" t="s">
        <v>124</v>
      </c>
      <c r="G83" t="s">
        <v>125</v>
      </c>
      <c r="H83" t="s">
        <v>11</v>
      </c>
      <c r="I83" t="str">
        <f>_xlfn.XLOOKUP(Tabla1[[#This Row],[Dependencia]],Tabla2[Dependencia],Tabla2[Clasificación],"XXX",0)</f>
        <v>Gobierno del estado</v>
      </c>
      <c r="J83" t="str">
        <f>_xlfn.XLOOKUP(Tabla1[[#This Row],[Dependencia]],Tabla3[Dependencia],Tabla3[Nivel],"Otros",0)</f>
        <v>Gabinete</v>
      </c>
    </row>
    <row r="84" spans="1:10" x14ac:dyDescent="0.25">
      <c r="A84" s="12">
        <v>46273</v>
      </c>
      <c r="B84" t="s">
        <v>81</v>
      </c>
      <c r="C84" t="s">
        <v>126</v>
      </c>
      <c r="D84" t="s">
        <v>12</v>
      </c>
      <c r="E84" t="s">
        <v>23</v>
      </c>
      <c r="F84" t="s">
        <v>100</v>
      </c>
      <c r="G84" t="s">
        <v>101</v>
      </c>
      <c r="H84" t="s">
        <v>11</v>
      </c>
      <c r="I84" t="str">
        <f>_xlfn.XLOOKUP(Tabla1[[#This Row],[Dependencia]],Tabla2[Dependencia],Tabla2[Clasificación],"XXX",0)</f>
        <v>Gobierno del estado</v>
      </c>
      <c r="J84" t="str">
        <f>_xlfn.XLOOKUP(Tabla1[[#This Row],[Dependencia]],Tabla3[Dependencia],Tabla3[Nivel],"Otros",0)</f>
        <v>Gabinete</v>
      </c>
    </row>
    <row r="85" spans="1:10" x14ac:dyDescent="0.25">
      <c r="A85" s="12">
        <v>46273</v>
      </c>
      <c r="B85" t="s">
        <v>81</v>
      </c>
      <c r="C85" t="s">
        <v>127</v>
      </c>
      <c r="D85" t="s">
        <v>12</v>
      </c>
      <c r="E85" t="s">
        <v>10</v>
      </c>
      <c r="F85" t="s">
        <v>10</v>
      </c>
      <c r="G85" t="s">
        <v>95</v>
      </c>
      <c r="H85" t="s">
        <v>74</v>
      </c>
      <c r="I85" t="str">
        <f>_xlfn.XLOOKUP(Tabla1[[#This Row],[Dependencia]],Tabla2[Dependencia],Tabla2[Clasificación],"XXX",0)</f>
        <v>Otros</v>
      </c>
      <c r="J85" t="str">
        <f>_xlfn.XLOOKUP(Tabla1[[#This Row],[Dependencia]],Tabla3[Dependencia],Tabla3[Nivel],"Otros",0)</f>
        <v>Otros</v>
      </c>
    </row>
    <row r="86" spans="1:10" x14ac:dyDescent="0.25">
      <c r="A86" s="12">
        <v>46273</v>
      </c>
      <c r="B86" t="s">
        <v>81</v>
      </c>
      <c r="C86" t="s">
        <v>128</v>
      </c>
      <c r="D86" t="s">
        <v>12</v>
      </c>
      <c r="E86" t="s">
        <v>14</v>
      </c>
      <c r="F86" t="s">
        <v>111</v>
      </c>
      <c r="G86" t="s">
        <v>129</v>
      </c>
      <c r="H86" t="s">
        <v>11</v>
      </c>
      <c r="I86" t="str">
        <f>_xlfn.XLOOKUP(Tabla1[[#This Row],[Dependencia]],Tabla2[Dependencia],Tabla2[Clasificación],"XXX",0)</f>
        <v>Presidencia de la República</v>
      </c>
      <c r="J86" t="str">
        <f>_xlfn.XLOOKUP(Tabla1[[#This Row],[Dependencia]],Tabla3[Dependencia],Tabla3[Nivel],"Otros",0)</f>
        <v>Otros</v>
      </c>
    </row>
    <row r="87" spans="1:10" x14ac:dyDescent="0.25">
      <c r="A87" s="12">
        <v>46273</v>
      </c>
      <c r="B87" t="s">
        <v>81</v>
      </c>
      <c r="C87" t="s">
        <v>130</v>
      </c>
      <c r="D87" t="s">
        <v>12</v>
      </c>
      <c r="E87" t="s">
        <v>10</v>
      </c>
      <c r="F87" t="s">
        <v>10</v>
      </c>
      <c r="G87" t="s">
        <v>95</v>
      </c>
      <c r="H87" t="s">
        <v>11</v>
      </c>
      <c r="I87" t="str">
        <f>_xlfn.XLOOKUP(Tabla1[[#This Row],[Dependencia]],Tabla2[Dependencia],Tabla2[Clasificación],"XXX",0)</f>
        <v>Otros</v>
      </c>
      <c r="J87" t="str">
        <f>_xlfn.XLOOKUP(Tabla1[[#This Row],[Dependencia]],Tabla3[Dependencia],Tabla3[Nivel],"Otros",0)</f>
        <v>Otros</v>
      </c>
    </row>
    <row r="88" spans="1:10" x14ac:dyDescent="0.25">
      <c r="A88" s="12">
        <v>46273</v>
      </c>
      <c r="B88" t="s">
        <v>81</v>
      </c>
      <c r="C88" t="s">
        <v>131</v>
      </c>
      <c r="D88" t="s">
        <v>12</v>
      </c>
      <c r="E88" t="s">
        <v>59</v>
      </c>
      <c r="F88" t="s">
        <v>59</v>
      </c>
      <c r="G88" t="s">
        <v>85</v>
      </c>
      <c r="H88" t="s">
        <v>11</v>
      </c>
      <c r="I88" t="str">
        <f>_xlfn.XLOOKUP(Tabla1[[#This Row],[Dependencia]],Tabla2[Dependencia],Tabla2[Clasificación],"XXX",0)</f>
        <v>Otros</v>
      </c>
      <c r="J88" t="str">
        <f>_xlfn.XLOOKUP(Tabla1[[#This Row],[Dependencia]],Tabla3[Dependencia],Tabla3[Nivel],"Otros",0)</f>
        <v>Otros</v>
      </c>
    </row>
    <row r="89" spans="1:10" x14ac:dyDescent="0.25">
      <c r="A89" s="12">
        <v>46273</v>
      </c>
      <c r="B89" t="s">
        <v>77</v>
      </c>
      <c r="C89" t="s">
        <v>132</v>
      </c>
      <c r="D89" t="s">
        <v>13</v>
      </c>
      <c r="E89" t="s">
        <v>79</v>
      </c>
      <c r="F89" t="s">
        <v>2</v>
      </c>
      <c r="G89" t="s">
        <v>91</v>
      </c>
      <c r="H89" t="s">
        <v>74</v>
      </c>
      <c r="I89" t="str">
        <f>_xlfn.XLOOKUP(Tabla1[[#This Row],[Dependencia]],Tabla2[Dependencia],Tabla2[Clasificación],"XXX",0)</f>
        <v>Gobierno del estado</v>
      </c>
      <c r="J89" t="str">
        <f>_xlfn.XLOOKUP(Tabla1[[#This Row],[Dependencia]],Tabla3[Dependencia],Tabla3[Nivel],"Otros",0)</f>
        <v>Gabinete</v>
      </c>
    </row>
    <row r="90" spans="1:10" x14ac:dyDescent="0.25">
      <c r="A90" s="12">
        <v>46273</v>
      </c>
      <c r="B90" t="s">
        <v>77</v>
      </c>
      <c r="C90" t="s">
        <v>133</v>
      </c>
      <c r="D90" t="s">
        <v>9</v>
      </c>
      <c r="E90" t="s">
        <v>24</v>
      </c>
      <c r="F90" t="s">
        <v>24</v>
      </c>
      <c r="G90" t="s">
        <v>109</v>
      </c>
      <c r="H90" t="s">
        <v>11</v>
      </c>
      <c r="I90" t="str">
        <f>_xlfn.XLOOKUP(Tabla1[[#This Row],[Dependencia]],Tabla2[Dependencia],Tabla2[Clasificación],"XXX",0)</f>
        <v>Gobierno del estado</v>
      </c>
      <c r="J90" t="str">
        <f>_xlfn.XLOOKUP(Tabla1[[#This Row],[Dependencia]],Tabla3[Dependencia],Tabla3[Nivel],"Otros",0)</f>
        <v>Gobernador</v>
      </c>
    </row>
    <row r="91" spans="1:10" x14ac:dyDescent="0.25">
      <c r="A91" s="12">
        <v>46273</v>
      </c>
      <c r="B91" t="s">
        <v>77</v>
      </c>
      <c r="C91" t="s">
        <v>134</v>
      </c>
      <c r="D91" t="s">
        <v>12</v>
      </c>
      <c r="E91" t="s">
        <v>14</v>
      </c>
      <c r="F91" t="s">
        <v>14</v>
      </c>
      <c r="G91" t="s">
        <v>135</v>
      </c>
      <c r="H91" t="s">
        <v>11</v>
      </c>
      <c r="I91" t="str">
        <f>_xlfn.XLOOKUP(Tabla1[[#This Row],[Dependencia]],Tabla2[Dependencia],Tabla2[Clasificación],"XXX",0)</f>
        <v>Presidencia de la República</v>
      </c>
      <c r="J91" t="str">
        <f>_xlfn.XLOOKUP(Tabla1[[#This Row],[Dependencia]],Tabla3[Dependencia],Tabla3[Nivel],"Otros",0)</f>
        <v>Otros</v>
      </c>
    </row>
    <row r="92" spans="1:10" x14ac:dyDescent="0.25">
      <c r="A92" s="12">
        <v>46273</v>
      </c>
      <c r="B92" t="s">
        <v>73</v>
      </c>
      <c r="C92" t="s">
        <v>136</v>
      </c>
      <c r="D92" t="s">
        <v>12</v>
      </c>
      <c r="E92" t="s">
        <v>10</v>
      </c>
      <c r="F92" t="s">
        <v>10</v>
      </c>
      <c r="G92" t="s">
        <v>72</v>
      </c>
      <c r="H92" t="s">
        <v>11</v>
      </c>
      <c r="I92" t="str">
        <f>_xlfn.XLOOKUP(Tabla1[[#This Row],[Dependencia]],Tabla2[Dependencia],Tabla2[Clasificación],"XXX",0)</f>
        <v>Otros</v>
      </c>
      <c r="J92" t="str">
        <f>_xlfn.XLOOKUP(Tabla1[[#This Row],[Dependencia]],Tabla3[Dependencia],Tabla3[Nivel],"Otros",0)</f>
        <v>Otros</v>
      </c>
    </row>
    <row r="93" spans="1:10" x14ac:dyDescent="0.25">
      <c r="A93" s="12">
        <v>46273</v>
      </c>
      <c r="B93" t="s">
        <v>73</v>
      </c>
      <c r="C93" t="s">
        <v>137</v>
      </c>
      <c r="D93" t="s">
        <v>12</v>
      </c>
      <c r="E93" t="s">
        <v>10</v>
      </c>
      <c r="F93" t="s">
        <v>10</v>
      </c>
      <c r="G93" t="s">
        <v>72</v>
      </c>
      <c r="H93" t="s">
        <v>11</v>
      </c>
      <c r="I93" t="str">
        <f>_xlfn.XLOOKUP(Tabla1[[#This Row],[Dependencia]],Tabla2[Dependencia],Tabla2[Clasificación],"XXX",0)</f>
        <v>Otros</v>
      </c>
      <c r="J93" t="str">
        <f>_xlfn.XLOOKUP(Tabla1[[#This Row],[Dependencia]],Tabla3[Dependencia],Tabla3[Nivel],"Otros",0)</f>
        <v>Otros</v>
      </c>
    </row>
    <row r="94" spans="1:10" x14ac:dyDescent="0.25">
      <c r="A94" s="12">
        <v>46273</v>
      </c>
      <c r="B94" t="s">
        <v>73</v>
      </c>
      <c r="C94" t="s">
        <v>138</v>
      </c>
      <c r="D94" t="s">
        <v>13</v>
      </c>
      <c r="E94" t="s">
        <v>79</v>
      </c>
      <c r="F94" t="s">
        <v>2</v>
      </c>
      <c r="G94" t="s">
        <v>91</v>
      </c>
      <c r="H94" t="s">
        <v>74</v>
      </c>
      <c r="I94" t="str">
        <f>_xlfn.XLOOKUP(Tabla1[[#This Row],[Dependencia]],Tabla2[Dependencia],Tabla2[Clasificación],"XXX",0)</f>
        <v>Gobierno del estado</v>
      </c>
      <c r="J94" t="str">
        <f>_xlfn.XLOOKUP(Tabla1[[#This Row],[Dependencia]],Tabla3[Dependencia],Tabla3[Nivel],"Otros",0)</f>
        <v>Gabinete</v>
      </c>
    </row>
    <row r="95" spans="1:10" x14ac:dyDescent="0.25">
      <c r="A95" s="12">
        <v>46273</v>
      </c>
      <c r="B95" t="s">
        <v>73</v>
      </c>
      <c r="C95" t="s">
        <v>139</v>
      </c>
      <c r="D95" t="s">
        <v>9</v>
      </c>
      <c r="E95" t="s">
        <v>23</v>
      </c>
      <c r="F95" t="s">
        <v>100</v>
      </c>
      <c r="G95" t="s">
        <v>101</v>
      </c>
      <c r="H95" t="s">
        <v>11</v>
      </c>
      <c r="I95" t="str">
        <f>_xlfn.XLOOKUP(Tabla1[[#This Row],[Dependencia]],Tabla2[Dependencia],Tabla2[Clasificación],"XXX",0)</f>
        <v>Gobierno del estado</v>
      </c>
      <c r="J95" t="str">
        <f>_xlfn.XLOOKUP(Tabla1[[#This Row],[Dependencia]],Tabla3[Dependencia],Tabla3[Nivel],"Otros",0)</f>
        <v>Gabinete</v>
      </c>
    </row>
    <row r="96" spans="1:10" x14ac:dyDescent="0.25">
      <c r="A96" s="12">
        <v>46273</v>
      </c>
      <c r="B96" t="s">
        <v>73</v>
      </c>
      <c r="C96" t="s">
        <v>140</v>
      </c>
      <c r="D96" t="s">
        <v>12</v>
      </c>
      <c r="E96" t="s">
        <v>16</v>
      </c>
      <c r="F96" t="s">
        <v>82</v>
      </c>
      <c r="G96" t="s">
        <v>141</v>
      </c>
      <c r="H96" t="s">
        <v>11</v>
      </c>
      <c r="I96" t="str">
        <f>_xlfn.XLOOKUP(Tabla1[[#This Row],[Dependencia]],Tabla2[Dependencia],Tabla2[Clasificación],"XXX",0)</f>
        <v>Alcaldías</v>
      </c>
      <c r="J96" t="str">
        <f>_xlfn.XLOOKUP(Tabla1[[#This Row],[Dependencia]],Tabla3[Dependencia],Tabla3[Nivel],"Otros",0)</f>
        <v>Otros</v>
      </c>
    </row>
    <row r="97" spans="1:10" x14ac:dyDescent="0.25">
      <c r="A97" s="12">
        <v>46273</v>
      </c>
      <c r="B97" t="s">
        <v>73</v>
      </c>
      <c r="C97" t="s">
        <v>142</v>
      </c>
      <c r="D97" t="s">
        <v>12</v>
      </c>
      <c r="E97" t="s">
        <v>24</v>
      </c>
      <c r="F97" t="s">
        <v>24</v>
      </c>
      <c r="G97" t="s">
        <v>143</v>
      </c>
      <c r="H97" t="s">
        <v>11</v>
      </c>
      <c r="I97" t="str">
        <f>_xlfn.XLOOKUP(Tabla1[[#This Row],[Dependencia]],Tabla2[Dependencia],Tabla2[Clasificación],"XXX",0)</f>
        <v>Gobierno del estado</v>
      </c>
      <c r="J97" t="str">
        <f>_xlfn.XLOOKUP(Tabla1[[#This Row],[Dependencia]],Tabla3[Dependencia],Tabla3[Nivel],"Otros",0)</f>
        <v>Gobernador</v>
      </c>
    </row>
    <row r="98" spans="1:10" x14ac:dyDescent="0.25">
      <c r="A98" s="12">
        <v>46273</v>
      </c>
      <c r="B98" t="s">
        <v>73</v>
      </c>
      <c r="C98" t="s">
        <v>144</v>
      </c>
      <c r="D98" t="s">
        <v>12</v>
      </c>
      <c r="E98" t="s">
        <v>145</v>
      </c>
      <c r="F98" t="s">
        <v>2</v>
      </c>
      <c r="G98" t="s">
        <v>86</v>
      </c>
      <c r="H98" t="s">
        <v>11</v>
      </c>
      <c r="I98" t="str">
        <f>_xlfn.XLOOKUP(Tabla1[[#This Row],[Dependencia]],Tabla2[Dependencia],Tabla2[Clasificación],"XXX",0)</f>
        <v>Partidos</v>
      </c>
      <c r="J98" t="str">
        <f>_xlfn.XLOOKUP(Tabla1[[#This Row],[Dependencia]],Tabla3[Dependencia],Tabla3[Nivel],"Otros",0)</f>
        <v>Otros</v>
      </c>
    </row>
    <row r="99" spans="1:10" x14ac:dyDescent="0.25">
      <c r="A99" s="12">
        <v>46272</v>
      </c>
      <c r="B99" t="s">
        <v>146</v>
      </c>
      <c r="C99" t="s">
        <v>147</v>
      </c>
      <c r="D99" t="s">
        <v>13</v>
      </c>
      <c r="E99" t="s">
        <v>24</v>
      </c>
      <c r="F99" t="s">
        <v>24</v>
      </c>
      <c r="G99" t="s">
        <v>107</v>
      </c>
      <c r="H99" t="s">
        <v>74</v>
      </c>
      <c r="I99" t="str">
        <f>_xlfn.XLOOKUP(Tabla1[[#This Row],[Dependencia]],Tabla2[Dependencia],Tabla2[Clasificación],"XXX",0)</f>
        <v>Gobierno del estado</v>
      </c>
      <c r="J99" t="str">
        <f>_xlfn.XLOOKUP(Tabla1[[#This Row],[Dependencia]],Tabla3[Dependencia],Tabla3[Nivel],"Otros",0)</f>
        <v>Gobernador</v>
      </c>
    </row>
    <row r="100" spans="1:10" x14ac:dyDescent="0.25">
      <c r="A100" s="12">
        <v>46273</v>
      </c>
      <c r="B100" t="s">
        <v>78</v>
      </c>
      <c r="C100" t="s">
        <v>148</v>
      </c>
      <c r="D100" t="s">
        <v>13</v>
      </c>
      <c r="E100" t="s">
        <v>24</v>
      </c>
      <c r="F100" t="s">
        <v>24</v>
      </c>
      <c r="G100" t="s">
        <v>107</v>
      </c>
      <c r="H100" t="s">
        <v>74</v>
      </c>
      <c r="I100" t="str">
        <f>_xlfn.XLOOKUP(Tabla1[[#This Row],[Dependencia]],Tabla2[Dependencia],Tabla2[Clasificación],"XXX",0)</f>
        <v>Gobierno del estado</v>
      </c>
      <c r="J100" t="str">
        <f>_xlfn.XLOOKUP(Tabla1[[#This Row],[Dependencia]],Tabla3[Dependencia],Tabla3[Nivel],"Otros",0)</f>
        <v>Gobernador</v>
      </c>
    </row>
    <row r="101" spans="1:10" x14ac:dyDescent="0.25">
      <c r="A101" s="12">
        <v>46273</v>
      </c>
      <c r="B101" t="s">
        <v>78</v>
      </c>
      <c r="C101" t="s">
        <v>149</v>
      </c>
      <c r="D101" t="s">
        <v>9</v>
      </c>
      <c r="E101" t="s">
        <v>23</v>
      </c>
      <c r="F101" t="s">
        <v>23</v>
      </c>
      <c r="G101" t="s">
        <v>101</v>
      </c>
      <c r="H101" t="s">
        <v>11</v>
      </c>
      <c r="I101" t="str">
        <f>_xlfn.XLOOKUP(Tabla1[[#This Row],[Dependencia]],Tabla2[Dependencia],Tabla2[Clasificación],"XXX",0)</f>
        <v>Gobierno del estado</v>
      </c>
      <c r="J101" t="str">
        <f>_xlfn.XLOOKUP(Tabla1[[#This Row],[Dependencia]],Tabla3[Dependencia],Tabla3[Nivel],"Otros",0)</f>
        <v>Gabinete</v>
      </c>
    </row>
    <row r="102" spans="1:10" x14ac:dyDescent="0.25">
      <c r="A102" s="12">
        <v>46273</v>
      </c>
      <c r="B102" t="s">
        <v>78</v>
      </c>
      <c r="C102" t="s">
        <v>150</v>
      </c>
      <c r="D102" t="s">
        <v>12</v>
      </c>
      <c r="E102" t="s">
        <v>24</v>
      </c>
      <c r="F102" t="s">
        <v>24</v>
      </c>
      <c r="G102" t="s">
        <v>151</v>
      </c>
      <c r="H102" t="s">
        <v>11</v>
      </c>
      <c r="I102" t="str">
        <f>_xlfn.XLOOKUP(Tabla1[[#This Row],[Dependencia]],Tabla2[Dependencia],Tabla2[Clasificación],"XXX",0)</f>
        <v>Gobierno del estado</v>
      </c>
      <c r="J102" t="str">
        <f>_xlfn.XLOOKUP(Tabla1[[#This Row],[Dependencia]],Tabla3[Dependencia],Tabla3[Nivel],"Otros",0)</f>
        <v>Gobernador</v>
      </c>
    </row>
    <row r="103" spans="1:10" x14ac:dyDescent="0.25">
      <c r="A103" s="12">
        <v>46273</v>
      </c>
      <c r="B103" t="s">
        <v>78</v>
      </c>
      <c r="C103" t="s">
        <v>152</v>
      </c>
      <c r="D103" t="s">
        <v>12</v>
      </c>
      <c r="E103" t="s">
        <v>39</v>
      </c>
      <c r="F103" t="s">
        <v>2</v>
      </c>
      <c r="G103" t="s">
        <v>93</v>
      </c>
      <c r="H103" t="s">
        <v>11</v>
      </c>
      <c r="I103" t="str">
        <f>_xlfn.XLOOKUP(Tabla1[[#This Row],[Dependencia]],Tabla2[Dependencia],Tabla2[Clasificación],"XXX",0)</f>
        <v>Gobierno del estado</v>
      </c>
      <c r="J103" t="str">
        <f>_xlfn.XLOOKUP(Tabla1[[#This Row],[Dependencia]],Tabla3[Dependencia],Tabla3[Nivel],"Otros",0)</f>
        <v>Gabinete</v>
      </c>
    </row>
    <row r="104" spans="1:10" x14ac:dyDescent="0.25">
      <c r="A104" s="12">
        <v>46273</v>
      </c>
      <c r="B104" t="s">
        <v>78</v>
      </c>
      <c r="C104" t="s">
        <v>153</v>
      </c>
      <c r="D104" t="s">
        <v>12</v>
      </c>
      <c r="E104" t="s">
        <v>57</v>
      </c>
      <c r="F104" t="s">
        <v>57</v>
      </c>
      <c r="G104" t="s">
        <v>154</v>
      </c>
      <c r="H104" t="s">
        <v>11</v>
      </c>
      <c r="I104" t="str">
        <f>_xlfn.XLOOKUP(Tabla1[[#This Row],[Dependencia]],Tabla2[Dependencia],Tabla2[Clasificación],"XXX",0)</f>
        <v>Otros</v>
      </c>
      <c r="J104" t="str">
        <f>_xlfn.XLOOKUP(Tabla1[[#This Row],[Dependencia]],Tabla3[Dependencia],Tabla3[Nivel],"Otros",0)</f>
        <v>Otros</v>
      </c>
    </row>
    <row r="105" spans="1:10" x14ac:dyDescent="0.25">
      <c r="A105" s="12">
        <v>46273</v>
      </c>
      <c r="B105" t="s">
        <v>75</v>
      </c>
      <c r="C105" t="s">
        <v>155</v>
      </c>
      <c r="D105" t="s">
        <v>13</v>
      </c>
      <c r="E105" t="s">
        <v>39</v>
      </c>
      <c r="F105" t="s">
        <v>2</v>
      </c>
      <c r="G105" t="s">
        <v>93</v>
      </c>
      <c r="H105" t="s">
        <v>11</v>
      </c>
      <c r="I105" t="str">
        <f>_xlfn.XLOOKUP(Tabla1[[#This Row],[Dependencia]],Tabla2[Dependencia],Tabla2[Clasificación],"XXX",0)</f>
        <v>Gobierno del estado</v>
      </c>
      <c r="J105" t="str">
        <f>_xlfn.XLOOKUP(Tabla1[[#This Row],[Dependencia]],Tabla3[Dependencia],Tabla3[Nivel],"Otros",0)</f>
        <v>Gabinete</v>
      </c>
    </row>
    <row r="106" spans="1:10" x14ac:dyDescent="0.25">
      <c r="A106" s="12">
        <v>46273</v>
      </c>
      <c r="B106" t="s">
        <v>75</v>
      </c>
      <c r="C106" t="s">
        <v>156</v>
      </c>
      <c r="D106" t="s">
        <v>12</v>
      </c>
      <c r="E106" t="s">
        <v>53</v>
      </c>
      <c r="F106" t="s">
        <v>2</v>
      </c>
      <c r="G106" t="s">
        <v>157</v>
      </c>
      <c r="H106" t="s">
        <v>11</v>
      </c>
      <c r="I106" t="str">
        <f>_xlfn.XLOOKUP(Tabla1[[#This Row],[Dependencia]],Tabla2[Dependencia],Tabla2[Clasificación],"XXX",0)</f>
        <v>Gobierno del estado</v>
      </c>
      <c r="J106" t="str">
        <f>_xlfn.XLOOKUP(Tabla1[[#This Row],[Dependencia]],Tabla3[Dependencia],Tabla3[Nivel],"Otros",0)</f>
        <v>Gabinete</v>
      </c>
    </row>
    <row r="107" spans="1:10" x14ac:dyDescent="0.25">
      <c r="A107" s="12">
        <v>46273</v>
      </c>
      <c r="B107" t="s">
        <v>75</v>
      </c>
      <c r="C107" t="s">
        <v>158</v>
      </c>
      <c r="D107" t="s">
        <v>12</v>
      </c>
      <c r="E107" t="s">
        <v>21</v>
      </c>
      <c r="F107" t="s">
        <v>2</v>
      </c>
      <c r="G107" t="s">
        <v>105</v>
      </c>
      <c r="H107" t="s">
        <v>11</v>
      </c>
      <c r="I107" t="str">
        <f>_xlfn.XLOOKUP(Tabla1[[#This Row],[Dependencia]],Tabla2[Dependencia],Tabla2[Clasificación],"XXX",0)</f>
        <v>Gobierno del estado</v>
      </c>
      <c r="J107" t="str">
        <f>_xlfn.XLOOKUP(Tabla1[[#This Row],[Dependencia]],Tabla3[Dependencia],Tabla3[Nivel],"Otros",0)</f>
        <v>Gabinete</v>
      </c>
    </row>
    <row r="108" spans="1:10" x14ac:dyDescent="0.25">
      <c r="A108" s="12">
        <v>46273</v>
      </c>
      <c r="B108" t="s">
        <v>75</v>
      </c>
      <c r="C108" t="s">
        <v>159</v>
      </c>
      <c r="D108" t="s">
        <v>9</v>
      </c>
      <c r="E108" t="s">
        <v>24</v>
      </c>
      <c r="F108" t="s">
        <v>24</v>
      </c>
      <c r="G108" t="s">
        <v>107</v>
      </c>
      <c r="H108" t="s">
        <v>74</v>
      </c>
      <c r="I108" t="str">
        <f>_xlfn.XLOOKUP(Tabla1[[#This Row],[Dependencia]],Tabla2[Dependencia],Tabla2[Clasificación],"XXX",0)</f>
        <v>Gobierno del estado</v>
      </c>
      <c r="J108" t="str">
        <f>_xlfn.XLOOKUP(Tabla1[[#This Row],[Dependencia]],Tabla3[Dependencia],Tabla3[Nivel],"Otros",0)</f>
        <v>Gobernador</v>
      </c>
    </row>
    <row r="109" spans="1:10" x14ac:dyDescent="0.25">
      <c r="A109" s="12">
        <v>46273</v>
      </c>
      <c r="B109" t="s">
        <v>75</v>
      </c>
      <c r="C109" t="s">
        <v>160</v>
      </c>
      <c r="D109" t="s">
        <v>12</v>
      </c>
      <c r="E109" t="s">
        <v>57</v>
      </c>
      <c r="F109" t="s">
        <v>57</v>
      </c>
      <c r="G109" t="s">
        <v>87</v>
      </c>
      <c r="H109" t="s">
        <v>11</v>
      </c>
      <c r="I109" t="str">
        <f>_xlfn.XLOOKUP(Tabla1[[#This Row],[Dependencia]],Tabla2[Dependencia],Tabla2[Clasificación],"XXX",0)</f>
        <v>Otros</v>
      </c>
      <c r="J109" t="str">
        <f>_xlfn.XLOOKUP(Tabla1[[#This Row],[Dependencia]],Tabla3[Dependencia],Tabla3[Nivel],"Otros",0)</f>
        <v>Otros</v>
      </c>
    </row>
    <row r="110" spans="1:10" x14ac:dyDescent="0.25">
      <c r="A110" s="12">
        <v>46273</v>
      </c>
      <c r="B110" t="s">
        <v>75</v>
      </c>
      <c r="C110" t="s">
        <v>161</v>
      </c>
      <c r="D110" t="s">
        <v>12</v>
      </c>
      <c r="E110" t="s">
        <v>57</v>
      </c>
      <c r="F110" t="s">
        <v>57</v>
      </c>
      <c r="G110" t="s">
        <v>87</v>
      </c>
      <c r="H110" t="s">
        <v>70</v>
      </c>
      <c r="I110" t="str">
        <f>_xlfn.XLOOKUP(Tabla1[[#This Row],[Dependencia]],Tabla2[Dependencia],Tabla2[Clasificación],"XXX",0)</f>
        <v>Otros</v>
      </c>
      <c r="J110" t="str">
        <f>_xlfn.XLOOKUP(Tabla1[[#This Row],[Dependencia]],Tabla3[Dependencia],Tabla3[Nivel],"Otros",0)</f>
        <v>Otros</v>
      </c>
    </row>
    <row r="111" spans="1:10" x14ac:dyDescent="0.25">
      <c r="A111" s="12">
        <v>46273</v>
      </c>
      <c r="B111" t="s">
        <v>80</v>
      </c>
      <c r="C111" t="s">
        <v>162</v>
      </c>
      <c r="D111" t="s">
        <v>12</v>
      </c>
      <c r="E111" t="s">
        <v>24</v>
      </c>
      <c r="F111" t="s">
        <v>24</v>
      </c>
      <c r="G111" t="s">
        <v>109</v>
      </c>
      <c r="H111" t="s">
        <v>11</v>
      </c>
      <c r="I111" t="str">
        <f>_xlfn.XLOOKUP(Tabla1[[#This Row],[Dependencia]],Tabla2[Dependencia],Tabla2[Clasificación],"XXX",0)</f>
        <v>Gobierno del estado</v>
      </c>
      <c r="J111" t="str">
        <f>_xlfn.XLOOKUP(Tabla1[[#This Row],[Dependencia]],Tabla3[Dependencia],Tabla3[Nivel],"Otros",0)</f>
        <v>Gobernador</v>
      </c>
    </row>
    <row r="112" spans="1:10" x14ac:dyDescent="0.25">
      <c r="A112" s="12">
        <v>46273</v>
      </c>
      <c r="B112" t="s">
        <v>80</v>
      </c>
      <c r="C112" t="s">
        <v>163</v>
      </c>
      <c r="D112" t="s">
        <v>12</v>
      </c>
      <c r="E112" t="s">
        <v>23</v>
      </c>
      <c r="F112" t="s">
        <v>100</v>
      </c>
      <c r="G112" t="s">
        <v>101</v>
      </c>
      <c r="H112" t="s">
        <v>11</v>
      </c>
      <c r="I112" t="str">
        <f>_xlfn.XLOOKUP(Tabla1[[#This Row],[Dependencia]],Tabla2[Dependencia],Tabla2[Clasificación],"XXX",0)</f>
        <v>Gobierno del estado</v>
      </c>
      <c r="J112" t="str">
        <f>_xlfn.XLOOKUP(Tabla1[[#This Row],[Dependencia]],Tabla3[Dependencia],Tabla3[Nivel],"Otros",0)</f>
        <v>Gabinete</v>
      </c>
    </row>
    <row r="113" spans="1:10" x14ac:dyDescent="0.25">
      <c r="A113" s="12">
        <v>46273</v>
      </c>
      <c r="B113" t="s">
        <v>80</v>
      </c>
      <c r="C113" t="s">
        <v>164</v>
      </c>
      <c r="D113" t="s">
        <v>12</v>
      </c>
      <c r="E113" t="s">
        <v>10</v>
      </c>
      <c r="F113" t="s">
        <v>10</v>
      </c>
      <c r="G113" t="s">
        <v>95</v>
      </c>
      <c r="H113" t="s">
        <v>11</v>
      </c>
      <c r="I113" t="str">
        <f>_xlfn.XLOOKUP(Tabla1[[#This Row],[Dependencia]],Tabla2[Dependencia],Tabla2[Clasificación],"XXX",0)</f>
        <v>Otros</v>
      </c>
      <c r="J113" t="str">
        <f>_xlfn.XLOOKUP(Tabla1[[#This Row],[Dependencia]],Tabla3[Dependencia],Tabla3[Nivel],"Otros",0)</f>
        <v>Otros</v>
      </c>
    </row>
    <row r="114" spans="1:10" x14ac:dyDescent="0.25">
      <c r="A114" s="12">
        <v>46273</v>
      </c>
      <c r="B114" t="s">
        <v>80</v>
      </c>
      <c r="C114" t="s">
        <v>165</v>
      </c>
      <c r="D114" t="s">
        <v>12</v>
      </c>
      <c r="E114" t="s">
        <v>16</v>
      </c>
      <c r="F114" t="s">
        <v>82</v>
      </c>
      <c r="G114" t="s">
        <v>125</v>
      </c>
      <c r="H114" t="s">
        <v>74</v>
      </c>
      <c r="I114" t="str">
        <f>_xlfn.XLOOKUP(Tabla1[[#This Row],[Dependencia]],Tabla2[Dependencia],Tabla2[Clasificación],"XXX",0)</f>
        <v>Alcaldías</v>
      </c>
      <c r="J114" t="str">
        <f>_xlfn.XLOOKUP(Tabla1[[#This Row],[Dependencia]],Tabla3[Dependencia],Tabla3[Nivel],"Otros",0)</f>
        <v>Otros</v>
      </c>
    </row>
    <row r="115" spans="1:10" x14ac:dyDescent="0.25">
      <c r="A115" s="12">
        <v>46273</v>
      </c>
      <c r="B115" t="s">
        <v>80</v>
      </c>
      <c r="C115" t="s">
        <v>166</v>
      </c>
      <c r="D115" t="s">
        <v>12</v>
      </c>
      <c r="E115" t="s">
        <v>16</v>
      </c>
      <c r="F115" t="s">
        <v>82</v>
      </c>
      <c r="G115" t="s">
        <v>89</v>
      </c>
      <c r="H115" t="s">
        <v>11</v>
      </c>
      <c r="I115" t="str">
        <f>_xlfn.XLOOKUP(Tabla1[[#This Row],[Dependencia]],Tabla2[Dependencia],Tabla2[Clasificación],"XXX",0)</f>
        <v>Alcaldías</v>
      </c>
      <c r="J115" t="str">
        <f>_xlfn.XLOOKUP(Tabla1[[#This Row],[Dependencia]],Tabla3[Dependencia],Tabla3[Nivel],"Otros",0)</f>
        <v>Otros</v>
      </c>
    </row>
    <row r="116" spans="1:10" x14ac:dyDescent="0.25">
      <c r="A116" s="12">
        <v>46273</v>
      </c>
      <c r="B116" t="s">
        <v>80</v>
      </c>
      <c r="C116" t="s">
        <v>167</v>
      </c>
      <c r="D116" t="s">
        <v>13</v>
      </c>
      <c r="E116" t="s">
        <v>24</v>
      </c>
      <c r="F116" t="s">
        <v>24</v>
      </c>
      <c r="G116" t="s">
        <v>107</v>
      </c>
      <c r="H116" t="s">
        <v>74</v>
      </c>
      <c r="I116" t="str">
        <f>_xlfn.XLOOKUP(Tabla1[[#This Row],[Dependencia]],Tabla2[Dependencia],Tabla2[Clasificación],"XXX",0)</f>
        <v>Gobierno del estado</v>
      </c>
      <c r="J116" t="str">
        <f>_xlfn.XLOOKUP(Tabla1[[#This Row],[Dependencia]],Tabla3[Dependencia],Tabla3[Nivel],"Otros",0)</f>
        <v>Gobernador</v>
      </c>
    </row>
    <row r="117" spans="1:10" x14ac:dyDescent="0.25">
      <c r="A117" s="12">
        <v>46273</v>
      </c>
      <c r="B117" t="s">
        <v>80</v>
      </c>
      <c r="C117" t="s">
        <v>168</v>
      </c>
      <c r="D117" t="s">
        <v>12</v>
      </c>
      <c r="E117" t="s">
        <v>29</v>
      </c>
      <c r="F117" t="s">
        <v>29</v>
      </c>
      <c r="G117" t="s">
        <v>169</v>
      </c>
      <c r="H117" t="s">
        <v>11</v>
      </c>
      <c r="I117" t="str">
        <f>_xlfn.XLOOKUP(Tabla1[[#This Row],[Dependencia]],Tabla2[Dependencia],Tabla2[Clasificación],"XXX",0)</f>
        <v>Gobierno del estado</v>
      </c>
      <c r="J117" t="str">
        <f>_xlfn.XLOOKUP(Tabla1[[#This Row],[Dependencia]],Tabla3[Dependencia],Tabla3[Nivel],"Otros",0)</f>
        <v>Gabinete</v>
      </c>
    </row>
    <row r="118" spans="1:10" x14ac:dyDescent="0.25">
      <c r="A118" s="12">
        <v>46273</v>
      </c>
      <c r="B118" t="s">
        <v>80</v>
      </c>
      <c r="C118" t="s">
        <v>170</v>
      </c>
      <c r="D118" t="s">
        <v>84</v>
      </c>
      <c r="E118" t="s">
        <v>10</v>
      </c>
      <c r="F118" t="s">
        <v>10</v>
      </c>
      <c r="G118" t="s">
        <v>95</v>
      </c>
      <c r="H118" t="s">
        <v>11</v>
      </c>
      <c r="I118" t="str">
        <f>_xlfn.XLOOKUP(Tabla1[[#This Row],[Dependencia]],Tabla2[Dependencia],Tabla2[Clasificación],"XXX",0)</f>
        <v>Otros</v>
      </c>
      <c r="J118" t="str">
        <f>_xlfn.XLOOKUP(Tabla1[[#This Row],[Dependencia]],Tabla3[Dependencia],Tabla3[Nivel],"Otros",0)</f>
        <v>Otros</v>
      </c>
    </row>
    <row r="119" spans="1:10" x14ac:dyDescent="0.25">
      <c r="A119" s="12">
        <v>46273</v>
      </c>
      <c r="B119" t="s">
        <v>76</v>
      </c>
      <c r="C119" t="s">
        <v>171</v>
      </c>
      <c r="D119" t="s">
        <v>12</v>
      </c>
      <c r="E119" t="s">
        <v>26</v>
      </c>
      <c r="F119" t="s">
        <v>2</v>
      </c>
      <c r="G119" t="s">
        <v>172</v>
      </c>
      <c r="H119" t="s">
        <v>11</v>
      </c>
      <c r="I119" t="str">
        <f>_xlfn.XLOOKUP(Tabla1[[#This Row],[Dependencia]],Tabla2[Dependencia],Tabla2[Clasificación],"XXX",0)</f>
        <v>Gobierno del estado</v>
      </c>
      <c r="J119" t="str">
        <f>_xlfn.XLOOKUP(Tabla1[[#This Row],[Dependencia]],Tabla3[Dependencia],Tabla3[Nivel],"Otros",0)</f>
        <v>Gabinete</v>
      </c>
    </row>
    <row r="120" spans="1:10" x14ac:dyDescent="0.25">
      <c r="A120" s="12">
        <v>46273</v>
      </c>
      <c r="B120" t="s">
        <v>76</v>
      </c>
      <c r="C120" t="s">
        <v>173</v>
      </c>
      <c r="D120" t="s">
        <v>12</v>
      </c>
      <c r="E120" t="s">
        <v>24</v>
      </c>
      <c r="F120" t="s">
        <v>24</v>
      </c>
      <c r="G120" t="s">
        <v>151</v>
      </c>
      <c r="H120" t="s">
        <v>11</v>
      </c>
      <c r="I120" t="str">
        <f>_xlfn.XLOOKUP(Tabla1[[#This Row],[Dependencia]],Tabla2[Dependencia],Tabla2[Clasificación],"XXX",0)</f>
        <v>Gobierno del estado</v>
      </c>
      <c r="J120" t="str">
        <f>_xlfn.XLOOKUP(Tabla1[[#This Row],[Dependencia]],Tabla3[Dependencia],Tabla3[Nivel],"Otros",0)</f>
        <v>Gobernador</v>
      </c>
    </row>
    <row r="121" spans="1:10" x14ac:dyDescent="0.25">
      <c r="A121" s="12">
        <v>46273</v>
      </c>
      <c r="B121" t="s">
        <v>76</v>
      </c>
      <c r="C121" t="s">
        <v>174</v>
      </c>
      <c r="D121" t="s">
        <v>13</v>
      </c>
      <c r="E121" t="s">
        <v>24</v>
      </c>
      <c r="F121" t="s">
        <v>24</v>
      </c>
      <c r="G121" t="s">
        <v>107</v>
      </c>
      <c r="H121" t="s">
        <v>74</v>
      </c>
      <c r="I121" t="str">
        <f>_xlfn.XLOOKUP(Tabla1[[#This Row],[Dependencia]],Tabla2[Dependencia],Tabla2[Clasificación],"XXX",0)</f>
        <v>Gobierno del estado</v>
      </c>
      <c r="J121" t="str">
        <f>_xlfn.XLOOKUP(Tabla1[[#This Row],[Dependencia]],Tabla3[Dependencia],Tabla3[Nivel],"Otros",0)</f>
        <v>Gobernador</v>
      </c>
    </row>
    <row r="122" spans="1:10" x14ac:dyDescent="0.25">
      <c r="A122" s="12">
        <v>46273</v>
      </c>
      <c r="B122" t="s">
        <v>76</v>
      </c>
      <c r="C122" t="s">
        <v>175</v>
      </c>
      <c r="D122" t="s">
        <v>12</v>
      </c>
      <c r="E122" t="s">
        <v>16</v>
      </c>
      <c r="F122" t="s">
        <v>82</v>
      </c>
      <c r="G122" t="s">
        <v>89</v>
      </c>
      <c r="H122" t="s">
        <v>74</v>
      </c>
      <c r="I122" t="str">
        <f>_xlfn.XLOOKUP(Tabla1[[#This Row],[Dependencia]],Tabla2[Dependencia],Tabla2[Clasificación],"XXX",0)</f>
        <v>Alcaldías</v>
      </c>
      <c r="J122" t="str">
        <f>_xlfn.XLOOKUP(Tabla1[[#This Row],[Dependencia]],Tabla3[Dependencia],Tabla3[Nivel],"Otros",0)</f>
        <v>Otros</v>
      </c>
    </row>
    <row r="123" spans="1:10" x14ac:dyDescent="0.25">
      <c r="A123" s="12">
        <v>46273</v>
      </c>
      <c r="B123" t="s">
        <v>76</v>
      </c>
      <c r="C123" t="s">
        <v>176</v>
      </c>
      <c r="D123" t="s">
        <v>84</v>
      </c>
      <c r="E123" t="s">
        <v>38</v>
      </c>
      <c r="F123" t="s">
        <v>38</v>
      </c>
      <c r="G123" t="s">
        <v>83</v>
      </c>
      <c r="H123" t="s">
        <v>11</v>
      </c>
      <c r="I123" t="str">
        <f>_xlfn.XLOOKUP(Tabla1[[#This Row],[Dependencia]],Tabla2[Dependencia],Tabla2[Clasificación],"XXX",0)</f>
        <v>Gobierno del estado</v>
      </c>
      <c r="J123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69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69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2026-09-08T23:09:37Z</dcterms:modified>
</cp:coreProperties>
</file>