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5248B85E-0A86-4167-8B5A-E7ED5493B1B6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I2" i="1"/>
  <c r="J2" i="1"/>
</calcChain>
</file>

<file path=xl/sharedStrings.xml><?xml version="1.0" encoding="utf-8"?>
<sst xmlns="http://schemas.openxmlformats.org/spreadsheetml/2006/main" count="545" uniqueCount="179">
  <si>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</si>
  <si>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</si>
  <si>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</si>
  <si>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</si>
  <si>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</si>
  <si>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</si>
  <si>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</si>
  <si>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</si>
  <si>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</si>
  <si>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</si>
  <si>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</si>
  <si>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</si>
  <si>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</si>
  <si>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</si>
  <si>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</si>
  <si>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</si>
  <si>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</si>
  <si>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</si>
  <si>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</si>
  <si>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</si>
  <si>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</si>
  <si>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</si>
  <si>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</si>
  <si>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</si>
  <si>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</si>
  <si>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</si>
  <si>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</si>
  <si>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</si>
  <si>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</si>
  <si>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</si>
  <si>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</si>
  <si>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</si>
  <si>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</si>
  <si>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</si>
  <si>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</si>
  <si>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</si>
  <si>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</si>
  <si>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</si>
  <si>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</si>
  <si>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</si>
  <si>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</si>
  <si>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</si>
  <si>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</si>
  <si>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</si>
  <si>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</si>
  <si>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</si>
  <si>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</si>
  <si>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</si>
  <si>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</si>
  <si>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</si>
  <si>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</si>
  <si>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</si>
  <si>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</si>
  <si>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</si>
  <si>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</si>
  <si>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</si>
  <si>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</si>
  <si>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</si>
  <si>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</si>
  <si>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</si>
  <si>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</si>
  <si>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</si>
  <si>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</si>
  <si>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</si>
  <si>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</si>
  <si>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</si>
  <si>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</si>
  <si>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</si>
  <si>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</si>
  <si>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</si>
  <si>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</si>
  <si>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</si>
  <si>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</si>
  <si>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La Jornada Hidalgo</t>
  </si>
  <si>
    <t>OCSAD</t>
  </si>
  <si>
    <t>Mundial De Futbol</t>
  </si>
  <si>
    <t>Effetá</t>
  </si>
  <si>
    <t>Alcalde</t>
  </si>
  <si>
    <t>Plaza Juárez</t>
  </si>
  <si>
    <t>Criterio</t>
  </si>
  <si>
    <t>Publicidad</t>
  </si>
  <si>
    <t>Pachuca Brilla</t>
  </si>
  <si>
    <t>Complejo Gubernamental</t>
  </si>
  <si>
    <t>El Universal Hidalgo</t>
  </si>
  <si>
    <t>Iniciativa</t>
  </si>
  <si>
    <t>Maltrato animal</t>
  </si>
  <si>
    <t>Relleno Sanitario</t>
  </si>
  <si>
    <t>Temas internacionales</t>
  </si>
  <si>
    <t>Extinción de dominio</t>
  </si>
  <si>
    <t>CFE</t>
  </si>
  <si>
    <t>Falta de servicios públicos</t>
  </si>
  <si>
    <t>¡Ganamos!</t>
  </si>
  <si>
    <t>Ciudadanos exigen proteger a Cubitos</t>
  </si>
  <si>
    <t>Parque Ecológico Cubitos</t>
  </si>
  <si>
    <t>Ingresan 417 a medicina y para cirujano dentista</t>
  </si>
  <si>
    <t>Admisiones</t>
  </si>
  <si>
    <t>Suman 25 viviendas dañadas en Chimalpa</t>
  </si>
  <si>
    <t>Afectaciones Por Lluvias</t>
  </si>
  <si>
    <t>¡Cardiaco!</t>
  </si>
  <si>
    <t>Liberan a involucrado en accidente de bulevar Minero</t>
  </si>
  <si>
    <t>Accidente transporte público</t>
  </si>
  <si>
    <t>Perfilan 17 mdp para rehabilitar bulevar Colosio</t>
  </si>
  <si>
    <t>Rehabilitación Vial</t>
  </si>
  <si>
    <t>Sorprenden 2 sismos al Valle del Mezquital</t>
  </si>
  <si>
    <t>Sismo</t>
  </si>
  <si>
    <t>Paran limpieza en presa Endhó... ¡Por falta de combustible!</t>
  </si>
  <si>
    <t>Conagua</t>
  </si>
  <si>
    <t>Control lirio acuático</t>
  </si>
  <si>
    <t>Alertan por ciberacoso desde perfiles falsos</t>
  </si>
  <si>
    <t>Fede</t>
  </si>
  <si>
    <t>Violencia Política De Género</t>
  </si>
  <si>
    <t>Dos culturas, una pasión</t>
  </si>
  <si>
    <t>Triunfo de oro</t>
  </si>
  <si>
    <t>Han muerto 9 por ataques armados en lo que va de junio</t>
  </si>
  <si>
    <t>Homicidios</t>
  </si>
  <si>
    <t>En ISSSTE, espera es el martirio de derechohabientes</t>
  </si>
  <si>
    <t>ISSSTE</t>
  </si>
  <si>
    <t>Mala atención médica</t>
  </si>
  <si>
    <t>Ambulantaje no regresará a Plaza Constitución, dice el edil Jorge Reyes</t>
  </si>
  <si>
    <t>Ambulantaje</t>
  </si>
  <si>
    <t>Realizan jornada de Salud Visual en Fundación: Shadia</t>
  </si>
  <si>
    <t>Salud Visual</t>
  </si>
  <si>
    <t>Detona centro de gobierno obras complementarias en zona clave</t>
  </si>
  <si>
    <t>Con muy poco se mete a la siguiente fase</t>
  </si>
  <si>
    <t>Van México y España hacia la normalización plena de relaciones</t>
  </si>
  <si>
    <t>Edison llegó desde Colombia para cumplir su sueño</t>
  </si>
  <si>
    <t>Deportes</t>
  </si>
  <si>
    <t>Exsocios de EU... y optan por rearmarse</t>
  </si>
  <si>
    <t>Harán revisión técnica del nuevo basurero de Tula</t>
  </si>
  <si>
    <t>México gana sufriendo ante Corea del Sur</t>
  </si>
  <si>
    <t>Alista CSP recepción a Felipe VI en Palacio Nacional</t>
  </si>
  <si>
    <t>Aumenta violencia política en razón de género: fiscal</t>
  </si>
  <si>
    <t>Sin duda, este viernes en México y en Corea del Sur viviremos la emoción mundialista. Ojalá  también reflexionemos sobre la violencia de género que viven nuestras dos naciones”.</t>
  </si>
  <si>
    <t>Violencia De Género</t>
  </si>
  <si>
    <t>México se impone ante Corea del Sur con marcador 1-0 en el Estadio Akron</t>
  </si>
  <si>
    <t>Destina SEPH más de 2.8 mdp para escuelas de cinco municipios de la Sierra Gorda</t>
  </si>
  <si>
    <t>Infraestructura escolar</t>
  </si>
  <si>
    <t>Prevén crecimiento del parque industrial PLATAH con llegada del tren AIFA-Pachuca</t>
  </si>
  <si>
    <t>Tren AIFA</t>
  </si>
  <si>
    <t>Seguirá proceso judicial en libertad chofer involucrado en accidente de combi en Pachuca</t>
  </si>
  <si>
    <t>Fortalecen agenda de género para combatir violencia política en Hidalgo</t>
  </si>
  <si>
    <t>Escuelas afectadas por fallas eléctricas</t>
  </si>
  <si>
    <t>Llama DIF a combatir desde el hogar la violencia contra la niñez</t>
  </si>
  <si>
    <t>Violencia familiar</t>
  </si>
  <si>
    <t>Prevén crecimiento del parque industrial Platah con el tren Aifa-Pachuca</t>
  </si>
  <si>
    <t>DIF Huejutla entrega ayudas técnicas y funcionales a personas con discapacidad</t>
  </si>
  <si>
    <t>Ayudas funcionales</t>
  </si>
  <si>
    <t>Calor de 47°C se registra en la zona urbana de Huejutla</t>
  </si>
  <si>
    <t>Altas temperaturas</t>
  </si>
  <si>
    <t>La inversión al deporte rompe récord en Hidalgo</t>
  </si>
  <si>
    <t>Inhide</t>
  </si>
  <si>
    <t>Fomento Al Deporte</t>
  </si>
  <si>
    <t>UAEH rechaza fraude en admisión a Medicina y Odontología</t>
  </si>
  <si>
    <t>Tragedia en la presa</t>
  </si>
  <si>
    <t>Deceso turista</t>
  </si>
  <si>
    <t>Menchaca apuesta fuerte al deporte</t>
  </si>
  <si>
    <t>Llegan especialistas para el ISSSTE en Hidalgo</t>
  </si>
  <si>
    <t>Médicos especialistas</t>
  </si>
  <si>
    <t>Investigan 15 casos de violencia digital contra funcionarias de Hidalgo</t>
  </si>
  <si>
    <t>Inmuebles recuperados, al patrimonio estatal si no se venden</t>
  </si>
  <si>
    <t>México derrotó 1-0 a Corea y es primer lugar; celebran en todo el país</t>
  </si>
  <si>
    <t>Más de 2.8 mdp para escuelas de cinco municipios de la Sierra Gorda</t>
  </si>
  <si>
    <t>Autoridades municipales de Pachuca mantienen presencia y atención en barrios altos</t>
  </si>
  <si>
    <t>Operativo de Seguridad</t>
  </si>
  <si>
    <t>Prevén crecimiento del parque Industrial Platah con el tren Aifa-Pachuca</t>
  </si>
  <si>
    <t>Se registra sismo en Ixmiquilpan; fue imperceptible en el Mezquital</t>
  </si>
  <si>
    <t>Ellos importan</t>
  </si>
  <si>
    <t>Realiza tu trámite de control vehicular en los sitios oficiales</t>
  </si>
  <si>
    <t>Refrendo Vehicular</t>
  </si>
  <si>
    <t>Evacúan escuela por contaminación de planta de asfalto</t>
  </si>
  <si>
    <t>Empresa contaminante</t>
  </si>
  <si>
    <t>Cuestionan elección de nuevo Contralor de Apan</t>
  </si>
  <si>
    <t>Nombramientos</t>
  </si>
  <si>
    <t>En junio de 2027 habrá elecciones para renovar 17 gubernaturas, ayuntamientos, diputaciones loclaes y federales. Pese a lo que se spera, la aplanadora de Morena ya presenta fisuras por sus broncas internas</t>
  </si>
  <si>
    <t>Editorial</t>
  </si>
  <si>
    <t>Elecciones</t>
  </si>
  <si>
    <t>México sufre, pero consigue el triunfo ante corea del Sur</t>
  </si>
  <si>
    <t>Buscan regular circulación de vehículos de carga pesada</t>
  </si>
  <si>
    <t>GLPVEM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</si>
</sst>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6" totalsRowShown="0" headerRowDxfId="5" headerRowBorderDxfId="4">
  <autoFilter ref="A1:J5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6"/>
  <sheetViews>
    <sheetView tabSelected="1" topLeftCell="A37" workbookViewId="0">
      <selection activeCell="J56" sqref="J5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46192</v>
      </c>
      <c r="B2" t="s">
        <v>68</v>
      </c>
      <c r="C2" s="6" t="s">
        <v>91</v>
      </c>
      <c r="D2" t="s">
        <v>9</v>
      </c>
      <c r="E2" t="s">
        <v>10</v>
      </c>
      <c r="F2" t="s">
        <v>10</v>
      </c>
      <c r="G2" t="s">
        <v>75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46192</v>
      </c>
      <c r="B3" t="s">
        <v>68</v>
      </c>
      <c r="C3" s="6" t="s">
        <v>92</v>
      </c>
      <c r="D3" t="s">
        <v>12</v>
      </c>
      <c r="E3" t="s">
        <v>20</v>
      </c>
      <c r="F3" t="s">
        <v>20</v>
      </c>
      <c r="G3" t="s">
        <v>93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5">
        <v>46192</v>
      </c>
      <c r="B4" t="s">
        <v>68</v>
      </c>
      <c r="C4" s="6" t="s">
        <v>94</v>
      </c>
      <c r="D4" t="s">
        <v>12</v>
      </c>
      <c r="E4" t="s">
        <v>59</v>
      </c>
      <c r="F4" t="s">
        <v>59</v>
      </c>
      <c r="G4" t="s">
        <v>95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46192</v>
      </c>
      <c r="B5" t="s">
        <v>68</v>
      </c>
      <c r="C5" s="6" t="s">
        <v>96</v>
      </c>
      <c r="D5" t="s">
        <v>13</v>
      </c>
      <c r="E5" t="s">
        <v>16</v>
      </c>
      <c r="F5" t="s">
        <v>16</v>
      </c>
      <c r="G5" t="s">
        <v>97</v>
      </c>
      <c r="H5" t="s">
        <v>11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46192</v>
      </c>
      <c r="B6" t="s">
        <v>83</v>
      </c>
      <c r="C6" s="6" t="s">
        <v>98</v>
      </c>
      <c r="D6" t="s">
        <v>9</v>
      </c>
      <c r="E6" t="s">
        <v>10</v>
      </c>
      <c r="F6" t="s">
        <v>10</v>
      </c>
      <c r="G6" t="s">
        <v>75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46192</v>
      </c>
      <c r="B7" t="s">
        <v>83</v>
      </c>
      <c r="C7" s="6" t="s">
        <v>99</v>
      </c>
      <c r="D7" t="s">
        <v>12</v>
      </c>
      <c r="E7" t="s">
        <v>17</v>
      </c>
      <c r="F7" t="s">
        <v>17</v>
      </c>
      <c r="G7" t="s">
        <v>100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46192</v>
      </c>
      <c r="B8" t="s">
        <v>83</v>
      </c>
      <c r="C8" s="6" t="s">
        <v>101</v>
      </c>
      <c r="D8" t="s">
        <v>12</v>
      </c>
      <c r="E8" t="s">
        <v>34</v>
      </c>
      <c r="F8" t="s">
        <v>34</v>
      </c>
      <c r="G8" t="s">
        <v>102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5">
        <v>46192</v>
      </c>
      <c r="B9" t="s">
        <v>83</v>
      </c>
      <c r="C9" s="6" t="s">
        <v>103</v>
      </c>
      <c r="D9" t="s">
        <v>13</v>
      </c>
      <c r="E9" t="s">
        <v>14</v>
      </c>
      <c r="F9" t="s">
        <v>14</v>
      </c>
      <c r="G9" t="s">
        <v>104</v>
      </c>
      <c r="H9" t="s">
        <v>11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ht="30" x14ac:dyDescent="0.25">
      <c r="A10" s="5">
        <v>46192</v>
      </c>
      <c r="B10" t="s">
        <v>83</v>
      </c>
      <c r="C10" s="6" t="s">
        <v>105</v>
      </c>
      <c r="D10" t="s">
        <v>12</v>
      </c>
      <c r="E10" t="s">
        <v>14</v>
      </c>
      <c r="F10" t="s">
        <v>106</v>
      </c>
      <c r="G10" t="s">
        <v>107</v>
      </c>
      <c r="H10" t="s">
        <v>70</v>
      </c>
      <c r="I10" t="str">
        <f>_xlfn.XLOOKUP(Tabla1[[#This Row],[Dependencia]],Tabla2[Dependencia],Tabla2[Clasificación],"No indexado")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46192</v>
      </c>
      <c r="B11" t="s">
        <v>83</v>
      </c>
      <c r="C11" s="6" t="s">
        <v>108</v>
      </c>
      <c r="D11" t="s">
        <v>12</v>
      </c>
      <c r="E11" t="s">
        <v>17</v>
      </c>
      <c r="F11" t="s">
        <v>109</v>
      </c>
      <c r="G11" t="s">
        <v>110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5">
        <v>46192</v>
      </c>
      <c r="B12" t="s">
        <v>79</v>
      </c>
      <c r="C12" s="6" t="s">
        <v>111</v>
      </c>
      <c r="D12" t="s">
        <v>12</v>
      </c>
      <c r="E12" t="s">
        <v>10</v>
      </c>
      <c r="F12" t="s">
        <v>10</v>
      </c>
      <c r="G12" t="s">
        <v>75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46192</v>
      </c>
      <c r="B13" t="s">
        <v>79</v>
      </c>
      <c r="C13" s="6" t="s">
        <v>112</v>
      </c>
      <c r="D13" t="s">
        <v>9</v>
      </c>
      <c r="E13" t="s">
        <v>10</v>
      </c>
      <c r="F13" t="s">
        <v>10</v>
      </c>
      <c r="G13" t="s">
        <v>75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5">
        <v>46192</v>
      </c>
      <c r="B14" t="s">
        <v>79</v>
      </c>
      <c r="C14" s="6" t="s">
        <v>113</v>
      </c>
      <c r="D14" t="s">
        <v>12</v>
      </c>
      <c r="E14" t="s">
        <v>17</v>
      </c>
      <c r="F14" t="s">
        <v>17</v>
      </c>
      <c r="G14" t="s">
        <v>114</v>
      </c>
      <c r="H14" t="s">
        <v>70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46192</v>
      </c>
      <c r="B15" t="s">
        <v>79</v>
      </c>
      <c r="C15" s="6" t="s">
        <v>115</v>
      </c>
      <c r="D15" t="s">
        <v>13</v>
      </c>
      <c r="E15" t="s">
        <v>14</v>
      </c>
      <c r="F15" t="s">
        <v>116</v>
      </c>
      <c r="G15" t="s">
        <v>117</v>
      </c>
      <c r="H15" t="s">
        <v>70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46192</v>
      </c>
      <c r="B16" t="s">
        <v>79</v>
      </c>
      <c r="C16" s="6" t="s">
        <v>118</v>
      </c>
      <c r="D16" t="s">
        <v>12</v>
      </c>
      <c r="E16" t="s">
        <v>16</v>
      </c>
      <c r="F16" t="s">
        <v>77</v>
      </c>
      <c r="G16" t="s">
        <v>119</v>
      </c>
      <c r="H16" t="s">
        <v>11</v>
      </c>
      <c r="I16" t="str">
        <f>_xlfn.XLOOKUP(Tabla1[[#This Row],[Dependencia]],Tabla2[Dependencia],Tabla2[Clasificación],"No indexado")</f>
        <v>Alcaldías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46192</v>
      </c>
      <c r="B17" t="s">
        <v>79</v>
      </c>
      <c r="C17" s="6" t="s">
        <v>120</v>
      </c>
      <c r="D17" t="s">
        <v>12</v>
      </c>
      <c r="E17" t="s">
        <v>10</v>
      </c>
      <c r="F17" t="s">
        <v>10</v>
      </c>
      <c r="G17" t="s">
        <v>121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ht="30" x14ac:dyDescent="0.25">
      <c r="A18" s="5">
        <v>46192</v>
      </c>
      <c r="B18" t="s">
        <v>67</v>
      </c>
      <c r="C18" s="6" t="s">
        <v>122</v>
      </c>
      <c r="D18" t="s">
        <v>13</v>
      </c>
      <c r="E18" t="s">
        <v>24</v>
      </c>
      <c r="F18" t="s">
        <v>24</v>
      </c>
      <c r="G18" t="s">
        <v>82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Gobernador</v>
      </c>
    </row>
    <row r="19" spans="1:10" x14ac:dyDescent="0.25">
      <c r="A19" s="5">
        <v>46192</v>
      </c>
      <c r="B19" t="s">
        <v>67</v>
      </c>
      <c r="C19" s="6" t="s">
        <v>123</v>
      </c>
      <c r="D19" t="s">
        <v>9</v>
      </c>
      <c r="E19" t="s">
        <v>10</v>
      </c>
      <c r="F19" t="s">
        <v>10</v>
      </c>
      <c r="G19" t="s">
        <v>75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ht="30" x14ac:dyDescent="0.25">
      <c r="A20" s="5">
        <v>46192</v>
      </c>
      <c r="B20" t="s">
        <v>67</v>
      </c>
      <c r="C20" s="6" t="s">
        <v>124</v>
      </c>
      <c r="D20" t="s">
        <v>12</v>
      </c>
      <c r="E20" t="s">
        <v>14</v>
      </c>
      <c r="F20" t="s">
        <v>14</v>
      </c>
      <c r="G20" t="s">
        <v>87</v>
      </c>
      <c r="H20" t="s">
        <v>11</v>
      </c>
      <c r="I20" t="str">
        <f>_xlfn.XLOOKUP(Tabla1[[#This Row],[Dependencia]],Tabla2[Dependencia],Tabla2[Clasificación],"No indexado")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25">
      <c r="A21" s="5">
        <v>46192</v>
      </c>
      <c r="B21" t="s">
        <v>67</v>
      </c>
      <c r="C21" s="6" t="s">
        <v>125</v>
      </c>
      <c r="D21" t="s">
        <v>12</v>
      </c>
      <c r="E21" t="s">
        <v>10</v>
      </c>
      <c r="F21" t="s">
        <v>10</v>
      </c>
      <c r="G21" t="s">
        <v>126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46192</v>
      </c>
      <c r="B22" t="s">
        <v>67</v>
      </c>
      <c r="C22" s="6" t="s">
        <v>127</v>
      </c>
      <c r="D22" t="s">
        <v>12</v>
      </c>
      <c r="E22" t="s">
        <v>10</v>
      </c>
      <c r="F22" t="s">
        <v>10</v>
      </c>
      <c r="G22" t="s">
        <v>87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46192</v>
      </c>
      <c r="B23" t="s">
        <v>73</v>
      </c>
      <c r="C23" s="6" t="s">
        <v>128</v>
      </c>
      <c r="D23" t="s">
        <v>12</v>
      </c>
      <c r="E23" t="s">
        <v>20</v>
      </c>
      <c r="F23" t="s">
        <v>20</v>
      </c>
      <c r="G23" t="s">
        <v>86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46192</v>
      </c>
      <c r="B24" t="s">
        <v>73</v>
      </c>
      <c r="C24" s="6" t="s">
        <v>129</v>
      </c>
      <c r="D24" t="s">
        <v>9</v>
      </c>
      <c r="E24" t="s">
        <v>10</v>
      </c>
      <c r="F24" t="s">
        <v>10</v>
      </c>
      <c r="G24" t="s">
        <v>75</v>
      </c>
      <c r="H24" t="s">
        <v>11</v>
      </c>
      <c r="I24" t="str">
        <f>_xlfn.XLOOKUP(Tabla1[[#This Row],[Dependencia]],Tabla2[Dependencia],Tabla2[Clasificación],"No indexado")</f>
        <v>Otros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46192</v>
      </c>
      <c r="B25" t="s">
        <v>73</v>
      </c>
      <c r="C25" s="6" t="s">
        <v>130</v>
      </c>
      <c r="D25" t="s">
        <v>12</v>
      </c>
      <c r="E25" t="s">
        <v>14</v>
      </c>
      <c r="F25" t="s">
        <v>14</v>
      </c>
      <c r="G25" t="s">
        <v>87</v>
      </c>
      <c r="H25" t="s">
        <v>11</v>
      </c>
      <c r="I25" t="str">
        <f>_xlfn.XLOOKUP(Tabla1[[#This Row],[Dependencia]],Tabla2[Dependencia],Tabla2[Clasificación],"No indexado")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46192</v>
      </c>
      <c r="B26" t="s">
        <v>73</v>
      </c>
      <c r="C26" s="6" t="s">
        <v>131</v>
      </c>
      <c r="D26" t="s">
        <v>13</v>
      </c>
      <c r="E26" t="s">
        <v>17</v>
      </c>
      <c r="F26" t="s">
        <v>109</v>
      </c>
      <c r="G26" t="s">
        <v>110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60" x14ac:dyDescent="0.25">
      <c r="A27" s="5">
        <v>46192</v>
      </c>
      <c r="B27" t="s">
        <v>83</v>
      </c>
      <c r="C27" s="6" t="s">
        <v>132</v>
      </c>
      <c r="D27" t="s">
        <v>12</v>
      </c>
      <c r="E27" t="s">
        <v>10</v>
      </c>
      <c r="F27" t="s">
        <v>10</v>
      </c>
      <c r="G27" t="s">
        <v>133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46192</v>
      </c>
      <c r="B28" t="s">
        <v>72</v>
      </c>
      <c r="C28" s="6" t="s">
        <v>134</v>
      </c>
      <c r="D28" t="s">
        <v>13</v>
      </c>
      <c r="E28" t="s">
        <v>10</v>
      </c>
      <c r="F28" t="s">
        <v>10</v>
      </c>
      <c r="G28" t="s">
        <v>75</v>
      </c>
      <c r="H28" t="s">
        <v>69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46192</v>
      </c>
      <c r="B29" t="s">
        <v>72</v>
      </c>
      <c r="C29" s="6" t="s">
        <v>135</v>
      </c>
      <c r="D29" t="s">
        <v>12</v>
      </c>
      <c r="E29" t="s">
        <v>26</v>
      </c>
      <c r="F29" t="s">
        <v>26</v>
      </c>
      <c r="G29" t="s">
        <v>136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5">
        <v>46192</v>
      </c>
      <c r="B30" t="s">
        <v>72</v>
      </c>
      <c r="C30" s="6" t="s">
        <v>137</v>
      </c>
      <c r="D30" t="s">
        <v>12</v>
      </c>
      <c r="E30" t="s">
        <v>47</v>
      </c>
      <c r="F30" t="s">
        <v>47</v>
      </c>
      <c r="G30" t="s">
        <v>138</v>
      </c>
      <c r="H30" t="s">
        <v>69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46192</v>
      </c>
      <c r="B31" t="s">
        <v>72</v>
      </c>
      <c r="C31" s="6" t="s">
        <v>139</v>
      </c>
      <c r="D31" t="s">
        <v>12</v>
      </c>
      <c r="E31" t="s">
        <v>17</v>
      </c>
      <c r="F31" t="s">
        <v>17</v>
      </c>
      <c r="G31" t="s">
        <v>100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46192</v>
      </c>
      <c r="B32" t="s">
        <v>72</v>
      </c>
      <c r="C32" s="6" t="s">
        <v>140</v>
      </c>
      <c r="D32" t="s">
        <v>12</v>
      </c>
      <c r="E32" t="s">
        <v>40</v>
      </c>
      <c r="F32" t="s">
        <v>40</v>
      </c>
      <c r="G32" t="s">
        <v>110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5">
        <v>46192</v>
      </c>
      <c r="B33" t="s">
        <v>71</v>
      </c>
      <c r="C33" s="6" t="s">
        <v>141</v>
      </c>
      <c r="D33" t="s">
        <v>13</v>
      </c>
      <c r="E33" t="s">
        <v>14</v>
      </c>
      <c r="F33" t="s">
        <v>89</v>
      </c>
      <c r="G33" t="s">
        <v>90</v>
      </c>
      <c r="H33" t="s">
        <v>70</v>
      </c>
      <c r="I33" t="str">
        <f>_xlfn.XLOOKUP(Tabla1[[#This Row],[Dependencia]],Tabla2[Dependencia],Tabla2[Clasificación],"No indexado")</f>
        <v>Presidencia de la República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46192</v>
      </c>
      <c r="B34" t="s">
        <v>71</v>
      </c>
      <c r="C34" s="6" t="s">
        <v>142</v>
      </c>
      <c r="D34" t="s">
        <v>9</v>
      </c>
      <c r="E34" t="s">
        <v>36</v>
      </c>
      <c r="F34" t="s">
        <v>36</v>
      </c>
      <c r="G34" t="s">
        <v>143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46192</v>
      </c>
      <c r="B35" t="s">
        <v>71</v>
      </c>
      <c r="C35" s="6" t="s">
        <v>144</v>
      </c>
      <c r="D35" t="s">
        <v>12</v>
      </c>
      <c r="E35" t="s">
        <v>47</v>
      </c>
      <c r="F35" t="s">
        <v>47</v>
      </c>
      <c r="G35" t="s">
        <v>138</v>
      </c>
      <c r="H35" t="s">
        <v>69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46192</v>
      </c>
      <c r="B36" t="s">
        <v>71</v>
      </c>
      <c r="C36" s="6" t="s">
        <v>145</v>
      </c>
      <c r="D36" t="s">
        <v>12</v>
      </c>
      <c r="E36" t="s">
        <v>16</v>
      </c>
      <c r="F36" t="s">
        <v>16</v>
      </c>
      <c r="G36" t="s">
        <v>146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46192</v>
      </c>
      <c r="B37" t="s">
        <v>71</v>
      </c>
      <c r="C37" s="6" t="s">
        <v>147</v>
      </c>
      <c r="D37" t="s">
        <v>12</v>
      </c>
      <c r="E37" t="s">
        <v>16</v>
      </c>
      <c r="F37" t="s">
        <v>16</v>
      </c>
      <c r="G37" t="s">
        <v>148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25">
      <c r="A38" s="5">
        <v>46192</v>
      </c>
      <c r="B38" t="s">
        <v>71</v>
      </c>
      <c r="C38" s="6" t="s">
        <v>149</v>
      </c>
      <c r="D38" t="s">
        <v>12</v>
      </c>
      <c r="E38" t="s">
        <v>26</v>
      </c>
      <c r="F38" t="s">
        <v>150</v>
      </c>
      <c r="G38" t="s">
        <v>151</v>
      </c>
      <c r="H38" t="s">
        <v>69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46192</v>
      </c>
      <c r="B39" t="s">
        <v>76</v>
      </c>
      <c r="C39" s="6" t="s">
        <v>152</v>
      </c>
      <c r="D39" t="s">
        <v>9</v>
      </c>
      <c r="E39" t="s">
        <v>59</v>
      </c>
      <c r="F39" t="s">
        <v>59</v>
      </c>
      <c r="G39" t="s">
        <v>95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46192</v>
      </c>
      <c r="B40" t="s">
        <v>76</v>
      </c>
      <c r="C40" s="6" t="s">
        <v>153</v>
      </c>
      <c r="D40" t="s">
        <v>12</v>
      </c>
      <c r="E40" t="s">
        <v>22</v>
      </c>
      <c r="F40" t="s">
        <v>22</v>
      </c>
      <c r="G40" t="s">
        <v>154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5">
        <v>46192</v>
      </c>
      <c r="B41" t="s">
        <v>76</v>
      </c>
      <c r="C41" s="6" t="s">
        <v>155</v>
      </c>
      <c r="D41" t="s">
        <v>12</v>
      </c>
      <c r="E41" t="s">
        <v>24</v>
      </c>
      <c r="F41" t="s">
        <v>24</v>
      </c>
      <c r="G41" t="s">
        <v>151</v>
      </c>
      <c r="H41" t="s">
        <v>69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Gobernador</v>
      </c>
    </row>
    <row r="42" spans="1:10" x14ac:dyDescent="0.25">
      <c r="A42" s="5">
        <v>46192</v>
      </c>
      <c r="B42" t="s">
        <v>76</v>
      </c>
      <c r="C42" s="6" t="s">
        <v>156</v>
      </c>
      <c r="D42" t="s">
        <v>12</v>
      </c>
      <c r="E42" t="s">
        <v>14</v>
      </c>
      <c r="F42" t="s">
        <v>116</v>
      </c>
      <c r="G42" t="s">
        <v>157</v>
      </c>
      <c r="H42" t="s">
        <v>11</v>
      </c>
      <c r="I42" t="str">
        <f>_xlfn.XLOOKUP(Tabla1[[#This Row],[Dependencia]],Tabla2[Dependencia],Tabla2[Clasificación],"No indexado")</f>
        <v>Presidencia de la República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46192</v>
      </c>
      <c r="B43" t="s">
        <v>76</v>
      </c>
      <c r="C43" s="6" t="s">
        <v>158</v>
      </c>
      <c r="D43" t="s">
        <v>12</v>
      </c>
      <c r="E43" t="s">
        <v>17</v>
      </c>
      <c r="F43" t="s">
        <v>109</v>
      </c>
      <c r="G43" t="s">
        <v>110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46192</v>
      </c>
      <c r="B44" t="s">
        <v>76</v>
      </c>
      <c r="C44" s="6" t="s">
        <v>159</v>
      </c>
      <c r="D44" t="s">
        <v>12</v>
      </c>
      <c r="E44" t="s">
        <v>24</v>
      </c>
      <c r="F44" t="s">
        <v>24</v>
      </c>
      <c r="G44" t="s">
        <v>88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5">
        <v>46192</v>
      </c>
      <c r="B45" t="s">
        <v>81</v>
      </c>
      <c r="C45" s="6" t="s">
        <v>160</v>
      </c>
      <c r="D45" t="s">
        <v>13</v>
      </c>
      <c r="E45" t="s">
        <v>10</v>
      </c>
      <c r="F45" t="s">
        <v>10</v>
      </c>
      <c r="G45" t="s">
        <v>75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46192</v>
      </c>
      <c r="B46" t="s">
        <v>81</v>
      </c>
      <c r="C46" s="6" t="s">
        <v>161</v>
      </c>
      <c r="D46" t="s">
        <v>12</v>
      </c>
      <c r="E46" t="s">
        <v>26</v>
      </c>
      <c r="F46" t="s">
        <v>26</v>
      </c>
      <c r="G46" t="s">
        <v>136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46192</v>
      </c>
      <c r="B47" t="s">
        <v>81</v>
      </c>
      <c r="C47" s="6" t="s">
        <v>162</v>
      </c>
      <c r="D47" t="s">
        <v>12</v>
      </c>
      <c r="E47" t="s">
        <v>16</v>
      </c>
      <c r="F47" t="s">
        <v>16</v>
      </c>
      <c r="G47" t="s">
        <v>163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46192</v>
      </c>
      <c r="B48" t="s">
        <v>81</v>
      </c>
      <c r="C48" s="6" t="s">
        <v>164</v>
      </c>
      <c r="D48" t="s">
        <v>12</v>
      </c>
      <c r="E48" t="s">
        <v>24</v>
      </c>
      <c r="F48" t="s">
        <v>24</v>
      </c>
      <c r="G48" t="s">
        <v>138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Gobernador</v>
      </c>
    </row>
    <row r="49" spans="1:10" ht="30" x14ac:dyDescent="0.25">
      <c r="A49" s="5">
        <v>46192</v>
      </c>
      <c r="B49" t="s">
        <v>81</v>
      </c>
      <c r="C49" s="6" t="s">
        <v>165</v>
      </c>
      <c r="D49" t="s">
        <v>12</v>
      </c>
      <c r="E49" t="s">
        <v>10</v>
      </c>
      <c r="F49" t="s">
        <v>10</v>
      </c>
      <c r="G49" t="s">
        <v>104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5">
        <v>46192</v>
      </c>
      <c r="B50" t="s">
        <v>81</v>
      </c>
      <c r="C50" s="6" t="s">
        <v>166</v>
      </c>
      <c r="D50" t="s">
        <v>80</v>
      </c>
      <c r="E50" t="s">
        <v>16</v>
      </c>
      <c r="F50" t="s">
        <v>16</v>
      </c>
      <c r="G50" t="s">
        <v>85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46192</v>
      </c>
      <c r="B51" t="s">
        <v>81</v>
      </c>
      <c r="C51" s="6" t="s">
        <v>167</v>
      </c>
      <c r="D51" t="s">
        <v>80</v>
      </c>
      <c r="E51" t="s">
        <v>39</v>
      </c>
      <c r="F51" t="s">
        <v>39</v>
      </c>
      <c r="G51" t="s">
        <v>168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5">
        <v>46192</v>
      </c>
      <c r="B52" t="s">
        <v>78</v>
      </c>
      <c r="C52" s="6" t="s">
        <v>169</v>
      </c>
      <c r="D52" t="s">
        <v>13</v>
      </c>
      <c r="E52" t="s">
        <v>16</v>
      </c>
      <c r="F52" t="s">
        <v>16</v>
      </c>
      <c r="G52" t="s">
        <v>170</v>
      </c>
      <c r="H52" t="s">
        <v>70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x14ac:dyDescent="0.25">
      <c r="A53" s="5">
        <v>46192</v>
      </c>
      <c r="B53" t="s">
        <v>78</v>
      </c>
      <c r="C53" s="6" t="s">
        <v>171</v>
      </c>
      <c r="D53" t="s">
        <v>12</v>
      </c>
      <c r="E53" t="s">
        <v>16</v>
      </c>
      <c r="F53" t="s">
        <v>16</v>
      </c>
      <c r="G53" t="s">
        <v>172</v>
      </c>
      <c r="H53" t="s">
        <v>70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60" x14ac:dyDescent="0.25">
      <c r="A54" s="5">
        <v>46192</v>
      </c>
      <c r="B54" t="s">
        <v>78</v>
      </c>
      <c r="C54" s="6" t="s">
        <v>173</v>
      </c>
      <c r="D54" t="s">
        <v>174</v>
      </c>
      <c r="E54" t="s">
        <v>18</v>
      </c>
      <c r="F54" t="s">
        <v>18</v>
      </c>
      <c r="G54" t="s">
        <v>175</v>
      </c>
      <c r="H54" t="s">
        <v>70</v>
      </c>
      <c r="I54" t="str">
        <f>_xlfn.XLOOKUP(Tabla1[[#This Row],[Dependencia]],Tabla2[Dependencia],Tabla2[Clasificación],"No indexado")</f>
        <v>Partidos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46192</v>
      </c>
      <c r="B55" t="s">
        <v>78</v>
      </c>
      <c r="C55" s="6" t="s">
        <v>176</v>
      </c>
      <c r="D55" t="s">
        <v>12</v>
      </c>
      <c r="E55" t="s">
        <v>10</v>
      </c>
      <c r="F55" t="s">
        <v>10</v>
      </c>
      <c r="G55" t="s">
        <v>75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46192</v>
      </c>
      <c r="B56" t="s">
        <v>78</v>
      </c>
      <c r="C56" s="6" t="s">
        <v>177</v>
      </c>
      <c r="D56" t="s">
        <v>12</v>
      </c>
      <c r="E56" t="s">
        <v>33</v>
      </c>
      <c r="F56" t="s">
        <v>178</v>
      </c>
      <c r="G56" t="s">
        <v>84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74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74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2026-06-19T15:47:28Z</dcterms:modified>
</cp:coreProperties>
</file>