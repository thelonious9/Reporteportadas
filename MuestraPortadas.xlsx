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F06002BE-4AB0-4407-AD06-422FCEB524E7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I2" i="1"/>
  <c r="J2" i="1"/>
</calcChain>
</file>

<file path=xl/sharedStrings.xml><?xml version="1.0" encoding="utf-8"?>
<sst xmlns="http://schemas.openxmlformats.org/spreadsheetml/2006/main" count="657" uniqueCount="193">
  <si>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</si>
  <si>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</si>
  <si>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</si>
  <si>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</si>
  <si>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</si>
  <si>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</si>
  <si>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</si>
  <si>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</si>
  <si>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</si>
  <si>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</si>
  <si>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</si>
  <si>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</si>
  <si>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</si>
  <si>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</si>
  <si>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</si>
  <si>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</si>
  <si>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</si>
  <si>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</si>
  <si>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</si>
  <si>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</si>
  <si>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</si>
  <si>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</si>
  <si>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</si>
  <si>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</si>
  <si>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</si>
  <si>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</si>
  <si>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</si>
  <si>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</si>
  <si>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</si>
  <si>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</si>
  <si>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</si>
  <si>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</si>
  <si>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</si>
  <si>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</si>
  <si>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</si>
  <si>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</si>
  <si>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</si>
  <si>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</si>
  <si>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</si>
  <si>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</si>
  <si>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</si>
  <si>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</si>
  <si>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</si>
  <si>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</si>
  <si>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</si>
  <si>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</si>
  <si>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</si>
  <si>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</si>
  <si>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</si>
  <si>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</si>
  <si>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</si>
  <si>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</si>
  <si>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</si>
  <si>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</si>
  <si>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</si>
  <si>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</si>
  <si>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</si>
  <si>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</si>
  <si>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</si>
  <si>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</si>
  <si>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</si>
  <si>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</si>
  <si>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</si>
  <si>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</si>
  <si>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</si>
  <si>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</si>
  <si>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</si>
  <si>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</si>
  <si>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</si>
  <si>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</si>
  <si>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</si>
  <si>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</si>
  <si>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</si>
  <si>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Alcalde</t>
  </si>
  <si>
    <t>Zunoticia</t>
  </si>
  <si>
    <t>Sipdus</t>
  </si>
  <si>
    <t>Aumento Tarifa De Transporte</t>
  </si>
  <si>
    <t>INAH</t>
  </si>
  <si>
    <t>Criterio</t>
  </si>
  <si>
    <t>Temas internacionales</t>
  </si>
  <si>
    <t>Effetá</t>
  </si>
  <si>
    <t>Editorial</t>
  </si>
  <si>
    <t>Presa Endhó</t>
  </si>
  <si>
    <t>El Universal Hidalgo</t>
  </si>
  <si>
    <t>Zona Arqueológica</t>
  </si>
  <si>
    <t>Salud</t>
  </si>
  <si>
    <t>Síntesis</t>
  </si>
  <si>
    <t>Ruta de la Transformación</t>
  </si>
  <si>
    <t>Abusos taxistas</t>
  </si>
  <si>
    <t>Luminarias</t>
  </si>
  <si>
    <t>Notarías</t>
  </si>
  <si>
    <t>Marfeca</t>
  </si>
  <si>
    <t>Plaza Juárez</t>
  </si>
  <si>
    <t>Suman cuatro golpes de calor</t>
  </si>
  <si>
    <t>Golpe de calor</t>
  </si>
  <si>
    <t>Tuzas toman ventaja ante Monterrey</t>
  </si>
  <si>
    <t>Rodo Balderas es la voz de MrBeast</t>
  </si>
  <si>
    <t>Temas varios</t>
  </si>
  <si>
    <t>Retomarán fumigación y trituración de lirio</t>
  </si>
  <si>
    <t>Pemex</t>
  </si>
  <si>
    <t>Pide diputado mejorar calidad en transporte</t>
  </si>
  <si>
    <t>GLMorena</t>
  </si>
  <si>
    <t>Un grupo de jóvenes viajaron a otra dimensión del Reloj Monumental</t>
  </si>
  <si>
    <t>Reloj De Pachuca</t>
  </si>
  <si>
    <t>Comienza nueva etapa de las Rutas de la Transformación</t>
  </si>
  <si>
    <t>A FESTEJAR A LAS MAMÁS</t>
  </si>
  <si>
    <t>Día de las madres</t>
  </si>
  <si>
    <t>Planean un teleférico</t>
  </si>
  <si>
    <t>Teleférico</t>
  </si>
  <si>
    <t>INSTALARÁ PACHUCA MÁS DE 250 CÁMARAS DE VIGILANCIA</t>
  </si>
  <si>
    <t>Policía municipal</t>
  </si>
  <si>
    <t>Videovigilancia</t>
  </si>
  <si>
    <t>Mejor transporte y trato digno: diputado</t>
  </si>
  <si>
    <t>TUZAS DAN EL PRIMER GOLPE</t>
  </si>
  <si>
    <t>APUESTAN  POR ATACAR</t>
  </si>
  <si>
    <t>EL GASTO ANUAL EN TRANSPORTE SERÍA HASTA DE $14 MIL</t>
  </si>
  <si>
    <t>PARA YA COBRAR, EL TARIFARIO LES COSTARÁ $144 A CONCESIONARIOS</t>
  </si>
  <si>
    <t>Reabren espacio cerca de glorieta Miguel Hidalgo</t>
  </si>
  <si>
    <t>Glorieta 24 Horas</t>
  </si>
  <si>
    <t>Justifica líder de Morena el incremento en el pasaje</t>
  </si>
  <si>
    <t>Proyectan un teleférico en zonas para el turismo local</t>
  </si>
  <si>
    <t>PGJEH abre 29 carpetas de investigación contra notarios de la entidad</t>
  </si>
  <si>
    <t>Fedatarios superan los requeridos por la ley</t>
  </si>
  <si>
    <t>Los taxis en el estado no brindan certeza en tarifa</t>
  </si>
  <si>
    <t>STCH</t>
  </si>
  <si>
    <t>Huapalcalco resplandecerá nuevamente</t>
  </si>
  <si>
    <t>Con resultados prueba México su guerra a los cárteles: Claudia</t>
  </si>
  <si>
    <t>Combate a la delincuencia</t>
  </si>
  <si>
    <t>Sinha tiene duds de la idea a qué juega el equipo</t>
  </si>
  <si>
    <t>Rubio visita al papa... y castiga a Cuba</t>
  </si>
  <si>
    <t>Energía invierte 140 mil mdp a su modernización</t>
  </si>
  <si>
    <t>CFE</t>
  </si>
  <si>
    <t>Gasoducto</t>
  </si>
  <si>
    <t>Exploran la mejor forma de aprovechar el litio</t>
  </si>
  <si>
    <t>Cambios en Glorieta 24 Horas generan opiniones divididas</t>
  </si>
  <si>
    <t>Ciclo escolar concluirá el 5 de junio</t>
  </si>
  <si>
    <t>Modificación ciclo escolar</t>
  </si>
  <si>
    <t>Luminarias en Casa Rule depende de SIPDUS: Reyes</t>
  </si>
  <si>
    <t>Federación anuncia nueva central eléctrica y expansión de gasoductos</t>
  </si>
  <si>
    <t>Incendio en Feria de Tabasco deja 5 muertos</t>
  </si>
  <si>
    <t>El futuro es previsible: el transporte colectivo seguirá igual, no habrá cambios porque ni siquiera hay un  plan para mejorarlo. El viejo modelo de transporte concesionado tiene larga vida por delante”.</t>
  </si>
  <si>
    <t>Retoma Menchaca Rutas de la Transformación en la Huasteca</t>
  </si>
  <si>
    <t>Retirarán luminarias colocadas frente a Casa Rule tras observaciones del INAH</t>
  </si>
  <si>
    <t>Pemex destinará maquinaria y combustible para limpieza de la presa Endhó</t>
  </si>
  <si>
    <t>Encuentran a persona sin vida cerca de Central de Abasto</t>
  </si>
  <si>
    <t>Localización de cuerpo</t>
  </si>
  <si>
    <t>"La transformación se hace aquí, en las comunidades": Menchaca</t>
  </si>
  <si>
    <t>Ya se están tardando en renunciar</t>
  </si>
  <si>
    <t>Adelantan cierre de ciclo escolar</t>
  </si>
  <si>
    <t>Reglamentos reordenan a comerciantes en los cantores</t>
  </si>
  <si>
    <t>Actualización de reglamentos</t>
  </si>
  <si>
    <t>No trabajamos con ningún grupo político: Titular de Saderh</t>
  </si>
  <si>
    <t>Supervisión de programas</t>
  </si>
  <si>
    <t>Por onda de calor reducen el precio de flore de la región</t>
  </si>
  <si>
    <t>Ola de calor</t>
  </si>
  <si>
    <t>"La transformación se hace aquí, en las comunidades"</t>
  </si>
  <si>
    <t>El Verde: competir sin depender</t>
  </si>
  <si>
    <t>Alianzas Electorales</t>
  </si>
  <si>
    <t>Sheinbaum: dos lecturas políticas</t>
  </si>
  <si>
    <t>Retiran luminarias</t>
  </si>
  <si>
    <t>Van por nuevas reglas para combis</t>
  </si>
  <si>
    <t>Hidalgo, parte del plan nacional de gasoductos y energía</t>
  </si>
  <si>
    <t>SEP adelanta fin del ciclo escolar por el mundial</t>
  </si>
  <si>
    <t>Detienen a adolescentes por intento de ejecución</t>
  </si>
  <si>
    <t>Detención</t>
  </si>
  <si>
    <t>Adelantan cierre del ciclo, será el 5 de junio</t>
  </si>
  <si>
    <t>Cintillo</t>
  </si>
  <si>
    <t>Claudia Sandoval a un paso de actualización del Bando de Policía y Gobierno en Atitalaquia después de 15 años</t>
  </si>
  <si>
    <t>Yocelyn Tovar encabeza arranque de obra en Vito</t>
  </si>
  <si>
    <t>Ejecución de obras</t>
  </si>
  <si>
    <t>Menchaca reafirma compromiso con el campo hidalguense en Atlapexco</t>
  </si>
  <si>
    <t>En Tlanalapa, Mesas de Acercamiento</t>
  </si>
  <si>
    <t>Mesas de Acercamiento</t>
  </si>
  <si>
    <t>En Tula fortalecen la cultura de la legalidad con programa Ciudad POlicía</t>
  </si>
  <si>
    <t>Prevención del delito</t>
  </si>
  <si>
    <t>Seguridad y coordinación para fortalecer la tranquilidad en Tlahuelilpan</t>
  </si>
  <si>
    <t>"La transformación se hace aquí, en las comunidades", reitera Menchaca desde Yahualica</t>
  </si>
  <si>
    <t>Transportistas deberán mejorar unidades de inmediato tras aumento a tarifas: Menchaca</t>
  </si>
  <si>
    <t>Pachuca Brilla</t>
  </si>
  <si>
    <t>SEP adelanta cierre de ciclo escolar al 5 de junio por altas temperaturas y Mundial</t>
  </si>
  <si>
    <t>Tuzas se llevan la ventaja</t>
  </si>
  <si>
    <t>Transporte público comienza a portar nuevo tarifario en unidades</t>
  </si>
  <si>
    <t>"La Transformación se hace aquí, en las comunidades", reitera Menchaca desde Yahualica</t>
  </si>
  <si>
    <t>Hoy, Amanda Miguel llega para celebrar a mamás de Pachuca</t>
  </si>
  <si>
    <t>Día de la madre</t>
  </si>
  <si>
    <t>Drones</t>
  </si>
  <si>
    <t>Publicidad</t>
  </si>
  <si>
    <t>Gregjosh</t>
  </si>
  <si>
    <t>Publicidad comercial</t>
  </si>
  <si>
    <t>Adelantarán el fin del ciclo escolar para el 5 de junio</t>
  </si>
  <si>
    <t>Piden a EEUU pruebas tras su acusación de narcotráfico</t>
  </si>
  <si>
    <t>Simplemente no son razones válidas, ni el calor ni el Mundial de futbol, para el alargamiento de vacaciones. Los afectados directamente son los alumnos que quedarán sin clases y los padres que trabajan...</t>
  </si>
  <si>
    <t>Yahualica ha recibido una inversión de 271 mdp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</si>
</sst>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2" totalsRowShown="0" headerRowDxfId="5" headerRowBorderDxfId="4">
  <autoFilter ref="A1:J72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2"/>
  <sheetViews>
    <sheetView tabSelected="1" workbookViewId="0">
      <selection activeCell="A72" sqref="A2:A72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35">
      <c r="A2" s="5">
        <v>46150</v>
      </c>
      <c r="B2" t="s">
        <v>69</v>
      </c>
      <c r="C2" s="6" t="s">
        <v>93</v>
      </c>
      <c r="D2" t="s">
        <v>12</v>
      </c>
      <c r="E2" t="s">
        <v>14</v>
      </c>
      <c r="F2" t="s">
        <v>85</v>
      </c>
      <c r="G2" t="s">
        <v>94</v>
      </c>
      <c r="H2" t="s">
        <v>11</v>
      </c>
      <c r="I2" t="str">
        <f>_xlfn.XLOOKUP(Tabla1[[#This Row],[Dependencia]],Tabla2[Dependencia],Tabla2[Clasificación],"No indexado")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46150</v>
      </c>
      <c r="B3" t="s">
        <v>69</v>
      </c>
      <c r="C3" s="6" t="s">
        <v>95</v>
      </c>
      <c r="D3" t="s">
        <v>9</v>
      </c>
      <c r="E3" t="s">
        <v>10</v>
      </c>
      <c r="F3" t="s">
        <v>10</v>
      </c>
      <c r="G3" t="s">
        <v>71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46150</v>
      </c>
      <c r="B4" t="s">
        <v>69</v>
      </c>
      <c r="C4" s="6" t="s">
        <v>96</v>
      </c>
      <c r="D4" t="s">
        <v>12</v>
      </c>
      <c r="E4" t="s">
        <v>10</v>
      </c>
      <c r="F4" t="s">
        <v>10</v>
      </c>
      <c r="G4" t="s">
        <v>97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46150</v>
      </c>
      <c r="B5" t="s">
        <v>69</v>
      </c>
      <c r="C5" s="6" t="s">
        <v>98</v>
      </c>
      <c r="D5" t="s">
        <v>13</v>
      </c>
      <c r="E5" t="s">
        <v>14</v>
      </c>
      <c r="F5" t="s">
        <v>99</v>
      </c>
      <c r="G5" t="s">
        <v>82</v>
      </c>
      <c r="H5" t="s">
        <v>11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46150</v>
      </c>
      <c r="B6" t="s">
        <v>69</v>
      </c>
      <c r="C6" s="6" t="s">
        <v>100</v>
      </c>
      <c r="D6" t="s">
        <v>12</v>
      </c>
      <c r="E6" t="s">
        <v>34</v>
      </c>
      <c r="F6" t="s">
        <v>101</v>
      </c>
      <c r="G6" t="s">
        <v>76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ht="29" x14ac:dyDescent="0.35">
      <c r="A7" s="5">
        <v>46150</v>
      </c>
      <c r="B7" t="s">
        <v>69</v>
      </c>
      <c r="C7" s="6" t="s">
        <v>102</v>
      </c>
      <c r="D7" t="s">
        <v>12</v>
      </c>
      <c r="E7" t="s">
        <v>10</v>
      </c>
      <c r="F7" t="s">
        <v>10</v>
      </c>
      <c r="G7" t="s">
        <v>103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46150</v>
      </c>
      <c r="B8" t="s">
        <v>83</v>
      </c>
      <c r="C8" s="6" t="s">
        <v>104</v>
      </c>
      <c r="D8" t="s">
        <v>13</v>
      </c>
      <c r="E8" t="s">
        <v>24</v>
      </c>
      <c r="F8" t="s">
        <v>24</v>
      </c>
      <c r="G8" t="s">
        <v>87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35">
      <c r="A9" s="5">
        <v>46150</v>
      </c>
      <c r="B9" t="s">
        <v>83</v>
      </c>
      <c r="C9" s="6" t="s">
        <v>105</v>
      </c>
      <c r="D9" t="s">
        <v>9</v>
      </c>
      <c r="E9" t="s">
        <v>10</v>
      </c>
      <c r="F9" t="s">
        <v>10</v>
      </c>
      <c r="G9" t="s">
        <v>106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46150</v>
      </c>
      <c r="B10" t="s">
        <v>83</v>
      </c>
      <c r="C10" s="6" t="s">
        <v>107</v>
      </c>
      <c r="D10" t="s">
        <v>12</v>
      </c>
      <c r="E10" t="s">
        <v>29</v>
      </c>
      <c r="F10" t="s">
        <v>29</v>
      </c>
      <c r="G10" t="s">
        <v>108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5">
        <v>46150</v>
      </c>
      <c r="B11" t="s">
        <v>83</v>
      </c>
      <c r="C11" s="6" t="s">
        <v>109</v>
      </c>
      <c r="D11" t="s">
        <v>12</v>
      </c>
      <c r="E11" t="s">
        <v>16</v>
      </c>
      <c r="F11" t="s">
        <v>110</v>
      </c>
      <c r="G11" t="s">
        <v>111</v>
      </c>
      <c r="H11" t="s">
        <v>11</v>
      </c>
      <c r="I11" t="str">
        <f>_xlfn.XLOOKUP(Tabla1[[#This Row],[Dependencia]],Tabla2[Dependencia],Tabla2[Clasificación],"No indexado")</f>
        <v>Alcaldías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46150</v>
      </c>
      <c r="B12" t="s">
        <v>83</v>
      </c>
      <c r="C12" s="6" t="s">
        <v>112</v>
      </c>
      <c r="D12" t="s">
        <v>12</v>
      </c>
      <c r="E12" t="s">
        <v>34</v>
      </c>
      <c r="F12" t="s">
        <v>101</v>
      </c>
      <c r="G12" t="s">
        <v>76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46150</v>
      </c>
      <c r="B13" t="s">
        <v>78</v>
      </c>
      <c r="C13" s="6" t="s">
        <v>113</v>
      </c>
      <c r="D13" t="s">
        <v>12</v>
      </c>
      <c r="E13" t="s">
        <v>10</v>
      </c>
      <c r="F13" t="s">
        <v>10</v>
      </c>
      <c r="G13" t="s">
        <v>71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46150</v>
      </c>
      <c r="B14" t="s">
        <v>78</v>
      </c>
      <c r="C14" s="6" t="s">
        <v>114</v>
      </c>
      <c r="D14" t="s">
        <v>12</v>
      </c>
      <c r="E14" t="s">
        <v>10</v>
      </c>
      <c r="F14" t="s">
        <v>10</v>
      </c>
      <c r="G14" t="s">
        <v>71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46150</v>
      </c>
      <c r="B15" t="s">
        <v>78</v>
      </c>
      <c r="C15" s="6" t="s">
        <v>115</v>
      </c>
      <c r="D15" t="s">
        <v>13</v>
      </c>
      <c r="E15" t="s">
        <v>27</v>
      </c>
      <c r="F15" t="s">
        <v>27</v>
      </c>
      <c r="G15" t="s">
        <v>76</v>
      </c>
      <c r="H15" t="s">
        <v>72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ht="29" x14ac:dyDescent="0.35">
      <c r="A16" s="5">
        <v>46150</v>
      </c>
      <c r="B16" t="s">
        <v>78</v>
      </c>
      <c r="C16" s="6" t="s">
        <v>116</v>
      </c>
      <c r="D16" t="s">
        <v>12</v>
      </c>
      <c r="E16" t="s">
        <v>27</v>
      </c>
      <c r="F16" t="s">
        <v>27</v>
      </c>
      <c r="G16" t="s">
        <v>76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46150</v>
      </c>
      <c r="B17" t="s">
        <v>78</v>
      </c>
      <c r="C17" s="6" t="s">
        <v>117</v>
      </c>
      <c r="D17" t="s">
        <v>9</v>
      </c>
      <c r="E17" t="s">
        <v>75</v>
      </c>
      <c r="F17" t="s">
        <v>75</v>
      </c>
      <c r="G17" t="s">
        <v>118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5">
        <v>46150</v>
      </c>
      <c r="B18" t="s">
        <v>78</v>
      </c>
      <c r="C18" s="6" t="s">
        <v>119</v>
      </c>
      <c r="D18" t="s">
        <v>12</v>
      </c>
      <c r="E18" t="s">
        <v>18</v>
      </c>
      <c r="F18" t="s">
        <v>2</v>
      </c>
      <c r="G18" t="s">
        <v>76</v>
      </c>
      <c r="H18" t="s">
        <v>11</v>
      </c>
      <c r="I18" t="str">
        <f>_xlfn.XLOOKUP(Tabla1[[#This Row],[Dependencia]],Tabla2[Dependencia],Tabla2[Clasificación],"No indexado")</f>
        <v>Partidos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46150</v>
      </c>
      <c r="B19" t="s">
        <v>78</v>
      </c>
      <c r="C19" s="6" t="s">
        <v>120</v>
      </c>
      <c r="D19" t="s">
        <v>12</v>
      </c>
      <c r="E19" t="s">
        <v>29</v>
      </c>
      <c r="F19" t="s">
        <v>29</v>
      </c>
      <c r="G19" t="s">
        <v>108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ht="29" x14ac:dyDescent="0.35">
      <c r="A20" s="5">
        <v>46150</v>
      </c>
      <c r="B20" t="s">
        <v>68</v>
      </c>
      <c r="C20" s="6" t="s">
        <v>121</v>
      </c>
      <c r="D20" t="s">
        <v>13</v>
      </c>
      <c r="E20" t="s">
        <v>17</v>
      </c>
      <c r="F20" t="s">
        <v>17</v>
      </c>
      <c r="G20" t="s">
        <v>90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5">
        <v>46150</v>
      </c>
      <c r="B21" t="s">
        <v>68</v>
      </c>
      <c r="C21" s="6" t="s">
        <v>122</v>
      </c>
      <c r="D21" t="s">
        <v>12</v>
      </c>
      <c r="E21" t="s">
        <v>17</v>
      </c>
      <c r="F21" t="s">
        <v>17</v>
      </c>
      <c r="G21" t="s">
        <v>90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5">
        <v>46150</v>
      </c>
      <c r="B22" t="s">
        <v>68</v>
      </c>
      <c r="C22" s="6" t="s">
        <v>123</v>
      </c>
      <c r="D22" t="s">
        <v>12</v>
      </c>
      <c r="E22" t="s">
        <v>27</v>
      </c>
      <c r="F22" t="s">
        <v>124</v>
      </c>
      <c r="G22" t="s">
        <v>88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46150</v>
      </c>
      <c r="B23" t="s">
        <v>68</v>
      </c>
      <c r="C23" s="6" t="s">
        <v>125</v>
      </c>
      <c r="D23" t="s">
        <v>12</v>
      </c>
      <c r="E23" t="s">
        <v>14</v>
      </c>
      <c r="F23" t="s">
        <v>77</v>
      </c>
      <c r="G23" t="s">
        <v>84</v>
      </c>
      <c r="H23" t="s">
        <v>70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ht="29" x14ac:dyDescent="0.35">
      <c r="A24" s="5">
        <v>46150</v>
      </c>
      <c r="B24" t="s">
        <v>68</v>
      </c>
      <c r="C24" s="6" t="s">
        <v>126</v>
      </c>
      <c r="D24" t="s">
        <v>12</v>
      </c>
      <c r="E24" t="s">
        <v>14</v>
      </c>
      <c r="F24" t="s">
        <v>14</v>
      </c>
      <c r="G24" t="s">
        <v>127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46150</v>
      </c>
      <c r="B25" t="s">
        <v>68</v>
      </c>
      <c r="C25" s="6" t="s">
        <v>128</v>
      </c>
      <c r="D25" t="s">
        <v>12</v>
      </c>
      <c r="E25" t="s">
        <v>10</v>
      </c>
      <c r="F25" t="s">
        <v>10</v>
      </c>
      <c r="G25" t="s">
        <v>71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46150</v>
      </c>
      <c r="B26" t="s">
        <v>68</v>
      </c>
      <c r="C26" s="6" t="s">
        <v>129</v>
      </c>
      <c r="D26" t="s">
        <v>9</v>
      </c>
      <c r="E26" t="s">
        <v>10</v>
      </c>
      <c r="F26" t="s">
        <v>10</v>
      </c>
      <c r="G26" t="s">
        <v>79</v>
      </c>
      <c r="H26" t="s">
        <v>72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46150</v>
      </c>
      <c r="B27" t="s">
        <v>68</v>
      </c>
      <c r="C27" s="6" t="s">
        <v>130</v>
      </c>
      <c r="D27" t="s">
        <v>12</v>
      </c>
      <c r="E27" t="s">
        <v>14</v>
      </c>
      <c r="F27" t="s">
        <v>131</v>
      </c>
      <c r="G27" t="s">
        <v>132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46150</v>
      </c>
      <c r="B28" t="s">
        <v>68</v>
      </c>
      <c r="C28" s="6" t="s">
        <v>133</v>
      </c>
      <c r="D28" t="s">
        <v>12</v>
      </c>
      <c r="E28" t="s">
        <v>14</v>
      </c>
      <c r="F28" t="s">
        <v>14</v>
      </c>
      <c r="G28" t="s">
        <v>97</v>
      </c>
      <c r="H28" t="s">
        <v>11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46150</v>
      </c>
      <c r="B29" t="s">
        <v>68</v>
      </c>
      <c r="C29" s="6" t="s">
        <v>134</v>
      </c>
      <c r="D29" t="s">
        <v>9</v>
      </c>
      <c r="E29" t="s">
        <v>75</v>
      </c>
      <c r="F29" t="s">
        <v>75</v>
      </c>
      <c r="G29" t="s">
        <v>118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35">
      <c r="A30" s="5">
        <v>46150</v>
      </c>
      <c r="B30" t="s">
        <v>68</v>
      </c>
      <c r="C30" s="6" t="s">
        <v>135</v>
      </c>
      <c r="D30" t="s">
        <v>12</v>
      </c>
      <c r="E30" t="s">
        <v>26</v>
      </c>
      <c r="F30" t="s">
        <v>26</v>
      </c>
      <c r="G30" t="s">
        <v>136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35">
      <c r="A31" s="5">
        <v>46150</v>
      </c>
      <c r="B31" t="s">
        <v>68</v>
      </c>
      <c r="C31" s="6" t="s">
        <v>137</v>
      </c>
      <c r="D31" t="s">
        <v>12</v>
      </c>
      <c r="E31" t="s">
        <v>75</v>
      </c>
      <c r="F31" t="s">
        <v>75</v>
      </c>
      <c r="G31" t="s">
        <v>89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29" x14ac:dyDescent="0.35">
      <c r="A32" s="5">
        <v>46150</v>
      </c>
      <c r="B32" t="s">
        <v>68</v>
      </c>
      <c r="C32" s="6" t="s">
        <v>138</v>
      </c>
      <c r="D32" t="s">
        <v>13</v>
      </c>
      <c r="E32" t="s">
        <v>14</v>
      </c>
      <c r="F32" t="s">
        <v>131</v>
      </c>
      <c r="G32" t="s">
        <v>132</v>
      </c>
      <c r="H32" t="s">
        <v>11</v>
      </c>
      <c r="I32" t="str">
        <f>_xlfn.XLOOKUP(Tabla1[[#This Row],[Dependencia]],Tabla2[Dependencia],Tabla2[Clasificación],"No indexado")</f>
        <v>Presidencia de la República</v>
      </c>
      <c r="J32" t="str">
        <f>_xlfn.XLOOKUP(Tabla1[[#This Row],[Dependencia]],Tabla3[Dependencia],Tabla3[Nivel],"otros",0)</f>
        <v>otros</v>
      </c>
    </row>
    <row r="33" spans="1:10" x14ac:dyDescent="0.35">
      <c r="A33" s="5">
        <v>46150</v>
      </c>
      <c r="B33" t="s">
        <v>68</v>
      </c>
      <c r="C33" s="6" t="s">
        <v>139</v>
      </c>
      <c r="D33" t="s">
        <v>12</v>
      </c>
      <c r="E33" t="s">
        <v>10</v>
      </c>
      <c r="F33" t="s">
        <v>10</v>
      </c>
      <c r="G33" t="s">
        <v>97</v>
      </c>
      <c r="H33" t="s">
        <v>72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58" x14ac:dyDescent="0.35">
      <c r="A34" s="5">
        <v>46150</v>
      </c>
      <c r="B34" t="s">
        <v>68</v>
      </c>
      <c r="C34" s="6" t="s">
        <v>140</v>
      </c>
      <c r="D34" t="s">
        <v>12</v>
      </c>
      <c r="E34" t="s">
        <v>27</v>
      </c>
      <c r="F34" t="s">
        <v>27</v>
      </c>
      <c r="G34" t="s">
        <v>76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29" x14ac:dyDescent="0.35">
      <c r="A35" s="5">
        <v>46150</v>
      </c>
      <c r="B35" t="s">
        <v>86</v>
      </c>
      <c r="C35" s="6" t="s">
        <v>141</v>
      </c>
      <c r="D35" t="s">
        <v>13</v>
      </c>
      <c r="E35" t="s">
        <v>24</v>
      </c>
      <c r="F35" t="s">
        <v>24</v>
      </c>
      <c r="G35" t="s">
        <v>87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Gobernador</v>
      </c>
    </row>
    <row r="36" spans="1:10" ht="29" x14ac:dyDescent="0.35">
      <c r="A36" s="5">
        <v>46150</v>
      </c>
      <c r="B36" t="s">
        <v>86</v>
      </c>
      <c r="C36" s="6" t="s">
        <v>142</v>
      </c>
      <c r="D36" t="s">
        <v>12</v>
      </c>
      <c r="E36" t="s">
        <v>75</v>
      </c>
      <c r="F36" t="s">
        <v>75</v>
      </c>
      <c r="G36" t="s">
        <v>89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29" x14ac:dyDescent="0.35">
      <c r="A37" s="5">
        <v>46150</v>
      </c>
      <c r="B37" t="s">
        <v>86</v>
      </c>
      <c r="C37" s="6" t="s">
        <v>143</v>
      </c>
      <c r="D37" t="s">
        <v>12</v>
      </c>
      <c r="E37" t="s">
        <v>14</v>
      </c>
      <c r="F37" t="s">
        <v>99</v>
      </c>
      <c r="G37" t="s">
        <v>82</v>
      </c>
      <c r="H37" t="s">
        <v>11</v>
      </c>
      <c r="I37" t="str">
        <f>_xlfn.XLOOKUP(Tabla1[[#This Row],[Dependencia]],Tabla2[Dependencia],Tabla2[Clasificación],"No indexado")</f>
        <v>Presidencia de la República</v>
      </c>
      <c r="J37" t="str">
        <f>_xlfn.XLOOKUP(Tabla1[[#This Row],[Dependencia]],Tabla3[Dependencia],Tabla3[Nivel],"otros",0)</f>
        <v>otros</v>
      </c>
    </row>
    <row r="38" spans="1:10" x14ac:dyDescent="0.35">
      <c r="A38" s="5">
        <v>46150</v>
      </c>
      <c r="B38" t="s">
        <v>86</v>
      </c>
      <c r="C38" s="6" t="s">
        <v>144</v>
      </c>
      <c r="D38" t="s">
        <v>12</v>
      </c>
      <c r="E38" t="s">
        <v>16</v>
      </c>
      <c r="F38" t="s">
        <v>110</v>
      </c>
      <c r="G38" t="s">
        <v>145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ht="29" x14ac:dyDescent="0.35">
      <c r="A39" s="5">
        <v>46150</v>
      </c>
      <c r="B39" t="s">
        <v>74</v>
      </c>
      <c r="C39" s="6" t="s">
        <v>146</v>
      </c>
      <c r="D39" t="s">
        <v>13</v>
      </c>
      <c r="E39" t="s">
        <v>24</v>
      </c>
      <c r="F39" t="s">
        <v>24</v>
      </c>
      <c r="G39" t="s">
        <v>87</v>
      </c>
      <c r="H39" t="s">
        <v>70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Gobernador</v>
      </c>
    </row>
    <row r="40" spans="1:10" x14ac:dyDescent="0.35">
      <c r="A40" s="5">
        <v>46150</v>
      </c>
      <c r="B40" t="s">
        <v>74</v>
      </c>
      <c r="C40" s="6" t="s">
        <v>147</v>
      </c>
      <c r="D40" t="s">
        <v>12</v>
      </c>
      <c r="E40" t="s">
        <v>24</v>
      </c>
      <c r="F40" t="s">
        <v>24</v>
      </c>
      <c r="G40" t="s">
        <v>62</v>
      </c>
      <c r="H40" t="s">
        <v>70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Gobernador</v>
      </c>
    </row>
    <row r="41" spans="1:10" x14ac:dyDescent="0.35">
      <c r="A41" s="5">
        <v>46150</v>
      </c>
      <c r="B41" t="s">
        <v>74</v>
      </c>
      <c r="C41" s="6" t="s">
        <v>148</v>
      </c>
      <c r="D41" t="s">
        <v>12</v>
      </c>
      <c r="E41" t="s">
        <v>26</v>
      </c>
      <c r="F41" t="s">
        <v>26</v>
      </c>
      <c r="G41" t="s">
        <v>136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35">
      <c r="A42" s="5">
        <v>46150</v>
      </c>
      <c r="B42" t="s">
        <v>74</v>
      </c>
      <c r="C42" s="6" t="s">
        <v>149</v>
      </c>
      <c r="D42" t="s">
        <v>12</v>
      </c>
      <c r="E42" t="s">
        <v>16</v>
      </c>
      <c r="F42" t="s">
        <v>16</v>
      </c>
      <c r="G42" t="s">
        <v>150</v>
      </c>
      <c r="H42" t="s">
        <v>11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46150</v>
      </c>
      <c r="B43" t="s">
        <v>74</v>
      </c>
      <c r="C43" s="6" t="s">
        <v>151</v>
      </c>
      <c r="D43" t="s">
        <v>12</v>
      </c>
      <c r="E43" t="s">
        <v>54</v>
      </c>
      <c r="F43" t="s">
        <v>2</v>
      </c>
      <c r="G43" t="s">
        <v>152</v>
      </c>
      <c r="H43" t="s">
        <v>70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35">
      <c r="A44" s="5">
        <v>46150</v>
      </c>
      <c r="B44" t="s">
        <v>74</v>
      </c>
      <c r="C44" s="6" t="s">
        <v>153</v>
      </c>
      <c r="D44" t="s">
        <v>12</v>
      </c>
      <c r="E44" t="s">
        <v>10</v>
      </c>
      <c r="F44" t="s">
        <v>10</v>
      </c>
      <c r="G44" t="s">
        <v>154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46150</v>
      </c>
      <c r="B45" t="s">
        <v>80</v>
      </c>
      <c r="C45" s="6" t="s">
        <v>155</v>
      </c>
      <c r="D45" t="s">
        <v>13</v>
      </c>
      <c r="E45" t="s">
        <v>24</v>
      </c>
      <c r="F45" t="s">
        <v>24</v>
      </c>
      <c r="G45" t="s">
        <v>87</v>
      </c>
      <c r="H45" t="s">
        <v>70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Gobernador</v>
      </c>
    </row>
    <row r="46" spans="1:10" x14ac:dyDescent="0.35">
      <c r="A46" s="5">
        <v>46150</v>
      </c>
      <c r="B46" t="s">
        <v>80</v>
      </c>
      <c r="C46" s="6" t="s">
        <v>156</v>
      </c>
      <c r="D46" t="s">
        <v>81</v>
      </c>
      <c r="E46" t="s">
        <v>53</v>
      </c>
      <c r="F46" t="s">
        <v>53</v>
      </c>
      <c r="G46" t="s">
        <v>157</v>
      </c>
      <c r="H46" t="s">
        <v>11</v>
      </c>
      <c r="I46" t="str">
        <f>_xlfn.XLOOKUP(Tabla1[[#This Row],[Dependencia]],Tabla2[Dependencia],Tabla2[Clasificación],"No indexado")</f>
        <v>Partidos</v>
      </c>
      <c r="J46" t="str">
        <f>_xlfn.XLOOKUP(Tabla1[[#This Row],[Dependencia]],Tabla3[Dependencia],Tabla3[Nivel],"otros",0)</f>
        <v>otros</v>
      </c>
    </row>
    <row r="47" spans="1:10" x14ac:dyDescent="0.35">
      <c r="A47" s="5">
        <v>46150</v>
      </c>
      <c r="B47" t="s">
        <v>80</v>
      </c>
      <c r="C47" s="6" t="s">
        <v>158</v>
      </c>
      <c r="D47" t="s">
        <v>81</v>
      </c>
      <c r="E47" t="s">
        <v>14</v>
      </c>
      <c r="F47" t="s">
        <v>14</v>
      </c>
      <c r="G47" t="s">
        <v>97</v>
      </c>
      <c r="H47" t="s">
        <v>11</v>
      </c>
      <c r="I47" t="str">
        <f>_xlfn.XLOOKUP(Tabla1[[#This Row],[Dependencia]],Tabla2[Dependencia],Tabla2[Clasificación],"No indexado")</f>
        <v>Presidencia de la República</v>
      </c>
      <c r="J47" t="str">
        <f>_xlfn.XLOOKUP(Tabla1[[#This Row],[Dependencia]],Tabla3[Dependencia],Tabla3[Nivel],"otros",0)</f>
        <v>otros</v>
      </c>
    </row>
    <row r="48" spans="1:10" x14ac:dyDescent="0.35">
      <c r="A48" s="5">
        <v>46150</v>
      </c>
      <c r="B48" t="s">
        <v>80</v>
      </c>
      <c r="C48" s="6" t="s">
        <v>159</v>
      </c>
      <c r="D48" t="s">
        <v>9</v>
      </c>
      <c r="E48" t="s">
        <v>75</v>
      </c>
      <c r="F48" t="s">
        <v>75</v>
      </c>
      <c r="G48" t="s">
        <v>89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35">
      <c r="A49" s="5">
        <v>46150</v>
      </c>
      <c r="B49" t="s">
        <v>80</v>
      </c>
      <c r="C49" s="6" t="s">
        <v>160</v>
      </c>
      <c r="D49" t="s">
        <v>12</v>
      </c>
      <c r="E49" t="s">
        <v>27</v>
      </c>
      <c r="F49" t="s">
        <v>124</v>
      </c>
      <c r="G49" t="s">
        <v>76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35">
      <c r="A50" s="5">
        <v>46150</v>
      </c>
      <c r="B50" t="s">
        <v>80</v>
      </c>
      <c r="C50" s="6" t="s">
        <v>161</v>
      </c>
      <c r="D50" t="s">
        <v>12</v>
      </c>
      <c r="E50" t="s">
        <v>14</v>
      </c>
      <c r="F50" t="s">
        <v>131</v>
      </c>
      <c r="G50" t="s">
        <v>132</v>
      </c>
      <c r="H50" t="s">
        <v>11</v>
      </c>
      <c r="I50" t="str">
        <f>_xlfn.XLOOKUP(Tabla1[[#This Row],[Dependencia]],Tabla2[Dependencia],Tabla2[Clasificación],"No indexado")</f>
        <v>Presidencia de la República</v>
      </c>
      <c r="J50" t="str">
        <f>_xlfn.XLOOKUP(Tabla1[[#This Row],[Dependencia]],Tabla3[Dependencia],Tabla3[Nivel],"otros",0)</f>
        <v>otros</v>
      </c>
    </row>
    <row r="51" spans="1:10" x14ac:dyDescent="0.35">
      <c r="A51" s="5">
        <v>46150</v>
      </c>
      <c r="B51" t="s">
        <v>80</v>
      </c>
      <c r="C51" s="6" t="s">
        <v>162</v>
      </c>
      <c r="D51" t="s">
        <v>12</v>
      </c>
      <c r="E51" t="s">
        <v>14</v>
      </c>
      <c r="F51" t="s">
        <v>14</v>
      </c>
      <c r="G51" t="s">
        <v>136</v>
      </c>
      <c r="H51" t="s">
        <v>11</v>
      </c>
      <c r="I51" t="str">
        <f>_xlfn.XLOOKUP(Tabla1[[#This Row],[Dependencia]],Tabla2[Dependencia],Tabla2[Clasificación],"No indexado")</f>
        <v>Presidencia de la República</v>
      </c>
      <c r="J51" t="str">
        <f>_xlfn.XLOOKUP(Tabla1[[#This Row],[Dependencia]],Tabla3[Dependencia],Tabla3[Nivel],"otros",0)</f>
        <v>otros</v>
      </c>
    </row>
    <row r="52" spans="1:10" x14ac:dyDescent="0.35">
      <c r="A52" s="5">
        <v>46150</v>
      </c>
      <c r="B52" t="s">
        <v>80</v>
      </c>
      <c r="C52" s="6" t="s">
        <v>163</v>
      </c>
      <c r="D52" t="s">
        <v>12</v>
      </c>
      <c r="E52" t="s">
        <v>22</v>
      </c>
      <c r="F52" t="s">
        <v>22</v>
      </c>
      <c r="G52" t="s">
        <v>164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5">
        <v>46150</v>
      </c>
      <c r="B53" t="s">
        <v>91</v>
      </c>
      <c r="C53" s="6" t="s">
        <v>165</v>
      </c>
      <c r="D53" t="s">
        <v>166</v>
      </c>
      <c r="E53" t="s">
        <v>14</v>
      </c>
      <c r="F53" t="s">
        <v>14</v>
      </c>
      <c r="G53" t="s">
        <v>136</v>
      </c>
      <c r="H53" t="s">
        <v>11</v>
      </c>
      <c r="I53" t="str">
        <f>_xlfn.XLOOKUP(Tabla1[[#This Row],[Dependencia]],Tabla2[Dependencia],Tabla2[Clasificación],"No indexado")</f>
        <v>Presidencia de la República</v>
      </c>
      <c r="J53" t="str">
        <f>_xlfn.XLOOKUP(Tabla1[[#This Row],[Dependencia]],Tabla3[Dependencia],Tabla3[Nivel],"otros",0)</f>
        <v>otros</v>
      </c>
    </row>
    <row r="54" spans="1:10" ht="29" x14ac:dyDescent="0.35">
      <c r="A54" s="5">
        <v>46150</v>
      </c>
      <c r="B54" t="s">
        <v>91</v>
      </c>
      <c r="C54" s="6" t="s">
        <v>167</v>
      </c>
      <c r="D54" t="s">
        <v>12</v>
      </c>
      <c r="E54" t="s">
        <v>16</v>
      </c>
      <c r="F54" t="s">
        <v>73</v>
      </c>
      <c r="G54" t="s">
        <v>150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x14ac:dyDescent="0.35">
      <c r="A55" s="5">
        <v>46150</v>
      </c>
      <c r="B55" t="s">
        <v>91</v>
      </c>
      <c r="C55" s="6" t="s">
        <v>168</v>
      </c>
      <c r="D55" t="s">
        <v>12</v>
      </c>
      <c r="E55" t="s">
        <v>16</v>
      </c>
      <c r="F55" t="s">
        <v>73</v>
      </c>
      <c r="G55" t="s">
        <v>169</v>
      </c>
      <c r="H55" t="s">
        <v>11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  <row r="56" spans="1:10" ht="29" x14ac:dyDescent="0.35">
      <c r="A56" s="5">
        <v>46150</v>
      </c>
      <c r="B56" t="s">
        <v>91</v>
      </c>
      <c r="C56" s="6" t="s">
        <v>170</v>
      </c>
      <c r="D56" t="s">
        <v>13</v>
      </c>
      <c r="E56" t="s">
        <v>24</v>
      </c>
      <c r="F56" t="s">
        <v>24</v>
      </c>
      <c r="G56" t="s">
        <v>87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Gobernador</v>
      </c>
    </row>
    <row r="57" spans="1:10" x14ac:dyDescent="0.35">
      <c r="A57" s="5">
        <v>46150</v>
      </c>
      <c r="B57" t="s">
        <v>91</v>
      </c>
      <c r="C57" s="6" t="s">
        <v>171</v>
      </c>
      <c r="D57" t="s">
        <v>12</v>
      </c>
      <c r="E57" t="s">
        <v>23</v>
      </c>
      <c r="F57" t="s">
        <v>2</v>
      </c>
      <c r="G57" t="s">
        <v>172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ht="29" x14ac:dyDescent="0.35">
      <c r="A58" s="5">
        <v>46150</v>
      </c>
      <c r="B58" t="s">
        <v>91</v>
      </c>
      <c r="C58" s="6" t="s">
        <v>173</v>
      </c>
      <c r="D58" t="s">
        <v>12</v>
      </c>
      <c r="E58" t="s">
        <v>16</v>
      </c>
      <c r="F58" t="s">
        <v>16</v>
      </c>
      <c r="G58" t="s">
        <v>174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ht="29" x14ac:dyDescent="0.35">
      <c r="A59" s="5">
        <v>46150</v>
      </c>
      <c r="B59" t="s">
        <v>91</v>
      </c>
      <c r="C59" s="6" t="s">
        <v>175</v>
      </c>
      <c r="D59" t="s">
        <v>12</v>
      </c>
      <c r="E59" t="s">
        <v>16</v>
      </c>
      <c r="F59" t="s">
        <v>16</v>
      </c>
      <c r="G59" t="s">
        <v>150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ht="29" x14ac:dyDescent="0.35">
      <c r="A60" s="5">
        <v>46150</v>
      </c>
      <c r="B60" t="s">
        <v>91</v>
      </c>
      <c r="C60" s="6" t="s">
        <v>176</v>
      </c>
      <c r="D60" t="s">
        <v>12</v>
      </c>
      <c r="E60" t="s">
        <v>24</v>
      </c>
      <c r="F60" t="s">
        <v>24</v>
      </c>
      <c r="G60" t="s">
        <v>87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Gobernador</v>
      </c>
    </row>
    <row r="61" spans="1:10" ht="29" x14ac:dyDescent="0.35">
      <c r="A61" s="5">
        <v>46150</v>
      </c>
      <c r="B61" t="s">
        <v>91</v>
      </c>
      <c r="C61" s="6" t="s">
        <v>177</v>
      </c>
      <c r="D61" t="s">
        <v>12</v>
      </c>
      <c r="E61" t="s">
        <v>24</v>
      </c>
      <c r="F61" t="s">
        <v>24</v>
      </c>
      <c r="G61" t="s">
        <v>76</v>
      </c>
      <c r="H61" t="s">
        <v>70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Gobernador</v>
      </c>
    </row>
    <row r="62" spans="1:10" ht="29" x14ac:dyDescent="0.35">
      <c r="A62" s="5">
        <v>46150</v>
      </c>
      <c r="B62" t="s">
        <v>178</v>
      </c>
      <c r="C62" s="6" t="s">
        <v>179</v>
      </c>
      <c r="D62" t="s">
        <v>12</v>
      </c>
      <c r="E62" t="s">
        <v>14</v>
      </c>
      <c r="F62" t="s">
        <v>14</v>
      </c>
      <c r="G62" t="s">
        <v>136</v>
      </c>
      <c r="H62" t="s">
        <v>11</v>
      </c>
      <c r="I62" t="str">
        <f>_xlfn.XLOOKUP(Tabla1[[#This Row],[Dependencia]],Tabla2[Dependencia],Tabla2[Clasificación],"No indexado")</f>
        <v>Presidencia de la República</v>
      </c>
      <c r="J62" t="str">
        <f>_xlfn.XLOOKUP(Tabla1[[#This Row],[Dependencia]],Tabla3[Dependencia],Tabla3[Nivel],"otros",0)</f>
        <v>otros</v>
      </c>
    </row>
    <row r="63" spans="1:10" x14ac:dyDescent="0.35">
      <c r="A63" s="5">
        <v>46150</v>
      </c>
      <c r="B63" t="s">
        <v>178</v>
      </c>
      <c r="C63" s="6" t="s">
        <v>180</v>
      </c>
      <c r="D63" t="s">
        <v>12</v>
      </c>
      <c r="E63" t="s">
        <v>10</v>
      </c>
      <c r="F63" t="s">
        <v>10</v>
      </c>
      <c r="G63" t="s">
        <v>71</v>
      </c>
      <c r="H63" t="s">
        <v>11</v>
      </c>
      <c r="I63" t="str">
        <f>_xlfn.XLOOKUP(Tabla1[[#This Row],[Dependencia]],Tabla2[Dependencia],Tabla2[Clasificación],"No indexado")</f>
        <v>Otros</v>
      </c>
      <c r="J63" t="str">
        <f>_xlfn.XLOOKUP(Tabla1[[#This Row],[Dependencia]],Tabla3[Dependencia],Tabla3[Nivel],"otros",0)</f>
        <v>otros</v>
      </c>
    </row>
    <row r="64" spans="1:10" ht="29" x14ac:dyDescent="0.35">
      <c r="A64" s="5">
        <v>46150</v>
      </c>
      <c r="B64" t="s">
        <v>178</v>
      </c>
      <c r="C64" s="6" t="s">
        <v>181</v>
      </c>
      <c r="D64" t="s">
        <v>12</v>
      </c>
      <c r="E64" t="s">
        <v>27</v>
      </c>
      <c r="F64" t="s">
        <v>124</v>
      </c>
      <c r="G64" t="s">
        <v>76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ht="29" x14ac:dyDescent="0.35">
      <c r="A65" s="5">
        <v>46150</v>
      </c>
      <c r="B65" t="s">
        <v>178</v>
      </c>
      <c r="C65" s="6" t="s">
        <v>182</v>
      </c>
      <c r="D65" t="s">
        <v>12</v>
      </c>
      <c r="E65" t="s">
        <v>24</v>
      </c>
      <c r="F65" t="s">
        <v>24</v>
      </c>
      <c r="G65" t="s">
        <v>87</v>
      </c>
      <c r="H65" t="s">
        <v>70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Gobernador</v>
      </c>
    </row>
    <row r="66" spans="1:10" x14ac:dyDescent="0.35">
      <c r="A66" s="5">
        <v>46150</v>
      </c>
      <c r="B66" t="s">
        <v>178</v>
      </c>
      <c r="C66" s="6" t="s">
        <v>183</v>
      </c>
      <c r="D66" t="s">
        <v>12</v>
      </c>
      <c r="E66" t="s">
        <v>10</v>
      </c>
      <c r="F66" t="s">
        <v>10</v>
      </c>
      <c r="G66" t="s">
        <v>184</v>
      </c>
      <c r="H66" t="s">
        <v>11</v>
      </c>
      <c r="I66" t="str">
        <f>_xlfn.XLOOKUP(Tabla1[[#This Row],[Dependencia]],Tabla2[Dependencia],Tabla2[Clasificación],"No indexado")</f>
        <v>Otros</v>
      </c>
      <c r="J66" t="str">
        <f>_xlfn.XLOOKUP(Tabla1[[#This Row],[Dependencia]],Tabla3[Dependencia],Tabla3[Nivel],"otros",0)</f>
        <v>otros</v>
      </c>
    </row>
    <row r="67" spans="1:10" x14ac:dyDescent="0.35">
      <c r="A67" s="5">
        <v>46150</v>
      </c>
      <c r="B67" t="s">
        <v>178</v>
      </c>
      <c r="C67" s="6" t="s">
        <v>185</v>
      </c>
      <c r="D67" t="s">
        <v>186</v>
      </c>
      <c r="E67" t="s">
        <v>16</v>
      </c>
      <c r="F67" t="s">
        <v>110</v>
      </c>
      <c r="G67" t="s">
        <v>111</v>
      </c>
      <c r="H67" t="s">
        <v>11</v>
      </c>
      <c r="I67" t="str">
        <f>_xlfn.XLOOKUP(Tabla1[[#This Row],[Dependencia]],Tabla2[Dependencia],Tabla2[Clasificación],"No indexado")</f>
        <v>Alcaldías</v>
      </c>
      <c r="J67" t="str">
        <f>_xlfn.XLOOKUP(Tabla1[[#This Row],[Dependencia]],Tabla3[Dependencia],Tabla3[Nivel],"otros",0)</f>
        <v>otros</v>
      </c>
    </row>
    <row r="68" spans="1:10" x14ac:dyDescent="0.35">
      <c r="A68" s="5">
        <v>46150</v>
      </c>
      <c r="B68" t="s">
        <v>178</v>
      </c>
      <c r="C68" s="6" t="s">
        <v>187</v>
      </c>
      <c r="D68" t="s">
        <v>186</v>
      </c>
      <c r="E68" t="s">
        <v>10</v>
      </c>
      <c r="F68" t="s">
        <v>10</v>
      </c>
      <c r="G68" t="s">
        <v>188</v>
      </c>
      <c r="H68" t="s">
        <v>11</v>
      </c>
      <c r="I68" t="str">
        <f>_xlfn.XLOOKUP(Tabla1[[#This Row],[Dependencia]],Tabla2[Dependencia],Tabla2[Clasificación],"No indexado")</f>
        <v>Otros</v>
      </c>
      <c r="J68" t="str">
        <f>_xlfn.XLOOKUP(Tabla1[[#This Row],[Dependencia]],Tabla3[Dependencia],Tabla3[Nivel],"otros",0)</f>
        <v>otros</v>
      </c>
    </row>
    <row r="69" spans="1:10" x14ac:dyDescent="0.35">
      <c r="A69" s="5">
        <v>46150</v>
      </c>
      <c r="B69" t="s">
        <v>92</v>
      </c>
      <c r="C69" s="6" t="s">
        <v>189</v>
      </c>
      <c r="D69" t="s">
        <v>13</v>
      </c>
      <c r="E69" t="s">
        <v>14</v>
      </c>
      <c r="F69" t="s">
        <v>14</v>
      </c>
      <c r="G69" t="s">
        <v>136</v>
      </c>
      <c r="H69" t="s">
        <v>11</v>
      </c>
      <c r="I69" t="str">
        <f>_xlfn.XLOOKUP(Tabla1[[#This Row],[Dependencia]],Tabla2[Dependencia],Tabla2[Clasificación],"No indexado")</f>
        <v>Presidencia de la República</v>
      </c>
      <c r="J69" t="str">
        <f>_xlfn.XLOOKUP(Tabla1[[#This Row],[Dependencia]],Tabla3[Dependencia],Tabla3[Nivel],"otros",0)</f>
        <v>otros</v>
      </c>
    </row>
    <row r="70" spans="1:10" x14ac:dyDescent="0.35">
      <c r="A70" s="5">
        <v>46150</v>
      </c>
      <c r="B70" t="s">
        <v>92</v>
      </c>
      <c r="C70" s="6" t="s">
        <v>190</v>
      </c>
      <c r="D70" t="s">
        <v>12</v>
      </c>
      <c r="E70" t="s">
        <v>14</v>
      </c>
      <c r="F70" t="s">
        <v>14</v>
      </c>
      <c r="G70" t="s">
        <v>79</v>
      </c>
      <c r="H70" t="s">
        <v>11</v>
      </c>
      <c r="I70" t="str">
        <f>_xlfn.XLOOKUP(Tabla1[[#This Row],[Dependencia]],Tabla2[Dependencia],Tabla2[Clasificación],"No indexado")</f>
        <v>Presidencia de la República</v>
      </c>
      <c r="J70" t="str">
        <f>_xlfn.XLOOKUP(Tabla1[[#This Row],[Dependencia]],Tabla3[Dependencia],Tabla3[Nivel],"otros",0)</f>
        <v>otros</v>
      </c>
    </row>
    <row r="71" spans="1:10" ht="58" x14ac:dyDescent="0.35">
      <c r="A71" s="5">
        <v>46150</v>
      </c>
      <c r="B71" t="s">
        <v>92</v>
      </c>
      <c r="C71" s="6" t="s">
        <v>191</v>
      </c>
      <c r="D71" t="s">
        <v>81</v>
      </c>
      <c r="E71" t="s">
        <v>14</v>
      </c>
      <c r="F71" t="s">
        <v>14</v>
      </c>
      <c r="G71" t="s">
        <v>136</v>
      </c>
      <c r="H71" t="s">
        <v>72</v>
      </c>
      <c r="I71" t="str">
        <f>_xlfn.XLOOKUP(Tabla1[[#This Row],[Dependencia]],Tabla2[Dependencia],Tabla2[Clasificación],"No indexado")</f>
        <v>Presidencia de la República</v>
      </c>
      <c r="J71" t="str">
        <f>_xlfn.XLOOKUP(Tabla1[[#This Row],[Dependencia]],Tabla3[Dependencia],Tabla3[Nivel],"otros",0)</f>
        <v>otros</v>
      </c>
    </row>
    <row r="72" spans="1:10" x14ac:dyDescent="0.35">
      <c r="A72" s="5">
        <v>46150</v>
      </c>
      <c r="B72" t="s">
        <v>92</v>
      </c>
      <c r="C72" s="6" t="s">
        <v>192</v>
      </c>
      <c r="D72" t="s">
        <v>9</v>
      </c>
      <c r="E72" t="s">
        <v>24</v>
      </c>
      <c r="F72" t="s">
        <v>24</v>
      </c>
      <c r="G72" t="s">
        <v>87</v>
      </c>
      <c r="H72" t="s">
        <v>70</v>
      </c>
      <c r="I72" t="str">
        <f>_xlfn.XLOOKUP(Tabla1[[#This Row],[Dependencia]],Tabla2[Dependencia],Tabla2[Clasificación],"No indexado")</f>
        <v>Gobierno del estado</v>
      </c>
      <c r="J72" t="str">
        <f>_xlfn.XLOOKUP(Tabla1[[#This Row],[Dependencia]],Tabla3[Dependencia],Tabla3[Nivel],"otros",0)</f>
        <v>Gobernador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66</v>
      </c>
    </row>
    <row r="2" spans="1:5" x14ac:dyDescent="0.35">
      <c r="A2" t="s">
        <v>62</v>
      </c>
      <c r="B2" t="s">
        <v>63</v>
      </c>
      <c r="D2" s="10" t="s">
        <v>19</v>
      </c>
      <c r="E2" t="s">
        <v>67</v>
      </c>
    </row>
    <row r="3" spans="1:5" x14ac:dyDescent="0.35">
      <c r="A3" t="s">
        <v>16</v>
      </c>
      <c r="B3" t="s">
        <v>31</v>
      </c>
      <c r="D3" s="9" t="s">
        <v>33</v>
      </c>
      <c r="E3" t="s">
        <v>67</v>
      </c>
    </row>
    <row r="4" spans="1:5" x14ac:dyDescent="0.35">
      <c r="A4" t="s">
        <v>19</v>
      </c>
      <c r="B4" t="s">
        <v>32</v>
      </c>
      <c r="D4" s="9" t="s">
        <v>35</v>
      </c>
      <c r="E4" t="s">
        <v>67</v>
      </c>
    </row>
    <row r="5" spans="1:5" x14ac:dyDescent="0.35">
      <c r="A5" t="s">
        <v>61</v>
      </c>
      <c r="B5" t="s">
        <v>10</v>
      </c>
      <c r="D5" s="10" t="s">
        <v>28</v>
      </c>
      <c r="E5" t="s">
        <v>67</v>
      </c>
    </row>
    <row r="6" spans="1:5" x14ac:dyDescent="0.35">
      <c r="A6" t="s">
        <v>33</v>
      </c>
      <c r="B6" t="s">
        <v>32</v>
      </c>
      <c r="D6" s="10" t="s">
        <v>36</v>
      </c>
      <c r="E6" t="s">
        <v>67</v>
      </c>
    </row>
    <row r="7" spans="1:5" x14ac:dyDescent="0.35">
      <c r="A7" t="s">
        <v>34</v>
      </c>
      <c r="B7" t="s">
        <v>10</v>
      </c>
      <c r="D7" s="9" t="s">
        <v>37</v>
      </c>
      <c r="E7" t="s">
        <v>67</v>
      </c>
    </row>
    <row r="8" spans="1:5" x14ac:dyDescent="0.35">
      <c r="A8" t="s">
        <v>35</v>
      </c>
      <c r="B8" t="s">
        <v>32</v>
      </c>
      <c r="D8" s="9" t="s">
        <v>37</v>
      </c>
      <c r="E8" t="s">
        <v>67</v>
      </c>
    </row>
    <row r="9" spans="1:5" x14ac:dyDescent="0.35">
      <c r="A9" t="s">
        <v>28</v>
      </c>
      <c r="B9" t="s">
        <v>32</v>
      </c>
      <c r="D9" s="9" t="s">
        <v>38</v>
      </c>
      <c r="E9" t="s">
        <v>67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3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3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3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3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3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3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3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3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2026-05-08T20:02:20Z</dcterms:modified>
</cp:coreProperties>
</file>