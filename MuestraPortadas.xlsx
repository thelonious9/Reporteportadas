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0EB28767-0DE7-40B3-B751-C56D8C89A3BA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</calcChain>
</file>

<file path=xl/sharedStrings.xml><?xml version="1.0" encoding="utf-8"?>
<sst xmlns="http://schemas.openxmlformats.org/spreadsheetml/2006/main" count="638" uniqueCount="217">
  <si>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</si>
  <si>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</si>
  <si>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</si>
  <si>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</si>
  <si>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</si>
  <si>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</si>
  <si>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</si>
  <si>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</si>
  <si>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</si>
  <si>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</si>
  <si>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</si>
  <si>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</si>
  <si>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</si>
  <si>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</si>
  <si>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</si>
  <si>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</si>
  <si>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</si>
  <si>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</si>
  <si>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</si>
  <si>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</si>
  <si>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</si>
  <si>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</si>
  <si>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</si>
  <si>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</si>
  <si>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</si>
  <si>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</si>
  <si>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</si>
  <si>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</si>
  <si>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</si>
  <si>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</si>
  <si>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</si>
  <si>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</si>
  <si>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</si>
  <si>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</si>
  <si>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</si>
  <si>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</si>
  <si>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</si>
  <si>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</si>
  <si>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</si>
  <si>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</si>
  <si>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</si>
  <si>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</si>
  <si>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</si>
  <si>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</si>
  <si>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</si>
  <si>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</si>
  <si>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</si>
  <si>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</si>
  <si>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</si>
  <si>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</si>
  <si>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</si>
  <si>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</si>
  <si>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</si>
  <si>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</si>
  <si>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</si>
  <si>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</si>
  <si>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</si>
  <si>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</si>
  <si>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</si>
  <si>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</si>
  <si>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</si>
  <si>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</si>
  <si>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</si>
  <si>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</si>
  <si>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</si>
  <si>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</si>
  <si>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</si>
  <si>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</si>
  <si>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</si>
  <si>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</si>
  <si>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</si>
  <si>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</si>
  <si>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</si>
  <si>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</si>
  <si>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</si>
  <si>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</si>
  <si>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</si>
  <si>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</si>
  <si>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</si>
  <si>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</si>
  <si>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</si>
  <si>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</si>
  <si>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</si>
  <si>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</si>
  <si>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</si>
  <si>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Temas internacionales</t>
  </si>
  <si>
    <t>Reforma De Ley</t>
  </si>
  <si>
    <t>Pachuca Brilla</t>
  </si>
  <si>
    <t>Detención</t>
  </si>
  <si>
    <t>Feria Pachuca</t>
  </si>
  <si>
    <t>Recuerda: la detección temprana salva vidas</t>
  </si>
  <si>
    <t>Prevención De Enfermedades</t>
  </si>
  <si>
    <t>Atención Afectaciones Por Lluvias</t>
  </si>
  <si>
    <t>Huracán Priscilla</t>
  </si>
  <si>
    <t>Junta de Gobierno</t>
  </si>
  <si>
    <t>Fotonota</t>
  </si>
  <si>
    <t>IMSS</t>
  </si>
  <si>
    <t>CBPEH</t>
  </si>
  <si>
    <t>Alcalde</t>
  </si>
  <si>
    <t>Combate Al Narcomenudeo</t>
  </si>
  <si>
    <t>OEEH</t>
  </si>
  <si>
    <t>Chinicuiles tienen propiedades curativas</t>
  </si>
  <si>
    <t>En marcha los registros municipales en Morena</t>
  </si>
  <si>
    <t>García Harfuch niega pesquisas contra Olán</t>
  </si>
  <si>
    <t>Seguridad Ciudadana</t>
  </si>
  <si>
    <t>Crimen Organizado</t>
  </si>
  <si>
    <t>Necesario frenar la mancha urbana: Tello</t>
  </si>
  <si>
    <t>Extitular</t>
  </si>
  <si>
    <t>Ordenamiento Territorial</t>
  </si>
  <si>
    <t>Escuelas en riesgo por falta de alumnos</t>
  </si>
  <si>
    <t>Dinámica demográfica</t>
  </si>
  <si>
    <t>Rechazan el proyecto de nuevo plantel</t>
  </si>
  <si>
    <t>Conflicto predio escolar</t>
  </si>
  <si>
    <t>Lanza Morena convocatoria para ayuntamientos</t>
  </si>
  <si>
    <t>El Búho emprende el vuelo</t>
  </si>
  <si>
    <t>Homenaje póstumo</t>
  </si>
  <si>
    <t>Huehuetla se levanta a un año de la vaguada</t>
  </si>
  <si>
    <t>Muestra su obra en Nueva York</t>
  </si>
  <si>
    <t>Exposición Artística</t>
  </si>
  <si>
    <t>Ubican a 10 desaparecidos por su CURP</t>
  </si>
  <si>
    <t>Localización de persona</t>
  </si>
  <si>
    <t>Pide Instituto Electoral 23 mdp extra por elecciones</t>
  </si>
  <si>
    <t>Presupuesto IEEH</t>
  </si>
  <si>
    <t>Pide Olivares atender alertas ante lluvias</t>
  </si>
  <si>
    <t>Alerta Meteorológica</t>
  </si>
  <si>
    <t>Defiende Moreno reforma para que alcaldes firmen sin el aval de regidores</t>
  </si>
  <si>
    <t>Sexoservicio, actividad con riesgos y sacrificio</t>
  </si>
  <si>
    <t>Salud sexual</t>
  </si>
  <si>
    <t>Chivas, base del nuevo TRI</t>
  </si>
  <si>
    <t>Emprende vuelo a la inmortalidad</t>
  </si>
  <si>
    <t>Presentan el Xantolo en la Ciudad de México</t>
  </si>
  <si>
    <t>Xantolo</t>
  </si>
  <si>
    <t>A un año de la vaguada, siguen desaparecidas cinco personas</t>
  </si>
  <si>
    <t>Damnificados acusan poco recurso para reubicación</t>
  </si>
  <si>
    <t>Reubicación de viviendas</t>
  </si>
  <si>
    <t>Se restablece el aso en cruces afectados por lluvias</t>
  </si>
  <si>
    <t>Sipdus</t>
  </si>
  <si>
    <t>Tribunal señala excesos en sentencias del TEEH</t>
  </si>
  <si>
    <t>Sentencia</t>
  </si>
  <si>
    <t>Despiden a El Búho, réferi fallecido durante lucha libre</t>
  </si>
  <si>
    <t>Inicia el lunes la campaña de vacunación contra el Covid</t>
  </si>
  <si>
    <t>Vacunación</t>
  </si>
  <si>
    <t>Harfuch rechaza tener ""agenda paralela"" a 2030</t>
  </si>
  <si>
    <t>Buscan evitar la fuga de talento hidalguense</t>
  </si>
  <si>
    <t>Fuga de cerebros</t>
  </si>
  <si>
    <t>Dice Morena a PT: ""ni presión de EU ni recesiones a los grupos de interés""</t>
  </si>
  <si>
    <t>Intervención extranjera</t>
  </si>
  <si>
    <t>Destrabar inversiones, pide la Amcham a la Presidenta</t>
  </si>
  <si>
    <t>Exhorto</t>
  </si>
  <si>
    <t>Brasil es un presagio del futuro para América Latina</t>
  </si>
  <si>
    <t>Morena emite convocatoria para coordinadores municipales</t>
  </si>
  <si>
    <t>Avanzan trabajos para construir nuevo Salón de Plenos</t>
  </si>
  <si>
    <t>Salón De Plenos</t>
  </si>
  <si>
    <t>Segob niega retención de sindicalistas</t>
  </si>
  <si>
    <t>Gobernación</t>
  </si>
  <si>
    <t>Retención</t>
  </si>
  <si>
    <t>Zonas Metropolitanas encabezan denuncias por delitos sexuales</t>
  </si>
  <si>
    <t>Abuso Sexual</t>
  </si>
  <si>
    <t>Riña en penal de Mazatlán deja 10 muertos</t>
  </si>
  <si>
    <t>Deficiencias en penales</t>
  </si>
  <si>
    <t>Amistad, cooperación, resiliencia, buena voluntad, transparencia y rendición de cuentas: retos  mundiales contra el patriarcado”.</t>
  </si>
  <si>
    <t>Erradicación Violencia De Género</t>
  </si>
  <si>
    <t>Dan último adiós a Gerado Germán Pineda, "El Búho", en Pachuca</t>
  </si>
  <si>
    <t>A un año de la vaguada monzónica, sigue la búsqueda de cinco personas</t>
  </si>
  <si>
    <t>Ordena Tribunal Electoral repetir elección de autoridades auxiliares en San Ildefonso</t>
  </si>
  <si>
    <t>Impugnación</t>
  </si>
  <si>
    <t>Orden ministerial derivó en exhumación de cuerpos en presuntas tumbas clandestinas en Atotonilco</t>
  </si>
  <si>
    <t>Exhumación</t>
  </si>
  <si>
    <t>Destruyen droga y material vinculado a actividades delictivas</t>
  </si>
  <si>
    <t>FGR</t>
  </si>
  <si>
    <t>Combate a la delincuencia</t>
  </si>
  <si>
    <t>Restablecen parcialmente circulación en carreteras de Hidalgo</t>
  </si>
  <si>
    <t>Hidalgo, con el mayor porcentaje de beneficiados de programas de justicia social</t>
  </si>
  <si>
    <t>ISSSTE</t>
  </si>
  <si>
    <t>Justicia social</t>
  </si>
  <si>
    <t>Zafarrancho en el penal de Mazatlán 10 muertos y 16 heridos</t>
  </si>
  <si>
    <t>Cayeron cinco; suplantaban y extorsionaban a sus víctimas</t>
  </si>
  <si>
    <t>El empleo formal alcanza récord de 22. millones de puestos</t>
  </si>
  <si>
    <t>Generación de empleos</t>
  </si>
  <si>
    <t>SNTE Hidalgo busca regularizar plazas de docentes</t>
  </si>
  <si>
    <t>Derechos laborales</t>
  </si>
  <si>
    <t>INE busca 48 consejeros distritales en Hidalgo</t>
  </si>
  <si>
    <t>Morena abre registro para coordinadores municipales en Hidalgo</t>
  </si>
  <si>
    <t>Congreso aplaza nombramiento en el TEEH</t>
  </si>
  <si>
    <t>Nombramientos</t>
  </si>
  <si>
    <t>Pleito interno en el IEEH</t>
  </si>
  <si>
    <t>Fortalecen la detección oportuna de cardiopatías en recién nacidos</t>
  </si>
  <si>
    <t>Transparencia para el Pueblo de Hidalgo: más con menos presupuesto</t>
  </si>
  <si>
    <t>Extinción ITAIH</t>
  </si>
  <si>
    <t>Menchaca revisa proyectos para la construcción de viviendas en Hidalgo</t>
  </si>
  <si>
    <t>Plan Nacional De Vivienda</t>
  </si>
  <si>
    <t>Metepec y Acaxochitlán se suman a la Ruta Hidalgo Inspira de la CDHEH</t>
  </si>
  <si>
    <t>Coordinación Interinstitucional</t>
  </si>
  <si>
    <t>Zitlaly Zúñiga instala el Consejo Municipal de participación escolar en la educación</t>
  </si>
  <si>
    <t>Instalación de consejo municipal</t>
  </si>
  <si>
    <t>El IEEH presenta informe sobre los Foros Regionales de Diálogo en materia indígena para la implementación de la Acción Afirmativa en el PEL</t>
  </si>
  <si>
    <t>Acción afirmativa</t>
  </si>
  <si>
    <t>Hidalgo alcanza 93.26% de efectividad en localización de personas</t>
  </si>
  <si>
    <t>Miguel Tello inicia recorridos en Pachuca para defender la Transformación y Soberanía</t>
  </si>
  <si>
    <t>Con más de 10 mdp, Sebiso impulsa la autonomía y bienestar de personas cuidadorsas y comunidad LGBTTTI</t>
  </si>
  <si>
    <t>Inhjuve</t>
  </si>
  <si>
    <t>Inclusión sexogenérica</t>
  </si>
  <si>
    <t>Invitan a jóvenes de hidalgo a formarse como auditores en 2027</t>
  </si>
  <si>
    <t>Convocatoria</t>
  </si>
  <si>
    <t>61 niñas, niños y adolescentes encontraron un hogar a través de la adopción</t>
  </si>
  <si>
    <t>Adopción De Menores</t>
  </si>
  <si>
    <t>Julio Menchaca revisa proyectos para la construcción de viviendas en Hidalgo</t>
  </si>
  <si>
    <t>Conquista Banda MS el Palenque</t>
  </si>
  <si>
    <t>tur</t>
  </si>
  <si>
    <t>oee</t>
  </si>
  <si>
    <t>En Pachuca y Huasca, SSPH asegura cera de 4 mil dosos de presunta droga</t>
  </si>
  <si>
    <t>Investigación de la UTEC será publicada en revista internacional</t>
  </si>
  <si>
    <t>Universidades</t>
  </si>
  <si>
    <t>Innovación tecnológica</t>
  </si>
  <si>
    <t>90s Pop Tuour contagió energía en la feria</t>
  </si>
  <si>
    <t>3,328 niñas, niños y adolescentes recibieron atención médica gratuita con Código Guinda</t>
  </si>
  <si>
    <t>Informe de actividades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</si>
</sst>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workbookViewId="0">
      <selection activeCell="A2" sqref="A2:H6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46304</v>
      </c>
      <c r="B2" t="s">
        <v>81</v>
      </c>
      <c r="C2" s="5" t="s">
        <v>101</v>
      </c>
      <c r="D2" t="s">
        <v>12</v>
      </c>
      <c r="E2" t="s">
        <v>10</v>
      </c>
      <c r="F2" t="s">
        <v>10</v>
      </c>
      <c r="G2" t="s">
        <v>78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46304</v>
      </c>
      <c r="B3" t="s">
        <v>81</v>
      </c>
      <c r="C3" s="5" t="s">
        <v>102</v>
      </c>
      <c r="D3" t="s">
        <v>12</v>
      </c>
      <c r="E3" t="s">
        <v>18</v>
      </c>
      <c r="F3" t="s">
        <v>18</v>
      </c>
      <c r="G3" t="s">
        <v>61</v>
      </c>
      <c r="H3" t="s">
        <v>11</v>
      </c>
      <c r="I3" t="str">
        <f>_xlfn.XLOOKUP(Tabla1[[#This Row],[Dependencia]],Tabla2[Dependencia],Tabla2[Clasificación],"XXX",0)</f>
        <v>Partidos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46304</v>
      </c>
      <c r="B4" t="s">
        <v>81</v>
      </c>
      <c r="C4" s="5" t="s">
        <v>103</v>
      </c>
      <c r="D4" t="s">
        <v>12</v>
      </c>
      <c r="E4" t="s">
        <v>14</v>
      </c>
      <c r="F4" t="s">
        <v>104</v>
      </c>
      <c r="G4" t="s">
        <v>105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46304</v>
      </c>
      <c r="B5" t="s">
        <v>81</v>
      </c>
      <c r="C5" s="5" t="s">
        <v>106</v>
      </c>
      <c r="D5" t="s">
        <v>13</v>
      </c>
      <c r="E5" t="s">
        <v>47</v>
      </c>
      <c r="F5" t="s">
        <v>107</v>
      </c>
      <c r="G5" t="s">
        <v>108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46304</v>
      </c>
      <c r="B6" t="s">
        <v>81</v>
      </c>
      <c r="C6" s="5" t="s">
        <v>109</v>
      </c>
      <c r="D6" t="s">
        <v>12</v>
      </c>
      <c r="E6" t="s">
        <v>14</v>
      </c>
      <c r="F6" t="s">
        <v>14</v>
      </c>
      <c r="G6" t="s">
        <v>110</v>
      </c>
      <c r="H6" t="s">
        <v>11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46304</v>
      </c>
      <c r="B7" t="s">
        <v>81</v>
      </c>
      <c r="C7" s="5" t="s">
        <v>111</v>
      </c>
      <c r="D7" t="s">
        <v>9</v>
      </c>
      <c r="E7" t="s">
        <v>26</v>
      </c>
      <c r="F7" t="s">
        <v>26</v>
      </c>
      <c r="G7" t="s">
        <v>112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46304</v>
      </c>
      <c r="B8" t="s">
        <v>69</v>
      </c>
      <c r="C8" s="5" t="s">
        <v>113</v>
      </c>
      <c r="D8" t="s">
        <v>12</v>
      </c>
      <c r="E8" t="s">
        <v>18</v>
      </c>
      <c r="F8" t="s">
        <v>18</v>
      </c>
      <c r="G8" t="s">
        <v>42</v>
      </c>
      <c r="H8" t="s">
        <v>11</v>
      </c>
      <c r="I8" t="str">
        <f>_xlfn.XLOOKUP(Tabla1[[#This Row],[Dependencia]],Tabla2[Dependencia],Tabla2[Clasificación],"XXX",0)</f>
        <v>Partidos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46304</v>
      </c>
      <c r="B9" t="s">
        <v>69</v>
      </c>
      <c r="C9" s="5" t="s">
        <v>114</v>
      </c>
      <c r="D9" t="s">
        <v>9</v>
      </c>
      <c r="E9" t="s">
        <v>10</v>
      </c>
      <c r="F9" t="s">
        <v>10</v>
      </c>
      <c r="G9" t="s">
        <v>115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46304</v>
      </c>
      <c r="B10" t="s">
        <v>69</v>
      </c>
      <c r="C10" s="5" t="s">
        <v>116</v>
      </c>
      <c r="D10" t="s">
        <v>13</v>
      </c>
      <c r="E10" t="s">
        <v>10</v>
      </c>
      <c r="F10" t="s">
        <v>10</v>
      </c>
      <c r="G10" t="s">
        <v>93</v>
      </c>
      <c r="H10" t="s">
        <v>72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46304</v>
      </c>
      <c r="B11" t="s">
        <v>69</v>
      </c>
      <c r="C11" s="5" t="s">
        <v>117</v>
      </c>
      <c r="D11" t="s">
        <v>12</v>
      </c>
      <c r="E11" t="s">
        <v>10</v>
      </c>
      <c r="F11" t="s">
        <v>10</v>
      </c>
      <c r="G11" t="s">
        <v>118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46304</v>
      </c>
      <c r="B12" t="s">
        <v>69</v>
      </c>
      <c r="C12" s="5" t="s">
        <v>119</v>
      </c>
      <c r="D12" t="s">
        <v>12</v>
      </c>
      <c r="E12" t="s">
        <v>23</v>
      </c>
      <c r="F12" t="s">
        <v>97</v>
      </c>
      <c r="G12" t="s">
        <v>120</v>
      </c>
      <c r="H12" t="s">
        <v>72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46304</v>
      </c>
      <c r="B13" t="s">
        <v>69</v>
      </c>
      <c r="C13" s="5" t="s">
        <v>121</v>
      </c>
      <c r="D13" t="s">
        <v>12</v>
      </c>
      <c r="E13" t="s">
        <v>40</v>
      </c>
      <c r="F13" t="s">
        <v>40</v>
      </c>
      <c r="G13" t="s">
        <v>122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46304</v>
      </c>
      <c r="B14" t="s">
        <v>71</v>
      </c>
      <c r="C14" s="5" t="s">
        <v>123</v>
      </c>
      <c r="D14" t="s">
        <v>12</v>
      </c>
      <c r="E14" t="s">
        <v>23</v>
      </c>
      <c r="F14" t="s">
        <v>2</v>
      </c>
      <c r="G14" t="s">
        <v>124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11">
        <v>46304</v>
      </c>
      <c r="B15" t="s">
        <v>71</v>
      </c>
      <c r="C15" s="5" t="s">
        <v>125</v>
      </c>
      <c r="D15" t="s">
        <v>12</v>
      </c>
      <c r="E15" t="s">
        <v>33</v>
      </c>
      <c r="F15" t="s">
        <v>33</v>
      </c>
      <c r="G15" t="s">
        <v>86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46304</v>
      </c>
      <c r="B16" t="s">
        <v>71</v>
      </c>
      <c r="C16" s="5" t="s">
        <v>126</v>
      </c>
      <c r="D16" t="s">
        <v>13</v>
      </c>
      <c r="E16" t="s">
        <v>15</v>
      </c>
      <c r="F16" t="s">
        <v>15</v>
      </c>
      <c r="G16" t="s">
        <v>127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46304</v>
      </c>
      <c r="B17" t="s">
        <v>71</v>
      </c>
      <c r="C17" s="5" t="s">
        <v>128</v>
      </c>
      <c r="D17" t="s">
        <v>12</v>
      </c>
      <c r="E17" t="s">
        <v>10</v>
      </c>
      <c r="F17" t="s">
        <v>10</v>
      </c>
      <c r="G17" t="s">
        <v>70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46304</v>
      </c>
      <c r="B18" t="s">
        <v>71</v>
      </c>
      <c r="C18" s="5" t="s">
        <v>129</v>
      </c>
      <c r="D18" t="s">
        <v>12</v>
      </c>
      <c r="E18" t="s">
        <v>10</v>
      </c>
      <c r="F18" t="s">
        <v>10</v>
      </c>
      <c r="G18" t="s">
        <v>115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46304</v>
      </c>
      <c r="B19" t="s">
        <v>71</v>
      </c>
      <c r="C19" s="5" t="s">
        <v>130</v>
      </c>
      <c r="D19" t="s">
        <v>12</v>
      </c>
      <c r="E19" t="s">
        <v>28</v>
      </c>
      <c r="F19" t="s">
        <v>28</v>
      </c>
      <c r="G19" t="s">
        <v>131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46304</v>
      </c>
      <c r="B20" t="s">
        <v>75</v>
      </c>
      <c r="C20" s="5" t="s">
        <v>132</v>
      </c>
      <c r="D20" t="s">
        <v>13</v>
      </c>
      <c r="E20" t="s">
        <v>23</v>
      </c>
      <c r="F20" t="s">
        <v>97</v>
      </c>
      <c r="G20" t="s">
        <v>93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46304</v>
      </c>
      <c r="B21" t="s">
        <v>75</v>
      </c>
      <c r="C21" s="5" t="s">
        <v>133</v>
      </c>
      <c r="D21" t="s">
        <v>12</v>
      </c>
      <c r="E21" t="s">
        <v>14</v>
      </c>
      <c r="F21" t="s">
        <v>14</v>
      </c>
      <c r="G21" t="s">
        <v>134</v>
      </c>
      <c r="H21" t="s">
        <v>68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46304</v>
      </c>
      <c r="B22" t="s">
        <v>75</v>
      </c>
      <c r="C22" s="5" t="s">
        <v>135</v>
      </c>
      <c r="D22" t="s">
        <v>12</v>
      </c>
      <c r="E22" t="s">
        <v>136</v>
      </c>
      <c r="F22" t="s">
        <v>136</v>
      </c>
      <c r="G22" t="s">
        <v>92</v>
      </c>
      <c r="H22" t="s">
        <v>72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46304</v>
      </c>
      <c r="B23" t="s">
        <v>75</v>
      </c>
      <c r="C23" s="5" t="s">
        <v>137</v>
      </c>
      <c r="D23" t="s">
        <v>12</v>
      </c>
      <c r="E23" t="s">
        <v>57</v>
      </c>
      <c r="F23" t="s">
        <v>57</v>
      </c>
      <c r="G23" t="s">
        <v>138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46304</v>
      </c>
      <c r="B24" t="s">
        <v>75</v>
      </c>
      <c r="C24" s="5" t="s">
        <v>139</v>
      </c>
      <c r="D24" t="s">
        <v>12</v>
      </c>
      <c r="E24" t="s">
        <v>10</v>
      </c>
      <c r="F24" t="s">
        <v>10</v>
      </c>
      <c r="G24" t="s">
        <v>115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46304</v>
      </c>
      <c r="B25" t="s">
        <v>75</v>
      </c>
      <c r="C25" s="5" t="s">
        <v>140</v>
      </c>
      <c r="D25" t="s">
        <v>12</v>
      </c>
      <c r="E25" t="s">
        <v>15</v>
      </c>
      <c r="F25" t="s">
        <v>15</v>
      </c>
      <c r="G25" t="s">
        <v>141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46304</v>
      </c>
      <c r="B26" t="s">
        <v>75</v>
      </c>
      <c r="C26" s="5" t="s">
        <v>142</v>
      </c>
      <c r="D26" t="s">
        <v>9</v>
      </c>
      <c r="E26" t="s">
        <v>14</v>
      </c>
      <c r="F26" t="s">
        <v>104</v>
      </c>
      <c r="G26" t="s">
        <v>61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46304</v>
      </c>
      <c r="B27" t="s">
        <v>75</v>
      </c>
      <c r="C27" s="5" t="s">
        <v>143</v>
      </c>
      <c r="D27" t="s">
        <v>12</v>
      </c>
      <c r="E27" t="s">
        <v>26</v>
      </c>
      <c r="F27" t="s">
        <v>2</v>
      </c>
      <c r="G27" t="s">
        <v>144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11">
        <v>46304</v>
      </c>
      <c r="B28" t="s">
        <v>75</v>
      </c>
      <c r="C28" s="5" t="s">
        <v>145</v>
      </c>
      <c r="D28" t="s">
        <v>12</v>
      </c>
      <c r="E28" t="s">
        <v>18</v>
      </c>
      <c r="F28" t="s">
        <v>18</v>
      </c>
      <c r="G28" t="s">
        <v>146</v>
      </c>
      <c r="H28" t="s">
        <v>11</v>
      </c>
      <c r="I28" t="str">
        <f>_xlfn.XLOOKUP(Tabla1[[#This Row],[Dependencia]],Tabla2[Dependencia],Tabla2[Clasificación],"XXX",0)</f>
        <v>Partidos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46304</v>
      </c>
      <c r="B29" t="s">
        <v>75</v>
      </c>
      <c r="C29" s="5" t="s">
        <v>147</v>
      </c>
      <c r="D29" t="s">
        <v>12</v>
      </c>
      <c r="E29" t="s">
        <v>14</v>
      </c>
      <c r="F29" t="s">
        <v>14</v>
      </c>
      <c r="G29" t="s">
        <v>148</v>
      </c>
      <c r="H29" t="s">
        <v>11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46304</v>
      </c>
      <c r="B30" t="s">
        <v>75</v>
      </c>
      <c r="C30" s="5" t="s">
        <v>149</v>
      </c>
      <c r="D30" t="s">
        <v>12</v>
      </c>
      <c r="E30" t="s">
        <v>10</v>
      </c>
      <c r="F30" t="s">
        <v>10</v>
      </c>
      <c r="G30" t="s">
        <v>85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46304</v>
      </c>
      <c r="B31" t="s">
        <v>79</v>
      </c>
      <c r="C31" s="5" t="s">
        <v>150</v>
      </c>
      <c r="D31" t="s">
        <v>12</v>
      </c>
      <c r="E31" t="s">
        <v>18</v>
      </c>
      <c r="F31" t="s">
        <v>18</v>
      </c>
      <c r="G31" t="s">
        <v>61</v>
      </c>
      <c r="H31" t="s">
        <v>11</v>
      </c>
      <c r="I31" t="str">
        <f>_xlfn.XLOOKUP(Tabla1[[#This Row],[Dependencia]],Tabla2[Dependencia],Tabla2[Clasificación],"XXX",0)</f>
        <v>Partidos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46304</v>
      </c>
      <c r="B32" t="s">
        <v>79</v>
      </c>
      <c r="C32" s="5" t="s">
        <v>151</v>
      </c>
      <c r="D32" t="s">
        <v>95</v>
      </c>
      <c r="E32" t="s">
        <v>33</v>
      </c>
      <c r="F32" t="s">
        <v>94</v>
      </c>
      <c r="G32" t="s">
        <v>152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46304</v>
      </c>
      <c r="B33" t="s">
        <v>79</v>
      </c>
      <c r="C33" s="5" t="s">
        <v>153</v>
      </c>
      <c r="D33" t="s">
        <v>12</v>
      </c>
      <c r="E33" t="s">
        <v>14</v>
      </c>
      <c r="F33" t="s">
        <v>154</v>
      </c>
      <c r="G33" t="s">
        <v>155</v>
      </c>
      <c r="H33" t="s">
        <v>68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46304</v>
      </c>
      <c r="B34" t="s">
        <v>79</v>
      </c>
      <c r="C34" s="5" t="s">
        <v>156</v>
      </c>
      <c r="D34" t="s">
        <v>13</v>
      </c>
      <c r="E34" t="s">
        <v>17</v>
      </c>
      <c r="F34" t="s">
        <v>17</v>
      </c>
      <c r="G34" t="s">
        <v>157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46304</v>
      </c>
      <c r="B35" t="s">
        <v>79</v>
      </c>
      <c r="C35" s="5" t="s">
        <v>158</v>
      </c>
      <c r="D35" t="s">
        <v>12</v>
      </c>
      <c r="E35" t="s">
        <v>10</v>
      </c>
      <c r="F35" t="s">
        <v>10</v>
      </c>
      <c r="G35" t="s">
        <v>159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45" x14ac:dyDescent="0.25">
      <c r="A36" s="11">
        <v>46304</v>
      </c>
      <c r="B36" t="s">
        <v>79</v>
      </c>
      <c r="C36" s="5" t="s">
        <v>160</v>
      </c>
      <c r="D36" t="s">
        <v>12</v>
      </c>
      <c r="E36" t="s">
        <v>10</v>
      </c>
      <c r="F36" t="s">
        <v>10</v>
      </c>
      <c r="G36" t="s">
        <v>161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46304</v>
      </c>
      <c r="B37" t="s">
        <v>74</v>
      </c>
      <c r="C37" s="5" t="s">
        <v>162</v>
      </c>
      <c r="D37" t="s">
        <v>13</v>
      </c>
      <c r="E37" t="s">
        <v>10</v>
      </c>
      <c r="F37" t="s">
        <v>10</v>
      </c>
      <c r="G37" t="s">
        <v>115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46304</v>
      </c>
      <c r="B38" t="s">
        <v>74</v>
      </c>
      <c r="C38" s="5" t="s">
        <v>163</v>
      </c>
      <c r="D38" t="s">
        <v>12</v>
      </c>
      <c r="E38" t="s">
        <v>23</v>
      </c>
      <c r="F38" t="s">
        <v>97</v>
      </c>
      <c r="G38" t="s">
        <v>93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46304</v>
      </c>
      <c r="B39" t="s">
        <v>74</v>
      </c>
      <c r="C39" s="5" t="s">
        <v>164</v>
      </c>
      <c r="D39" t="s">
        <v>12</v>
      </c>
      <c r="E39" t="s">
        <v>57</v>
      </c>
      <c r="F39" t="s">
        <v>57</v>
      </c>
      <c r="G39" t="s">
        <v>165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46304</v>
      </c>
      <c r="B40" t="s">
        <v>74</v>
      </c>
      <c r="C40" s="5" t="s">
        <v>166</v>
      </c>
      <c r="D40" t="s">
        <v>12</v>
      </c>
      <c r="E40" t="s">
        <v>17</v>
      </c>
      <c r="F40" t="s">
        <v>17</v>
      </c>
      <c r="G40" t="s">
        <v>167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46304</v>
      </c>
      <c r="B41" t="s">
        <v>74</v>
      </c>
      <c r="C41" s="5" t="s">
        <v>168</v>
      </c>
      <c r="D41" t="s">
        <v>12</v>
      </c>
      <c r="E41" t="s">
        <v>14</v>
      </c>
      <c r="F41" t="s">
        <v>169</v>
      </c>
      <c r="G41" t="s">
        <v>170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46304</v>
      </c>
      <c r="B42" t="s">
        <v>77</v>
      </c>
      <c r="C42" s="5" t="s">
        <v>171</v>
      </c>
      <c r="D42" t="s">
        <v>13</v>
      </c>
      <c r="E42" t="s">
        <v>136</v>
      </c>
      <c r="F42" t="s">
        <v>136</v>
      </c>
      <c r="G42" t="s">
        <v>92</v>
      </c>
      <c r="H42" t="s">
        <v>72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46304</v>
      </c>
      <c r="B43" t="s">
        <v>77</v>
      </c>
      <c r="C43" s="5" t="s">
        <v>172</v>
      </c>
      <c r="D43" t="s">
        <v>12</v>
      </c>
      <c r="E43" t="s">
        <v>14</v>
      </c>
      <c r="F43" t="s">
        <v>173</v>
      </c>
      <c r="G43" t="s">
        <v>174</v>
      </c>
      <c r="H43" t="s">
        <v>11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46304</v>
      </c>
      <c r="B44" t="s">
        <v>77</v>
      </c>
      <c r="C44" s="5" t="s">
        <v>175</v>
      </c>
      <c r="D44" t="s">
        <v>12</v>
      </c>
      <c r="E44" t="s">
        <v>14</v>
      </c>
      <c r="F44" t="s">
        <v>14</v>
      </c>
      <c r="G44" t="s">
        <v>159</v>
      </c>
      <c r="H44" t="s">
        <v>68</v>
      </c>
      <c r="I44" t="str">
        <f>_xlfn.XLOOKUP(Tabla1[[#This Row],[Dependencia]],Tabla2[Dependencia],Tabla2[Clasificación],"XXX",0)</f>
        <v>Presidencia de la República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46304</v>
      </c>
      <c r="B45" t="s">
        <v>77</v>
      </c>
      <c r="C45" s="5" t="s">
        <v>176</v>
      </c>
      <c r="D45" t="s">
        <v>12</v>
      </c>
      <c r="E45" t="s">
        <v>14</v>
      </c>
      <c r="F45" t="s">
        <v>14</v>
      </c>
      <c r="G45" t="s">
        <v>88</v>
      </c>
      <c r="H45" t="s">
        <v>11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46304</v>
      </c>
      <c r="B46" t="s">
        <v>77</v>
      </c>
      <c r="C46" s="5" t="s">
        <v>177</v>
      </c>
      <c r="D46" t="s">
        <v>12</v>
      </c>
      <c r="E46" t="s">
        <v>14</v>
      </c>
      <c r="F46" t="s">
        <v>96</v>
      </c>
      <c r="G46" t="s">
        <v>178</v>
      </c>
      <c r="H46" t="s">
        <v>72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46304</v>
      </c>
      <c r="B47" t="s">
        <v>73</v>
      </c>
      <c r="C47" s="5" t="s">
        <v>179</v>
      </c>
      <c r="D47" t="s">
        <v>12</v>
      </c>
      <c r="E47" t="s">
        <v>10</v>
      </c>
      <c r="F47" t="s">
        <v>10</v>
      </c>
      <c r="G47" t="s">
        <v>180</v>
      </c>
      <c r="H47" t="s">
        <v>72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46304</v>
      </c>
      <c r="B48" t="s">
        <v>73</v>
      </c>
      <c r="C48" s="5" t="s">
        <v>181</v>
      </c>
      <c r="D48" t="s">
        <v>9</v>
      </c>
      <c r="E48" t="s">
        <v>10</v>
      </c>
      <c r="F48" t="s">
        <v>10</v>
      </c>
      <c r="G48" t="s">
        <v>42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46304</v>
      </c>
      <c r="B49" t="s">
        <v>73</v>
      </c>
      <c r="C49" s="5" t="s">
        <v>182</v>
      </c>
      <c r="D49" t="s">
        <v>13</v>
      </c>
      <c r="E49" t="s">
        <v>18</v>
      </c>
      <c r="F49" t="s">
        <v>18</v>
      </c>
      <c r="G49" t="s">
        <v>61</v>
      </c>
      <c r="H49" t="s">
        <v>11</v>
      </c>
      <c r="I49" t="str">
        <f>_xlfn.XLOOKUP(Tabla1[[#This Row],[Dependencia]],Tabla2[Dependencia],Tabla2[Clasificación],"XXX",0)</f>
        <v>Partidos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46304</v>
      </c>
      <c r="B50" t="s">
        <v>73</v>
      </c>
      <c r="C50" s="5" t="s">
        <v>183</v>
      </c>
      <c r="D50" t="s">
        <v>12</v>
      </c>
      <c r="E50" t="s">
        <v>33</v>
      </c>
      <c r="F50" t="s">
        <v>33</v>
      </c>
      <c r="G50" t="s">
        <v>184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46304</v>
      </c>
      <c r="B51" t="s">
        <v>73</v>
      </c>
      <c r="C51" s="5" t="s">
        <v>185</v>
      </c>
      <c r="D51" t="s">
        <v>12</v>
      </c>
      <c r="E51" t="s">
        <v>40</v>
      </c>
      <c r="F51" t="s">
        <v>40</v>
      </c>
      <c r="G51" t="s">
        <v>165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46304</v>
      </c>
      <c r="B52" t="s">
        <v>82</v>
      </c>
      <c r="C52" s="5" t="s">
        <v>186</v>
      </c>
      <c r="D52" t="s">
        <v>83</v>
      </c>
      <c r="E52" t="s">
        <v>15</v>
      </c>
      <c r="F52" t="s">
        <v>15</v>
      </c>
      <c r="G52" t="s">
        <v>91</v>
      </c>
      <c r="H52" t="s">
        <v>72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46304</v>
      </c>
      <c r="B53" t="s">
        <v>82</v>
      </c>
      <c r="C53" s="5" t="s">
        <v>187</v>
      </c>
      <c r="D53" t="s">
        <v>12</v>
      </c>
      <c r="E53" t="s">
        <v>34</v>
      </c>
      <c r="F53" t="s">
        <v>2</v>
      </c>
      <c r="G53" t="s">
        <v>188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46304</v>
      </c>
      <c r="B54" t="s">
        <v>82</v>
      </c>
      <c r="C54" s="5" t="s">
        <v>189</v>
      </c>
      <c r="D54" t="s">
        <v>13</v>
      </c>
      <c r="E54" t="s">
        <v>24</v>
      </c>
      <c r="F54" t="s">
        <v>24</v>
      </c>
      <c r="G54" t="s">
        <v>190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11">
        <v>46304</v>
      </c>
      <c r="B55" t="s">
        <v>82</v>
      </c>
      <c r="C55" s="5" t="s">
        <v>191</v>
      </c>
      <c r="D55" t="s">
        <v>12</v>
      </c>
      <c r="E55" t="s">
        <v>60</v>
      </c>
      <c r="F55" t="s">
        <v>60</v>
      </c>
      <c r="G55" t="s">
        <v>192</v>
      </c>
      <c r="H55" t="s">
        <v>11</v>
      </c>
      <c r="I55" t="str">
        <f>_xlfn.XLOOKUP(Tabla1[[#This Row],[Dependencia]],Tabla2[Dependencia],Tabla2[Clasificación],"XXX",0)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46304</v>
      </c>
      <c r="B56" t="s">
        <v>82</v>
      </c>
      <c r="C56" s="5" t="s">
        <v>193</v>
      </c>
      <c r="D56" t="s">
        <v>12</v>
      </c>
      <c r="E56" t="s">
        <v>16</v>
      </c>
      <c r="F56" t="s">
        <v>98</v>
      </c>
      <c r="G56" t="s">
        <v>194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45" x14ac:dyDescent="0.25">
      <c r="A57" s="11">
        <v>46304</v>
      </c>
      <c r="B57" t="s">
        <v>82</v>
      </c>
      <c r="C57" s="5" t="s">
        <v>195</v>
      </c>
      <c r="D57" t="s">
        <v>12</v>
      </c>
      <c r="E57" t="s">
        <v>40</v>
      </c>
      <c r="F57" t="s">
        <v>40</v>
      </c>
      <c r="G57" t="s">
        <v>196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46304</v>
      </c>
      <c r="B58" t="s">
        <v>82</v>
      </c>
      <c r="C58" s="5" t="s">
        <v>197</v>
      </c>
      <c r="D58" t="s">
        <v>12</v>
      </c>
      <c r="E58" t="s">
        <v>23</v>
      </c>
      <c r="F58" t="s">
        <v>97</v>
      </c>
      <c r="G58" t="s">
        <v>120</v>
      </c>
      <c r="H58" t="s">
        <v>72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46304</v>
      </c>
      <c r="B59" t="s">
        <v>82</v>
      </c>
      <c r="C59" s="5" t="s">
        <v>198</v>
      </c>
      <c r="D59" t="s">
        <v>12</v>
      </c>
      <c r="E59" t="s">
        <v>47</v>
      </c>
      <c r="F59" t="s">
        <v>107</v>
      </c>
      <c r="G59" t="s">
        <v>61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45" x14ac:dyDescent="0.25">
      <c r="A60" s="11">
        <v>46304</v>
      </c>
      <c r="B60" t="s">
        <v>82</v>
      </c>
      <c r="C60" s="5" t="s">
        <v>199</v>
      </c>
      <c r="D60" t="s">
        <v>12</v>
      </c>
      <c r="E60" t="s">
        <v>19</v>
      </c>
      <c r="F60" t="s">
        <v>200</v>
      </c>
      <c r="G60" t="s">
        <v>201</v>
      </c>
      <c r="H60" t="s">
        <v>72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46304</v>
      </c>
      <c r="B61" t="s">
        <v>82</v>
      </c>
      <c r="C61" s="5" t="s">
        <v>202</v>
      </c>
      <c r="D61" t="s">
        <v>12</v>
      </c>
      <c r="E61" t="s">
        <v>34</v>
      </c>
      <c r="F61" t="s">
        <v>34</v>
      </c>
      <c r="G61" t="s">
        <v>203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46304</v>
      </c>
      <c r="B62" t="s">
        <v>82</v>
      </c>
      <c r="C62" s="5" t="s">
        <v>204</v>
      </c>
      <c r="D62" t="s">
        <v>80</v>
      </c>
      <c r="E62" t="s">
        <v>36</v>
      </c>
      <c r="F62" t="s">
        <v>36</v>
      </c>
      <c r="G62" t="s">
        <v>205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46304</v>
      </c>
      <c r="B63" t="s">
        <v>87</v>
      </c>
      <c r="C63" s="5" t="s">
        <v>206</v>
      </c>
      <c r="D63" t="s">
        <v>13</v>
      </c>
      <c r="E63" t="s">
        <v>24</v>
      </c>
      <c r="F63" t="s">
        <v>24</v>
      </c>
      <c r="G63" t="s">
        <v>190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Gobernador</v>
      </c>
    </row>
    <row r="64" spans="1:10" x14ac:dyDescent="0.25">
      <c r="A64" s="11">
        <v>46304</v>
      </c>
      <c r="B64" t="s">
        <v>87</v>
      </c>
      <c r="C64" s="5" t="s">
        <v>207</v>
      </c>
      <c r="D64" t="s">
        <v>12</v>
      </c>
      <c r="E64" t="s">
        <v>208</v>
      </c>
      <c r="F64" t="s">
        <v>209</v>
      </c>
      <c r="G64" t="s">
        <v>89</v>
      </c>
      <c r="H64" t="s">
        <v>72</v>
      </c>
      <c r="I64" t="str">
        <f>_xlfn.XLOOKUP(Tabla1[[#This Row],[Dependencia]],Tabla2[Dependencia],Tabla2[Clasificación],"XXX",0)</f>
        <v>XXX</v>
      </c>
      <c r="J64" t="str">
        <f>_xlfn.XLOOKUP(Tabla1[[#This Row],[Dependencia]],Tabla3[Dependencia],Tabla3[Nivel],"Otros",0)</f>
        <v>Otros</v>
      </c>
    </row>
    <row r="65" spans="1:10" ht="30" x14ac:dyDescent="0.25">
      <c r="A65" s="11">
        <v>46304</v>
      </c>
      <c r="B65" t="s">
        <v>87</v>
      </c>
      <c r="C65" s="5" t="s">
        <v>210</v>
      </c>
      <c r="D65" t="s">
        <v>12</v>
      </c>
      <c r="E65" t="s">
        <v>22</v>
      </c>
      <c r="F65" t="s">
        <v>22</v>
      </c>
      <c r="G65" t="s">
        <v>99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46304</v>
      </c>
      <c r="B66" t="s">
        <v>87</v>
      </c>
      <c r="C66" s="5" t="s">
        <v>211</v>
      </c>
      <c r="D66" t="s">
        <v>12</v>
      </c>
      <c r="E66" t="s">
        <v>26</v>
      </c>
      <c r="F66" t="s">
        <v>212</v>
      </c>
      <c r="G66" t="s">
        <v>213</v>
      </c>
      <c r="H66" t="s">
        <v>72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11">
        <v>46304</v>
      </c>
      <c r="B67" t="s">
        <v>87</v>
      </c>
      <c r="C67" s="5" t="s">
        <v>214</v>
      </c>
      <c r="D67" t="s">
        <v>12</v>
      </c>
      <c r="E67" t="s">
        <v>29</v>
      </c>
      <c r="F67" t="s">
        <v>100</v>
      </c>
      <c r="G67" t="s">
        <v>89</v>
      </c>
      <c r="H67" t="s">
        <v>72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11">
        <v>46304</v>
      </c>
      <c r="B68" t="s">
        <v>87</v>
      </c>
      <c r="C68" s="5" t="s">
        <v>215</v>
      </c>
      <c r="D68" t="s">
        <v>80</v>
      </c>
      <c r="E68" t="s">
        <v>36</v>
      </c>
      <c r="F68" t="s">
        <v>36</v>
      </c>
      <c r="G68" t="s">
        <v>216</v>
      </c>
      <c r="H68" t="s">
        <v>11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25">
      <c r="A69" s="11">
        <v>46304</v>
      </c>
      <c r="B69" t="s">
        <v>87</v>
      </c>
      <c r="C69" s="5" t="s">
        <v>90</v>
      </c>
      <c r="D69" t="s">
        <v>80</v>
      </c>
      <c r="E69" t="s">
        <v>16</v>
      </c>
      <c r="F69" t="s">
        <v>16</v>
      </c>
      <c r="G69" t="s">
        <v>84</v>
      </c>
      <c r="H69" t="s">
        <v>11</v>
      </c>
      <c r="I69" t="str">
        <f>_xlfn.XLOOKUP(Tabla1[[#This Row],[Dependencia]],Tabla2[Dependencia],Tabla2[Clasificación],"XXX",0)</f>
        <v>Alcaldías</v>
      </c>
      <c r="J6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76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2026-10-09T16:51:13Z</dcterms:modified>
</cp:coreProperties>
</file>