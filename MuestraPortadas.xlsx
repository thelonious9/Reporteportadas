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AAFAC5F7-8550-4F6F-B265-E1C14BB03AC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2" i="1"/>
  <c r="I2" i="1"/>
</calcChain>
</file>

<file path=xl/sharedStrings.xml><?xml version="1.0" encoding="utf-8"?>
<sst xmlns="http://schemas.openxmlformats.org/spreadsheetml/2006/main" count="545" uniqueCount="180">
  <si>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</si>
  <si>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</si>
  <si>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</si>
  <si>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</si>
  <si>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</si>
  <si>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</si>
  <si>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</si>
  <si>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</si>
  <si>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</si>
  <si>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</si>
  <si>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</si>
  <si>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</si>
  <si>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</si>
  <si>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</si>
  <si>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</si>
  <si>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</si>
  <si>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</si>
  <si>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</si>
  <si>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</si>
  <si>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</si>
  <si>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</si>
  <si>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</si>
  <si>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</si>
  <si>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</si>
  <si>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</si>
  <si>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</si>
  <si>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</si>
  <si>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</si>
  <si>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</si>
  <si>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</si>
  <si>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</si>
  <si>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</si>
  <si>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</si>
  <si>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</si>
  <si>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</si>
  <si>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</si>
  <si>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</si>
  <si>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</si>
  <si>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</si>
  <si>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</si>
  <si>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</si>
  <si>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</si>
  <si>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</si>
  <si>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</si>
  <si>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</si>
  <si>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</si>
  <si>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</si>
  <si>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</si>
  <si>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</si>
  <si>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</si>
  <si>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</si>
  <si>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</si>
  <si>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</si>
  <si>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</si>
  <si>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</si>
  <si>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</si>
  <si>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</si>
  <si>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</si>
  <si>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</si>
  <si>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</si>
  <si>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</si>
  <si>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</si>
  <si>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</si>
  <si>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</si>
  <si>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</si>
  <si>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</si>
  <si>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</si>
  <si>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</si>
  <si>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</si>
  <si>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</si>
  <si>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</si>
  <si>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</si>
  <si>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</si>
  <si>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</si>
  <si>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Negativa</t>
  </si>
  <si>
    <t>Zunoticia</t>
  </si>
  <si>
    <t>Publicidad</t>
  </si>
  <si>
    <t>Milenio Hidalgo</t>
  </si>
  <si>
    <t>El Universal Hidalgo</t>
  </si>
  <si>
    <t>Criterio</t>
  </si>
  <si>
    <t>Pachuca Brilla</t>
  </si>
  <si>
    <t>Temas varios</t>
  </si>
  <si>
    <t>Combate Al Huachicol</t>
  </si>
  <si>
    <t>Marfeca</t>
  </si>
  <si>
    <t>Temas internacionales</t>
  </si>
  <si>
    <t>Cintillo</t>
  </si>
  <si>
    <t>Alcalde</t>
  </si>
  <si>
    <t>Sipdus</t>
  </si>
  <si>
    <t>Huracán Priscilla</t>
  </si>
  <si>
    <t>Municipio 85</t>
  </si>
  <si>
    <t>Deportes</t>
  </si>
  <si>
    <t>Elecciones</t>
  </si>
  <si>
    <t>Policía municipal</t>
  </si>
  <si>
    <t>Sedatu</t>
  </si>
  <si>
    <t>Reforma Electoral</t>
  </si>
  <si>
    <t>Equipamiento policiaco</t>
  </si>
  <si>
    <t>Hidalgo tiene algo</t>
  </si>
  <si>
    <t>Promoción turística</t>
  </si>
  <si>
    <t>Minería, un patrimonio hidalguense</t>
  </si>
  <si>
    <t>Minería</t>
  </si>
  <si>
    <t>Arrancan las Rutas para la Reconstrucción</t>
  </si>
  <si>
    <t>Rutas de la Reconstrucción</t>
  </si>
  <si>
    <t>Presentan propuesta para el municipio 85</t>
  </si>
  <si>
    <t>Exigen solución a pozo de agua en Xhitejé</t>
  </si>
  <si>
    <t>Rehabilitación de pozo</t>
  </si>
  <si>
    <t>Road trip llega a su fin</t>
  </si>
  <si>
    <t>Pavimentación registra avance de 70 por ciento</t>
  </si>
  <si>
    <t>Rehabilitación Vial</t>
  </si>
  <si>
    <t>Destina Hidalgo 430 mdp en uniformes escolares</t>
  </si>
  <si>
    <t>Uniformes escolares</t>
  </si>
  <si>
    <t>Licita gobierno más obra complementaria</t>
  </si>
  <si>
    <t>Licitaciones</t>
  </si>
  <si>
    <t>Elecciones desencantan a los jóvenes</t>
  </si>
  <si>
    <t>Plantean que sean para mujeres 42 alcaldías</t>
  </si>
  <si>
    <t>Comienza la reconstrucción en municipios</t>
  </si>
  <si>
    <t>Entre los favoritos</t>
  </si>
  <si>
    <t>Cuelga los guantes</t>
  </si>
  <si>
    <t>Han cambiado al mando policial en 25 municipios</t>
  </si>
  <si>
    <t>Mando Coordinado</t>
  </si>
  <si>
    <t>Con reforma, proponen 50% de candidaturas para mujeres</t>
  </si>
  <si>
    <t>Rehabilitación de la Avenida Madero lleva 70 por ciento</t>
  </si>
  <si>
    <t>Se reportan más de 350 registros para vivenda</t>
  </si>
  <si>
    <t>Gobernador recorre municipos afectados por vaguada</t>
  </si>
  <si>
    <t>Nuevo hospital de Tula triplicará su capacidad</t>
  </si>
  <si>
    <t>IMSS</t>
  </si>
  <si>
    <t>Hospital Tula</t>
  </si>
  <si>
    <t>Formalizan ante el Congreso local crear municipio 85</t>
  </si>
  <si>
    <t>México inicia revisión del T-MEC; Canadá recibe más aranceles</t>
  </si>
  <si>
    <t>T-MEC</t>
  </si>
  <si>
    <t>La recomendación de la empresa del presunto operador financiero de grupos delictivos llegó vía los exgobernadores de Chiapas y Tabasco, Rutilo Escandón Cárdenas y Adán Augusto López”.</t>
  </si>
  <si>
    <t>Plantean garantizar alcaldías exclusivas para mujeres en 42 municipios</t>
  </si>
  <si>
    <t>Menchaca inicia recorrido por los 28 municipios afectados por lluvias</t>
  </si>
  <si>
    <t>Buscan crear municipio 85 "Felipe Ángeles"; presentan solicitud al Congreso</t>
  </si>
  <si>
    <t>Triplicará capacidad de atención nuevo Hospital General de Zona de Tula</t>
  </si>
  <si>
    <t>Julio Menchaca arranca las rutas de la Reconstrucción en la Sierra Gorda</t>
  </si>
  <si>
    <t>Inicia la canícula y aumentan riesgos de enfermedades gastrointestinales</t>
  </si>
  <si>
    <t>Prevención De Enfermedades</t>
  </si>
  <si>
    <t>Huejutla fortalece a su policía municipal</t>
  </si>
  <si>
    <t>DIF y SIPINNA inician cursos de verano</t>
  </si>
  <si>
    <t>Curso de verano</t>
  </si>
  <si>
    <t>Cartas con Valor fomentan principios en la niñez de Huejutla</t>
  </si>
  <si>
    <t>Cartas con Valor</t>
  </si>
  <si>
    <t>Formalizan petición para crear el municipio "Felipe Ángeles"</t>
  </si>
  <si>
    <t>PRI y MC rechazan reforma que reservaría 42 alcaldías para mujeres</t>
  </si>
  <si>
    <t>Comienza la Ruta de la Reconstrucción</t>
  </si>
  <si>
    <t>gobeg</t>
  </si>
  <si>
    <t>Mandos de SSP y Guadia Nacional deberán dejar cargo para candidatura</t>
  </si>
  <si>
    <t>GN</t>
  </si>
  <si>
    <t>Candidaturas</t>
  </si>
  <si>
    <t>Proponen instalar Consejo de Movilidad</t>
  </si>
  <si>
    <t>Deficiencias transporte público</t>
  </si>
  <si>
    <t>Vándalos dejan sin agua a la Zona Centro de Atitalaquia</t>
  </si>
  <si>
    <t>Robo De Agua</t>
  </si>
  <si>
    <t>Menchaca arranca las Rutas de la Reconstrucción en la Sierra Gorda hidalguense</t>
  </si>
  <si>
    <t>Prevención, tecnología y coordinación: Ajacuba refuerza su modelo de seguridad con el C5i</t>
  </si>
  <si>
    <t>Videovigilancia</t>
  </si>
  <si>
    <t>Cristhian Martínez entrega rehabilitación asfáltica de la Avenida Sur</t>
  </si>
  <si>
    <t>Jorge Reyes impulsa el bienestar animal con más de 9 mil acciones en lo que va del año en Pachuca</t>
  </si>
  <si>
    <t>Bienestar Animal</t>
  </si>
  <si>
    <t>Entre cascos, sonrisas y sirenas, pequeños de Pilares cumplen su sueño de ser bomberos por un día</t>
  </si>
  <si>
    <t>Pilares</t>
  </si>
  <si>
    <t>Solo 476 familias afectadas por la vaguada monzónica tienen terreno para reconstruir su vivienda</t>
  </si>
  <si>
    <t>Vecinos de fraccionamientos del sur impulsan creación del municipio 85; acusan abandono y falta de servicio</t>
  </si>
  <si>
    <t>Van por "equidad" en orden alfabético para alcaldías del estado</t>
  </si>
  <si>
    <t>En Alsea "hay 2 mil años de experiencia"</t>
  </si>
  <si>
    <t>Hidalgo, en el top 10 por crecimiento del comercio</t>
  </si>
  <si>
    <t>Dinamismo comercial</t>
  </si>
  <si>
    <t>Refuerzan trabajos en la Sierra Gorda</t>
  </si>
  <si>
    <t>Alcalde destaca avances en videovigilancia</t>
  </si>
  <si>
    <t>Asegura abogado que Zambada no pagará fortuna</t>
  </si>
  <si>
    <t>Julio Menchaca arranca las Rutas de la Reconstrucción en la Sierra Gorda</t>
  </si>
  <si>
    <t>Alistan Festival de la Plata en Real del Monte para finales de julio</t>
  </si>
  <si>
    <t>Festival Cultural</t>
  </si>
  <si>
    <t>IHE lleva atención educativa a mil 727 niñas, niños y adolescentes hospitalizados</t>
  </si>
  <si>
    <t>IHE</t>
  </si>
  <si>
    <t>Impulso A La Educación</t>
  </si>
  <si>
    <t>Jorge Reyes impulsa el bienestar animal</t>
  </si>
  <si>
    <t>Avanzan obras del tren CDMX-Pachuca</t>
  </si>
  <si>
    <t>SICT</t>
  </si>
  <si>
    <t>Tren AIFA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</si>
</sst>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topLeftCell="A35" workbookViewId="0">
      <selection activeCell="J56" sqref="J5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46225</v>
      </c>
      <c r="B2" t="s">
        <v>67</v>
      </c>
      <c r="C2" s="5" t="s">
        <v>98</v>
      </c>
      <c r="D2" t="s">
        <v>9</v>
      </c>
      <c r="E2" t="s">
        <v>10</v>
      </c>
      <c r="F2" t="s">
        <v>10</v>
      </c>
      <c r="G2" t="s">
        <v>99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46225</v>
      </c>
      <c r="B3" t="s">
        <v>67</v>
      </c>
      <c r="C3" s="5" t="s">
        <v>100</v>
      </c>
      <c r="D3" t="s">
        <v>12</v>
      </c>
      <c r="E3" t="s">
        <v>24</v>
      </c>
      <c r="F3" t="s">
        <v>24</v>
      </c>
      <c r="G3" t="s">
        <v>101</v>
      </c>
      <c r="H3" t="s">
        <v>68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25">
      <c r="A4" s="11">
        <v>46225</v>
      </c>
      <c r="B4" t="s">
        <v>67</v>
      </c>
      <c r="C4" s="5" t="s">
        <v>102</v>
      </c>
      <c r="D4" t="s">
        <v>13</v>
      </c>
      <c r="E4" t="s">
        <v>33</v>
      </c>
      <c r="F4" t="s">
        <v>33</v>
      </c>
      <c r="G4" t="s">
        <v>89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46225</v>
      </c>
      <c r="B5" t="s">
        <v>67</v>
      </c>
      <c r="C5" s="5" t="s">
        <v>103</v>
      </c>
      <c r="D5" t="s">
        <v>12</v>
      </c>
      <c r="E5" t="s">
        <v>16</v>
      </c>
      <c r="F5" t="s">
        <v>16</v>
      </c>
      <c r="G5" t="s">
        <v>104</v>
      </c>
      <c r="H5" t="s">
        <v>11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46225</v>
      </c>
      <c r="B6" t="s">
        <v>67</v>
      </c>
      <c r="C6" s="5" t="s">
        <v>105</v>
      </c>
      <c r="D6" t="s">
        <v>12</v>
      </c>
      <c r="E6" t="s">
        <v>10</v>
      </c>
      <c r="F6" t="s">
        <v>10</v>
      </c>
      <c r="G6" t="s">
        <v>72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46225</v>
      </c>
      <c r="B7" t="s">
        <v>78</v>
      </c>
      <c r="C7" s="5" t="s">
        <v>106</v>
      </c>
      <c r="D7" t="s">
        <v>9</v>
      </c>
      <c r="E7" t="s">
        <v>87</v>
      </c>
      <c r="F7" t="s">
        <v>87</v>
      </c>
      <c r="G7" t="s">
        <v>107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46225</v>
      </c>
      <c r="B8" t="s">
        <v>78</v>
      </c>
      <c r="C8" s="5" t="s">
        <v>108</v>
      </c>
      <c r="D8" t="s">
        <v>13</v>
      </c>
      <c r="E8" t="s">
        <v>26</v>
      </c>
      <c r="F8" t="s">
        <v>26</v>
      </c>
      <c r="G8" t="s">
        <v>109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46225</v>
      </c>
      <c r="B9" t="s">
        <v>78</v>
      </c>
      <c r="C9" s="5" t="s">
        <v>110</v>
      </c>
      <c r="D9" t="s">
        <v>12</v>
      </c>
      <c r="E9" t="s">
        <v>38</v>
      </c>
      <c r="F9" t="s">
        <v>38</v>
      </c>
      <c r="G9" t="s">
        <v>111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46225</v>
      </c>
      <c r="B10" t="s">
        <v>78</v>
      </c>
      <c r="C10" s="5" t="s">
        <v>112</v>
      </c>
      <c r="D10" t="s">
        <v>12</v>
      </c>
      <c r="E10" t="s">
        <v>10</v>
      </c>
      <c r="F10" t="s">
        <v>10</v>
      </c>
      <c r="G10" t="s">
        <v>91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46225</v>
      </c>
      <c r="B11" t="s">
        <v>78</v>
      </c>
      <c r="C11" s="5" t="s">
        <v>113</v>
      </c>
      <c r="D11" t="s">
        <v>12</v>
      </c>
      <c r="E11" t="s">
        <v>33</v>
      </c>
      <c r="F11" t="s">
        <v>33</v>
      </c>
      <c r="G11" t="s">
        <v>94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46225</v>
      </c>
      <c r="B12" t="s">
        <v>78</v>
      </c>
      <c r="C12" s="5" t="s">
        <v>114</v>
      </c>
      <c r="D12" t="s">
        <v>12</v>
      </c>
      <c r="E12" t="s">
        <v>24</v>
      </c>
      <c r="F12" t="s">
        <v>24</v>
      </c>
      <c r="G12" t="s">
        <v>101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Gobernador</v>
      </c>
    </row>
    <row r="13" spans="1:10" x14ac:dyDescent="0.25">
      <c r="A13" s="11">
        <v>46225</v>
      </c>
      <c r="B13" t="s">
        <v>79</v>
      </c>
      <c r="C13" s="5" t="s">
        <v>115</v>
      </c>
      <c r="D13" t="s">
        <v>12</v>
      </c>
      <c r="E13" t="s">
        <v>10</v>
      </c>
      <c r="F13" t="s">
        <v>10</v>
      </c>
      <c r="G13" t="s">
        <v>90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46225</v>
      </c>
      <c r="B14" t="s">
        <v>79</v>
      </c>
      <c r="C14" s="5" t="s">
        <v>116</v>
      </c>
      <c r="D14" t="s">
        <v>12</v>
      </c>
      <c r="E14" t="s">
        <v>10</v>
      </c>
      <c r="F14" t="s">
        <v>10</v>
      </c>
      <c r="G14" t="s">
        <v>90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46225</v>
      </c>
      <c r="B15" t="s">
        <v>79</v>
      </c>
      <c r="C15" s="5" t="s">
        <v>117</v>
      </c>
      <c r="D15" t="s">
        <v>13</v>
      </c>
      <c r="E15" t="s">
        <v>22</v>
      </c>
      <c r="F15" t="s">
        <v>22</v>
      </c>
      <c r="G15" t="s">
        <v>118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46225</v>
      </c>
      <c r="B16" t="s">
        <v>79</v>
      </c>
      <c r="C16" s="5" t="s">
        <v>119</v>
      </c>
      <c r="D16" t="s">
        <v>12</v>
      </c>
      <c r="E16" t="s">
        <v>33</v>
      </c>
      <c r="F16" t="s">
        <v>33</v>
      </c>
      <c r="G16" t="s">
        <v>94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46225</v>
      </c>
      <c r="B17" t="s">
        <v>79</v>
      </c>
      <c r="C17" s="5" t="s">
        <v>120</v>
      </c>
      <c r="D17" t="s">
        <v>9</v>
      </c>
      <c r="E17" t="s">
        <v>87</v>
      </c>
      <c r="F17" t="s">
        <v>87</v>
      </c>
      <c r="G17" t="s">
        <v>107</v>
      </c>
      <c r="H17" t="s">
        <v>121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46225</v>
      </c>
      <c r="B18" t="s">
        <v>70</v>
      </c>
      <c r="C18" s="5" t="s">
        <v>122</v>
      </c>
      <c r="D18" t="s">
        <v>9</v>
      </c>
      <c r="E18" t="s">
        <v>24</v>
      </c>
      <c r="F18" t="s">
        <v>24</v>
      </c>
      <c r="G18" t="s">
        <v>101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Gobernador</v>
      </c>
    </row>
    <row r="19" spans="1:10" x14ac:dyDescent="0.25">
      <c r="A19" s="11">
        <v>46225</v>
      </c>
      <c r="B19" t="s">
        <v>70</v>
      </c>
      <c r="C19" s="5" t="s">
        <v>123</v>
      </c>
      <c r="D19" t="s">
        <v>12</v>
      </c>
      <c r="E19" t="s">
        <v>14</v>
      </c>
      <c r="F19" t="s">
        <v>124</v>
      </c>
      <c r="G19" t="s">
        <v>125</v>
      </c>
      <c r="H19" t="s">
        <v>68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46225</v>
      </c>
      <c r="B20" t="s">
        <v>70</v>
      </c>
      <c r="C20" s="5" t="s">
        <v>126</v>
      </c>
      <c r="D20" t="s">
        <v>13</v>
      </c>
      <c r="E20" t="s">
        <v>33</v>
      </c>
      <c r="F20" t="s">
        <v>33</v>
      </c>
      <c r="G20" t="s">
        <v>89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46225</v>
      </c>
      <c r="B21" t="s">
        <v>70</v>
      </c>
      <c r="C21" s="5" t="s">
        <v>127</v>
      </c>
      <c r="D21" t="s">
        <v>12</v>
      </c>
      <c r="E21" t="s">
        <v>14</v>
      </c>
      <c r="F21" t="s">
        <v>14</v>
      </c>
      <c r="G21" t="s">
        <v>128</v>
      </c>
      <c r="H21" t="s">
        <v>11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60" x14ac:dyDescent="0.25">
      <c r="A22" s="11">
        <v>46225</v>
      </c>
      <c r="B22" t="s">
        <v>70</v>
      </c>
      <c r="C22" s="5" t="s">
        <v>129</v>
      </c>
      <c r="D22" t="s">
        <v>12</v>
      </c>
      <c r="E22" t="s">
        <v>14</v>
      </c>
      <c r="F22" t="s">
        <v>14</v>
      </c>
      <c r="G22" t="s">
        <v>82</v>
      </c>
      <c r="H22" t="s">
        <v>74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46225</v>
      </c>
      <c r="B23" t="s">
        <v>69</v>
      </c>
      <c r="C23" s="5" t="s">
        <v>130</v>
      </c>
      <c r="D23" t="s">
        <v>13</v>
      </c>
      <c r="E23" t="s">
        <v>33</v>
      </c>
      <c r="F23" t="s">
        <v>33</v>
      </c>
      <c r="G23" t="s">
        <v>94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46225</v>
      </c>
      <c r="B24" t="s">
        <v>69</v>
      </c>
      <c r="C24" s="5" t="s">
        <v>131</v>
      </c>
      <c r="D24" t="s">
        <v>12</v>
      </c>
      <c r="E24" t="s">
        <v>24</v>
      </c>
      <c r="F24" t="s">
        <v>24</v>
      </c>
      <c r="G24" t="s">
        <v>101</v>
      </c>
      <c r="H24" t="s">
        <v>68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Gobernador</v>
      </c>
    </row>
    <row r="25" spans="1:10" ht="30" x14ac:dyDescent="0.25">
      <c r="A25" s="11">
        <v>46225</v>
      </c>
      <c r="B25" t="s">
        <v>69</v>
      </c>
      <c r="C25" s="5" t="s">
        <v>132</v>
      </c>
      <c r="D25" t="s">
        <v>12</v>
      </c>
      <c r="E25" t="s">
        <v>33</v>
      </c>
      <c r="F25" t="s">
        <v>33</v>
      </c>
      <c r="G25" t="s">
        <v>89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46225</v>
      </c>
      <c r="B26" t="s">
        <v>69</v>
      </c>
      <c r="C26" s="5" t="s">
        <v>133</v>
      </c>
      <c r="D26" t="s">
        <v>12</v>
      </c>
      <c r="E26" t="s">
        <v>14</v>
      </c>
      <c r="F26" t="s">
        <v>124</v>
      </c>
      <c r="G26" t="s">
        <v>125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46225</v>
      </c>
      <c r="B27" t="s">
        <v>75</v>
      </c>
      <c r="C27" s="5" t="s">
        <v>134</v>
      </c>
      <c r="D27" t="s">
        <v>12</v>
      </c>
      <c r="E27" t="s">
        <v>24</v>
      </c>
      <c r="F27" t="s">
        <v>24</v>
      </c>
      <c r="G27" t="s">
        <v>101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Gobernador</v>
      </c>
    </row>
    <row r="28" spans="1:10" ht="30" x14ac:dyDescent="0.25">
      <c r="A28" s="11">
        <v>46225</v>
      </c>
      <c r="B28" t="s">
        <v>75</v>
      </c>
      <c r="C28" s="5" t="s">
        <v>135</v>
      </c>
      <c r="D28" t="s">
        <v>12</v>
      </c>
      <c r="E28" t="s">
        <v>10</v>
      </c>
      <c r="F28" t="s">
        <v>10</v>
      </c>
      <c r="G28" t="s">
        <v>136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46225</v>
      </c>
      <c r="B29" t="s">
        <v>75</v>
      </c>
      <c r="C29" s="5" t="s">
        <v>137</v>
      </c>
      <c r="D29" t="s">
        <v>13</v>
      </c>
      <c r="E29" t="s">
        <v>16</v>
      </c>
      <c r="F29" t="s">
        <v>92</v>
      </c>
      <c r="G29" t="s">
        <v>95</v>
      </c>
      <c r="H29" t="s">
        <v>68</v>
      </c>
      <c r="I29" t="str">
        <f>_xlfn.XLOOKUP(Tabla1[[#This Row],[Dependencia]],Tabla2[Dependencia],Tabla2[Clasificación],"XXX",0)</f>
        <v>Alcaldías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46225</v>
      </c>
      <c r="B30" t="s">
        <v>75</v>
      </c>
      <c r="C30" s="5" t="s">
        <v>138</v>
      </c>
      <c r="D30" t="s">
        <v>12</v>
      </c>
      <c r="E30" t="s">
        <v>16</v>
      </c>
      <c r="F30" t="s">
        <v>16</v>
      </c>
      <c r="G30" t="s">
        <v>139</v>
      </c>
      <c r="H30" t="s">
        <v>11</v>
      </c>
      <c r="I30" t="str">
        <f>_xlfn.XLOOKUP(Tabla1[[#This Row],[Dependencia]],Tabla2[Dependencia],Tabla2[Clasificación],"XXX",0)</f>
        <v>Alcaldías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46225</v>
      </c>
      <c r="B31" t="s">
        <v>75</v>
      </c>
      <c r="C31" s="5" t="s">
        <v>140</v>
      </c>
      <c r="D31" t="s">
        <v>12</v>
      </c>
      <c r="E31" t="s">
        <v>16</v>
      </c>
      <c r="F31" t="s">
        <v>16</v>
      </c>
      <c r="G31" t="s">
        <v>141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46225</v>
      </c>
      <c r="B32" t="s">
        <v>73</v>
      </c>
      <c r="C32" s="5" t="s">
        <v>142</v>
      </c>
      <c r="D32" t="s">
        <v>12</v>
      </c>
      <c r="E32" t="s">
        <v>10</v>
      </c>
      <c r="F32" t="s">
        <v>10</v>
      </c>
      <c r="G32" t="s">
        <v>89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46225</v>
      </c>
      <c r="B33" t="s">
        <v>73</v>
      </c>
      <c r="C33" s="5" t="s">
        <v>143</v>
      </c>
      <c r="D33" t="s">
        <v>13</v>
      </c>
      <c r="E33" t="s">
        <v>33</v>
      </c>
      <c r="F33" t="s">
        <v>33</v>
      </c>
      <c r="G33" t="s">
        <v>94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11">
        <v>46225</v>
      </c>
      <c r="B34" t="s">
        <v>73</v>
      </c>
      <c r="C34" s="5" t="s">
        <v>144</v>
      </c>
      <c r="D34" t="s">
        <v>9</v>
      </c>
      <c r="E34" t="s">
        <v>24</v>
      </c>
      <c r="F34" t="s">
        <v>145</v>
      </c>
      <c r="G34" t="s">
        <v>101</v>
      </c>
      <c r="H34" t="s">
        <v>68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11">
        <v>46225</v>
      </c>
      <c r="B35" t="s">
        <v>73</v>
      </c>
      <c r="C35" s="5" t="s">
        <v>146</v>
      </c>
      <c r="D35" t="s">
        <v>12</v>
      </c>
      <c r="E35" t="s">
        <v>14</v>
      </c>
      <c r="F35" t="s">
        <v>147</v>
      </c>
      <c r="G35" t="s">
        <v>148</v>
      </c>
      <c r="H35" t="s">
        <v>11</v>
      </c>
      <c r="I35" t="str">
        <f>_xlfn.XLOOKUP(Tabla1[[#This Row],[Dependencia]],Tabla2[Dependencia],Tabla2[Clasificación],"XXX",0)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25">
      <c r="A36" s="11">
        <v>46225</v>
      </c>
      <c r="B36" t="s">
        <v>73</v>
      </c>
      <c r="C36" s="5" t="s">
        <v>149</v>
      </c>
      <c r="D36" t="s">
        <v>12</v>
      </c>
      <c r="E36" t="s">
        <v>33</v>
      </c>
      <c r="F36" t="s">
        <v>33</v>
      </c>
      <c r="G36" t="s">
        <v>150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46225</v>
      </c>
      <c r="B37" t="s">
        <v>83</v>
      </c>
      <c r="C37" s="5" t="s">
        <v>151</v>
      </c>
      <c r="D37" t="s">
        <v>85</v>
      </c>
      <c r="E37" t="s">
        <v>10</v>
      </c>
      <c r="F37" t="s">
        <v>10</v>
      </c>
      <c r="G37" t="s">
        <v>152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46225</v>
      </c>
      <c r="B38" t="s">
        <v>83</v>
      </c>
      <c r="C38" s="5" t="s">
        <v>153</v>
      </c>
      <c r="D38" t="s">
        <v>13</v>
      </c>
      <c r="E38" t="s">
        <v>24</v>
      </c>
      <c r="F38" t="s">
        <v>24</v>
      </c>
      <c r="G38" t="s">
        <v>101</v>
      </c>
      <c r="H38" t="s">
        <v>68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30" x14ac:dyDescent="0.25">
      <c r="A39" s="11">
        <v>46225</v>
      </c>
      <c r="B39" t="s">
        <v>83</v>
      </c>
      <c r="C39" s="5" t="s">
        <v>154</v>
      </c>
      <c r="D39" t="s">
        <v>12</v>
      </c>
      <c r="E39" t="s">
        <v>16</v>
      </c>
      <c r="F39" t="s">
        <v>16</v>
      </c>
      <c r="G39" t="s">
        <v>155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46225</v>
      </c>
      <c r="B40" t="s">
        <v>83</v>
      </c>
      <c r="C40" s="5" t="s">
        <v>156</v>
      </c>
      <c r="D40" t="s">
        <v>12</v>
      </c>
      <c r="E40" t="s">
        <v>16</v>
      </c>
      <c r="F40" t="s">
        <v>86</v>
      </c>
      <c r="G40" t="s">
        <v>107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46225</v>
      </c>
      <c r="B41" t="s">
        <v>83</v>
      </c>
      <c r="C41" s="5" t="s">
        <v>157</v>
      </c>
      <c r="D41" t="s">
        <v>12</v>
      </c>
      <c r="E41" t="s">
        <v>16</v>
      </c>
      <c r="F41" t="s">
        <v>86</v>
      </c>
      <c r="G41" t="s">
        <v>158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46225</v>
      </c>
      <c r="B42" t="s">
        <v>83</v>
      </c>
      <c r="C42" s="5" t="s">
        <v>159</v>
      </c>
      <c r="D42" t="s">
        <v>12</v>
      </c>
      <c r="E42" t="s">
        <v>16</v>
      </c>
      <c r="F42" t="s">
        <v>16</v>
      </c>
      <c r="G42" t="s">
        <v>160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46225</v>
      </c>
      <c r="B43" t="s">
        <v>83</v>
      </c>
      <c r="C43" s="5" t="s">
        <v>161</v>
      </c>
      <c r="D43" t="s">
        <v>12</v>
      </c>
      <c r="E43" t="s">
        <v>14</v>
      </c>
      <c r="F43" t="s">
        <v>93</v>
      </c>
      <c r="G43" t="s">
        <v>88</v>
      </c>
      <c r="H43" t="s">
        <v>11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45" x14ac:dyDescent="0.25">
      <c r="A44" s="11">
        <v>46225</v>
      </c>
      <c r="B44" t="s">
        <v>83</v>
      </c>
      <c r="C44" s="5" t="s">
        <v>162</v>
      </c>
      <c r="D44" t="s">
        <v>12</v>
      </c>
      <c r="E44" t="s">
        <v>10</v>
      </c>
      <c r="F44" t="s">
        <v>10</v>
      </c>
      <c r="G44" t="s">
        <v>89</v>
      </c>
      <c r="H44" t="s">
        <v>74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46225</v>
      </c>
      <c r="B45" t="s">
        <v>77</v>
      </c>
      <c r="C45" s="5" t="s">
        <v>163</v>
      </c>
      <c r="D45" t="s">
        <v>13</v>
      </c>
      <c r="E45" t="s">
        <v>33</v>
      </c>
      <c r="F45" t="s">
        <v>33</v>
      </c>
      <c r="G45" t="s">
        <v>94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x14ac:dyDescent="0.25">
      <c r="A46" s="11">
        <v>46225</v>
      </c>
      <c r="B46" t="s">
        <v>77</v>
      </c>
      <c r="C46" s="5" t="s">
        <v>164</v>
      </c>
      <c r="D46" t="s">
        <v>12</v>
      </c>
      <c r="E46" t="s">
        <v>10</v>
      </c>
      <c r="F46" t="s">
        <v>10</v>
      </c>
      <c r="G46" t="s">
        <v>81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x14ac:dyDescent="0.25">
      <c r="A47" s="11">
        <v>46225</v>
      </c>
      <c r="B47" t="s">
        <v>77</v>
      </c>
      <c r="C47" s="5" t="s">
        <v>165</v>
      </c>
      <c r="D47" t="s">
        <v>12</v>
      </c>
      <c r="E47" t="s">
        <v>54</v>
      </c>
      <c r="F47" t="s">
        <v>54</v>
      </c>
      <c r="G47" t="s">
        <v>166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46225</v>
      </c>
      <c r="B48" t="s">
        <v>77</v>
      </c>
      <c r="C48" s="5" t="s">
        <v>167</v>
      </c>
      <c r="D48" t="s">
        <v>9</v>
      </c>
      <c r="E48" t="s">
        <v>24</v>
      </c>
      <c r="F48" t="s">
        <v>24</v>
      </c>
      <c r="G48" t="s">
        <v>101</v>
      </c>
      <c r="H48" t="s">
        <v>68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25">
      <c r="A49" s="11">
        <v>46225</v>
      </c>
      <c r="B49" t="s">
        <v>77</v>
      </c>
      <c r="C49" s="5" t="s">
        <v>168</v>
      </c>
      <c r="D49" t="s">
        <v>12</v>
      </c>
      <c r="E49" t="s">
        <v>16</v>
      </c>
      <c r="F49" t="s">
        <v>86</v>
      </c>
      <c r="G49" t="s">
        <v>155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46225</v>
      </c>
      <c r="B50" t="s">
        <v>77</v>
      </c>
      <c r="C50" s="5" t="s">
        <v>169</v>
      </c>
      <c r="D50" t="s">
        <v>12</v>
      </c>
      <c r="E50" t="s">
        <v>10</v>
      </c>
      <c r="F50" t="s">
        <v>10</v>
      </c>
      <c r="G50" t="s">
        <v>84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46225</v>
      </c>
      <c r="B51" t="s">
        <v>80</v>
      </c>
      <c r="C51" s="5" t="s">
        <v>170</v>
      </c>
      <c r="D51" t="s">
        <v>13</v>
      </c>
      <c r="E51" t="s">
        <v>24</v>
      </c>
      <c r="F51" t="s">
        <v>24</v>
      </c>
      <c r="G51" t="s">
        <v>101</v>
      </c>
      <c r="H51" t="s">
        <v>68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11">
        <v>46225</v>
      </c>
      <c r="B52" t="s">
        <v>80</v>
      </c>
      <c r="C52" s="5" t="s">
        <v>171</v>
      </c>
      <c r="D52" t="s">
        <v>12</v>
      </c>
      <c r="E52" t="s">
        <v>16</v>
      </c>
      <c r="F52" t="s">
        <v>16</v>
      </c>
      <c r="G52" t="s">
        <v>172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46225</v>
      </c>
      <c r="B53" t="s">
        <v>80</v>
      </c>
      <c r="C53" s="5" t="s">
        <v>173</v>
      </c>
      <c r="D53" t="s">
        <v>12</v>
      </c>
      <c r="E53" t="s">
        <v>26</v>
      </c>
      <c r="F53" t="s">
        <v>174</v>
      </c>
      <c r="G53" t="s">
        <v>175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11">
        <v>46225</v>
      </c>
      <c r="B54" t="s">
        <v>80</v>
      </c>
      <c r="C54" s="5" t="s">
        <v>176</v>
      </c>
      <c r="D54" t="s">
        <v>12</v>
      </c>
      <c r="E54" t="s">
        <v>16</v>
      </c>
      <c r="F54" t="s">
        <v>86</v>
      </c>
      <c r="G54" t="s">
        <v>158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11">
        <v>46225</v>
      </c>
      <c r="B55" t="s">
        <v>80</v>
      </c>
      <c r="C55" s="5" t="s">
        <v>177</v>
      </c>
      <c r="D55" t="s">
        <v>12</v>
      </c>
      <c r="E55" t="s">
        <v>14</v>
      </c>
      <c r="F55" t="s">
        <v>178</v>
      </c>
      <c r="G55" t="s">
        <v>179</v>
      </c>
      <c r="H55" t="s">
        <v>11</v>
      </c>
      <c r="I55" t="str">
        <f>_xlfn.XLOOKUP(Tabla1[[#This Row],[Dependencia]],Tabla2[Dependencia],Tabla2[Clasificación],"XXX",0)</f>
        <v>Presidencia de la República</v>
      </c>
      <c r="J55" t="str">
        <f>_xlfn.XLOOKUP(Tabla1[[#This Row],[Dependencia]],Tabla3[Dependencia],Tabla3[Nivel],"Otros",0)</f>
        <v>Otros</v>
      </c>
    </row>
    <row r="56" spans="1:10" x14ac:dyDescent="0.25">
      <c r="A56" s="11">
        <v>46225</v>
      </c>
      <c r="B56" t="s">
        <v>80</v>
      </c>
      <c r="C56" s="5" t="s">
        <v>96</v>
      </c>
      <c r="D56" t="s">
        <v>76</v>
      </c>
      <c r="E56" t="s">
        <v>29</v>
      </c>
      <c r="F56" t="s">
        <v>29</v>
      </c>
      <c r="G56" t="s">
        <v>97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2026-07-22T23:37:33Z</dcterms:modified>
</cp:coreProperties>
</file>