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vivie\Repositorios GitHub\Reporteportadas\"/>
    </mc:Choice>
  </mc:AlternateContent>
  <xr:revisionPtr revIDLastSave="0" documentId="13_ncr:1_{B4E8EF5F-C66B-4223-B50E-BFE67E71F658}" xr6:coauthVersionLast="47" xr6:coauthVersionMax="47" xr10:uidLastSave="{00000000-0000-0000-0000-000000000000}"/>
  <bookViews>
    <workbookView xWindow="-19310" yWindow="-110" windowWidth="19420" windowHeight="10300" xr2:uid="{56C16FF2-DC5E-4EA2-A3CB-6D506676B8B8}"/>
  </bookViews>
  <sheets>
    <sheet name="Hoja1" sheetId="1" r:id="rId1"/>
    <sheet name="Hoja2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3" i="1" l="1"/>
  <c r="I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65" i="1"/>
  <c r="I66" i="1"/>
  <c r="I67" i="1"/>
  <c r="I68" i="1"/>
  <c r="J3" i="1"/>
  <c r="J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65" i="1"/>
  <c r="J66" i="1"/>
  <c r="J67" i="1"/>
  <c r="J68" i="1"/>
  <c r="I2" i="1"/>
  <c r="J2" i="1"/>
</calcChain>
</file>

<file path=xl/sharedStrings.xml><?xml version="1.0" encoding="utf-8"?>
<sst xmlns="http://schemas.openxmlformats.org/spreadsheetml/2006/main" count="629" uniqueCount="201">
  <si>
    <t>Fecha</t>
  </si>
  <si>
    <t>Medio</t>
  </si>
  <si>
    <t>Titular</t>
  </si>
  <si>
    <t>Recurso editorial</t>
  </si>
  <si>
    <t>Dependencia</t>
  </si>
  <si>
    <t>Organismo</t>
  </si>
  <si>
    <t>Tema</t>
  </si>
  <si>
    <t>Estatus</t>
  </si>
  <si>
    <t>Grupo</t>
  </si>
  <si>
    <t>Foco gráfico</t>
  </si>
  <si>
    <t>Otros</t>
  </si>
  <si>
    <t>Informativa</t>
  </si>
  <si>
    <t>Llamado</t>
  </si>
  <si>
    <t>Ocho columnas</t>
  </si>
  <si>
    <t>Presidencia</t>
  </si>
  <si>
    <t>SSH</t>
  </si>
  <si>
    <t>Ayuntamiento</t>
  </si>
  <si>
    <t>PGJEH</t>
  </si>
  <si>
    <t>Morena</t>
  </si>
  <si>
    <t>Bienestar</t>
  </si>
  <si>
    <t>Semarnath</t>
  </si>
  <si>
    <t>Oficialía Mayor</t>
  </si>
  <si>
    <t>SSPH</t>
  </si>
  <si>
    <t>Segobh</t>
  </si>
  <si>
    <t>Gobernador</t>
  </si>
  <si>
    <t>Delegación</t>
  </si>
  <si>
    <t>SEPH</t>
  </si>
  <si>
    <t>Semot</t>
  </si>
  <si>
    <t>Cultura</t>
  </si>
  <si>
    <t>Turismo</t>
  </si>
  <si>
    <t>Clasificación</t>
  </si>
  <si>
    <t>Alcaldías</t>
  </si>
  <si>
    <t>Gobierno del estado</t>
  </si>
  <si>
    <t>CGCG</t>
  </si>
  <si>
    <t>Congreso</t>
  </si>
  <si>
    <t>Contraloría</t>
  </si>
  <si>
    <t>Despacho</t>
  </si>
  <si>
    <t>DIFH</t>
  </si>
  <si>
    <t>Gabinete de Seguridad</t>
  </si>
  <si>
    <t>Gobierno</t>
  </si>
  <si>
    <t>Hacienda</t>
  </si>
  <si>
    <t>IEEH</t>
  </si>
  <si>
    <t>Independiente</t>
  </si>
  <si>
    <t>Proceso electoral</t>
  </si>
  <si>
    <t>MC</t>
  </si>
  <si>
    <t>Partidos</t>
  </si>
  <si>
    <t>PAN</t>
  </si>
  <si>
    <t>Panalh</t>
  </si>
  <si>
    <t>Planeación</t>
  </si>
  <si>
    <t>PRD</t>
  </si>
  <si>
    <t>Presidencia de la República</t>
  </si>
  <si>
    <t>Pri</t>
  </si>
  <si>
    <t>PT</t>
  </si>
  <si>
    <t>PVEM</t>
  </si>
  <si>
    <t>Saderh</t>
  </si>
  <si>
    <t>Sedeco</t>
  </si>
  <si>
    <t>SIPDUS</t>
  </si>
  <si>
    <t>STPSH</t>
  </si>
  <si>
    <t>TEEH</t>
  </si>
  <si>
    <t>TSJEH</t>
  </si>
  <si>
    <t>UAEH</t>
  </si>
  <si>
    <t>CDHEH</t>
  </si>
  <si>
    <t>Aspirantes</t>
  </si>
  <si>
    <t>Sucesión gubernamental</t>
  </si>
  <si>
    <t>Espacio Hidalgo</t>
  </si>
  <si>
    <t>PES</t>
  </si>
  <si>
    <t>Nivel</t>
  </si>
  <si>
    <t>Gabinete</t>
  </si>
  <si>
    <t>Milenio Hidalgo</t>
  </si>
  <si>
    <t>El Sol de Hidalgo</t>
  </si>
  <si>
    <t>Positiva</t>
  </si>
  <si>
    <t>Deportes</t>
  </si>
  <si>
    <t>Negativa</t>
  </si>
  <si>
    <t>Zunoticia</t>
  </si>
  <si>
    <t>Criterio</t>
  </si>
  <si>
    <t>Effetá</t>
  </si>
  <si>
    <t>Editorial</t>
  </si>
  <si>
    <t>El Universal Hidalgo</t>
  </si>
  <si>
    <t>Síntesis</t>
  </si>
  <si>
    <t>Marfeca</t>
  </si>
  <si>
    <t>Plaza Juárez</t>
  </si>
  <si>
    <t>Temas varios</t>
  </si>
  <si>
    <t>Cintillo</t>
  </si>
  <si>
    <t>Pachuca Brilla</t>
  </si>
  <si>
    <t>Drones</t>
  </si>
  <si>
    <t>Publicidad</t>
  </si>
  <si>
    <t>Detención de policía</t>
  </si>
  <si>
    <t>Día del maestro</t>
  </si>
  <si>
    <t>Videovigilancia</t>
  </si>
  <si>
    <t>Conagua</t>
  </si>
  <si>
    <t>Campaña de reciclaje</t>
  </si>
  <si>
    <t>Gusano barrenador</t>
  </si>
  <si>
    <t>Elección Judicial</t>
  </si>
  <si>
    <t>Incidencia Delictiva</t>
  </si>
  <si>
    <t>Policía municipal</t>
  </si>
  <si>
    <t>Temas internacionales</t>
  </si>
  <si>
    <t>La Jornada Hidalgo</t>
  </si>
  <si>
    <t>Mundial De Futbol</t>
  </si>
  <si>
    <t>Índice de paz</t>
  </si>
  <si>
    <t>Gusano Descortezador</t>
  </si>
  <si>
    <t>Entrega de reconocimientos</t>
  </si>
  <si>
    <t>Combate a la delincuencia</t>
  </si>
  <si>
    <t>El Niño puede alterar el clima</t>
  </si>
  <si>
    <t>Otorgan Mina del Tiempo a músico hidalguense</t>
  </si>
  <si>
    <t>Cuadrilla salvaguarda panales de abejas</t>
  </si>
  <si>
    <t>Conservación de especies</t>
  </si>
  <si>
    <t>Exponen contaminación por residuos</t>
  </si>
  <si>
    <t>Disposición de residuos</t>
  </si>
  <si>
    <t>Dan indicaciones para prevenir deshidratación</t>
  </si>
  <si>
    <t>Golpe de calor</t>
  </si>
  <si>
    <t>JMS, en contra de enterrar basura</t>
  </si>
  <si>
    <t>Morena Hidalgo respalda aplazar elección judicial a 2028 por sobrecarga</t>
  </si>
  <si>
    <t>Cuidan a los Frailes</t>
  </si>
  <si>
    <t>Prevención de incendios</t>
  </si>
  <si>
    <t>El gobernador Menchaca dijo que la planta Cruz Azul reiniciará operaciones en el tercer trimestre de 2026</t>
  </si>
  <si>
    <t>Cruz Azul</t>
  </si>
  <si>
    <t>Preocupa término de obra en Endhó</t>
  </si>
  <si>
    <t>Cedspi</t>
  </si>
  <si>
    <t>Presa Endhó</t>
  </si>
  <si>
    <t>TUZAS QUIEREN  HACER HISTORIA</t>
  </si>
  <si>
    <t>AGARRÓN ENTRE  LAS CAMPEONAS</t>
  </si>
  <si>
    <t>POR HOMICIDIOS Y  LESIONES, SUMARON  CASI 100 DENUNCIAS</t>
  </si>
  <si>
    <t>Reportaron 12 mujeres sin vida de enero a abril en la entidad</t>
  </si>
  <si>
    <t>Personas desaparecidas</t>
  </si>
  <si>
    <t>Canasta básica cuesta $1,140 esta semana</t>
  </si>
  <si>
    <t>Canasta básica</t>
  </si>
  <si>
    <t>Morena Hidalgo avala aplazar la elección judicial</t>
  </si>
  <si>
    <t>Descartan casos de barrenador en programa de salud</t>
  </si>
  <si>
    <t>Índice de Paz ubica a Hidalgo entre los estados más seguros</t>
  </si>
  <si>
    <t>Delitos investigados están debajo de la media nacional</t>
  </si>
  <si>
    <t>Serán sometidos a juicio 9 policías por homicidio</t>
  </si>
  <si>
    <t>Desmantelan centro de operaciones criminales</t>
  </si>
  <si>
    <t>No habrá municipio sin obra pública, dice Menchaca</t>
  </si>
  <si>
    <t>Ruta de la Transformación</t>
  </si>
  <si>
    <t>Repuntan los usuarios del Tuzobús en Marzo: Inegi</t>
  </si>
  <si>
    <t>Sitmah</t>
  </si>
  <si>
    <t>Afluencia Tuzobús</t>
  </si>
  <si>
    <t>Retiran mercancía de las calles de Tulancingo</t>
  </si>
  <si>
    <t>Decomiso de piratería</t>
  </si>
  <si>
    <t>Reciclan en la región más de 8 millones de botellas de PET</t>
  </si>
  <si>
    <t>Ensamblará GM en México 80 mil autos que armaba en plantas chinas</t>
  </si>
  <si>
    <t>Plan México</t>
  </si>
  <si>
    <t>Con Trump, la migra suma un delito a diario</t>
  </si>
  <si>
    <t>Cercanos a Osorio Chong malversan 65 millones de dólares</t>
  </si>
  <si>
    <t>Inhabilitación de funcionario</t>
  </si>
  <si>
    <t>Habrá más revisiones a policías municipales, advierte gobernador</t>
  </si>
  <si>
    <t>CSP critica falta de reciprocidad de EU en casos de extradición</t>
  </si>
  <si>
    <t>Convierten terreno en Zempoala en basurero clandestino</t>
  </si>
  <si>
    <t>Basurero Clandestino</t>
  </si>
  <si>
    <t>La perspectiva de género, el interés superior de la niñez y la adolescencia y el enfoque  interseccional son herramientas necesarias e importantes para lograr una verdadera  justicia. Muchas de nuestras leyes (…) replican prejuicios, mandatos y estereotipos que  no coinciden con el momento social y político en que nos encontramos”.</t>
  </si>
  <si>
    <t>Posiciona Índice de Paz a Hidalgo entre las entidades más seguras de México</t>
  </si>
  <si>
    <t>Menchaca anuncia obras en  Mixquiahuala y Tezontepec;  garantiza infraestructura en los  84 municipios</t>
  </si>
  <si>
    <t>Retiran 23 mil árboles en El Chico por gusano descortezador</t>
  </si>
  <si>
    <t>Proyectan paneles solares y reciclaje de agua para nuevo salón de plenos</t>
  </si>
  <si>
    <t>Salón De Plenos</t>
  </si>
  <si>
    <t>Lluvias intensas, calor y viento afectarán al norte de Hidalgo</t>
  </si>
  <si>
    <t>PC</t>
  </si>
  <si>
    <t>Alerta Meteorológica</t>
  </si>
  <si>
    <t>En espera que Atlapexco y Jaltocán designen terrenos para rellenos sanitaros</t>
  </si>
  <si>
    <t>Relleno Sanitario</t>
  </si>
  <si>
    <t>Hidalgo se consolida en el top 10 de las entidades más pacíficas de México</t>
  </si>
  <si>
    <t>Conagua impulsa obra de agua potable en Xochiatipan</t>
  </si>
  <si>
    <t>Plan Hídrico</t>
  </si>
  <si>
    <t>Secretaría de Salud lanza concurso de carteles sobre gusano barrenador</t>
  </si>
  <si>
    <t>Imparte curso de Educación vial a alumnos de primaria</t>
  </si>
  <si>
    <t>Educación vial</t>
  </si>
  <si>
    <t>Inhabilitan por 15 años a exsecretario de Seguridad de Miguel Osorio</t>
  </si>
  <si>
    <t>Asegura Julio Menchaca: "La garantía es, con este gobierno, obra en los 84 municipios"</t>
  </si>
  <si>
    <t>Desmantelan centro criminal en Tepetitlán</t>
  </si>
  <si>
    <t>Siembran"" y queman cadáver</t>
  </si>
  <si>
    <t>Localización de cuerpo</t>
  </si>
  <si>
    <t>Gobierno de Hidalgo busca alternativas ante crisis por rellenos sanitarios</t>
  </si>
  <si>
    <t>Disposición de basura</t>
  </si>
  <si>
    <t>inforam</t>
  </si>
  <si>
    <t>Vinculan a proceso a nueve policías de Progreso .por homicidio y lesiones</t>
  </si>
  <si>
    <t>EI docufilm Azul Oscuro, Azul celeste llega a las salas de Cinemex</t>
  </si>
  <si>
    <t>Más obras llegan a Tezontepec de Aldama durante las Rutas de la Transformación</t>
  </si>
  <si>
    <t>Alejandro Alcántara llama a garantizar los derechos de la diversidad sexual y anuncia próximo Parlamento de la Diversidad en Hidalgo</t>
  </si>
  <si>
    <t>Diversidad sexogenérica</t>
  </si>
  <si>
    <t>Menchaca garantiza obra pública en los 84 municipios</t>
  </si>
  <si>
    <t>Sección 15 del SNTE celebra con éxito el ""Día de la Mestra y el Maestro"" en Tulancingo</t>
  </si>
  <si>
    <t>Tras accidente trasladan a joven vía aérea a Hospital -General de Pachuca</t>
  </si>
  <si>
    <t>Puente aéreo</t>
  </si>
  <si>
    <t>Cemento Cruz Azul y el Club de Futbol Cruz Azul reciben nuevamente el distintivo ESR</t>
  </si>
  <si>
    <t>IHE FORTALECE ESPACIOS ESCOLARES EN ACTOPAN</t>
  </si>
  <si>
    <t>IHE</t>
  </si>
  <si>
    <t>Entrega De Equipo Escolar</t>
  </si>
  <si>
    <t>OBRA EN LOS 84 MUNI IPIOS, GARANTÍA DE LA ADMINISTRACIÓN DE JULIO MENCHACA</t>
  </si>
  <si>
    <t>CONVOCAN A PARTICIPAR EN PACHUCA CREATIVA, EN ELJARDÍN DEL ARTE</t>
  </si>
  <si>
    <t>Festival Cultural</t>
  </si>
  <si>
    <t>HIDALGO SE CONSOLIDA EN ELI TOP 10 DE LAS ENTIDADES MÁS PACÍFICAS DE MÉXICO: ÍNDICE DE PAZ 2026</t>
  </si>
  <si>
    <t>Comienzan finales de la Concacaf W</t>
  </si>
  <si>
    <t>Refrendo vehicular</t>
  </si>
  <si>
    <t>Refrendo Vehicular</t>
  </si>
  <si>
    <t>Hidalgo está en el top 10 de estados más pacíficos de México</t>
  </si>
  <si>
    <t>Reportan hallazgo de hombre muerto, desnudo y semicalcinado</t>
  </si>
  <si>
    <t>Vale más prevenir que lamentar, por lo que se esperan operativos exhaustivos de seguridad durante el Mundial en Ciudad I de México, Monterrey y Guadalajara, donde se realizarán los partidos del certarnen en nuestro país. ..</t>
  </si>
  <si>
    <t>Acusan tráfico de influencias en el tema de tauromaquia</t>
  </si>
  <si>
    <t>Tauromaquia</t>
  </si>
  <si>
    <t>México frena polémico megaproyecto turístico ""Perfect Day""</t>
  </si>
  <si>
    <t>Medio ambiente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</si>
</sst>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/m/yy;@"/>
  </numFmts>
  <fonts count="2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1"/>
        <bgColor theme="1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7">
    <border>
      <left/>
      <right/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1"/>
      </right>
      <top style="thin">
        <color theme="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/>
    <xf numFmtId="0" fontId="1" fillId="2" borderId="2" xfId="0" applyFont="1" applyFill="1" applyBorder="1"/>
    <xf numFmtId="0" fontId="1" fillId="2" borderId="3" xfId="0" applyFont="1" applyFill="1" applyBorder="1"/>
    <xf numFmtId="0" fontId="1" fillId="2" borderId="4" xfId="0" applyFont="1" applyFill="1" applyBorder="1"/>
    <xf numFmtId="164" fontId="0" fillId="0" borderId="0" xfId="0" applyNumberFormat="1"/>
    <xf numFmtId="0" fontId="0" fillId="0" borderId="0" xfId="0" applyAlignment="1">
      <alignment wrapText="1"/>
    </xf>
    <xf numFmtId="0" fontId="1" fillId="2" borderId="5" xfId="0" applyFont="1" applyFill="1" applyBorder="1"/>
    <xf numFmtId="0" fontId="1" fillId="3" borderId="2" xfId="0" applyFont="1" applyFill="1" applyBorder="1"/>
    <xf numFmtId="0" fontId="0" fillId="4" borderId="2" xfId="0" applyFill="1" applyBorder="1"/>
    <xf numFmtId="0" fontId="0" fillId="0" borderId="2" xfId="0" applyBorder="1"/>
    <xf numFmtId="0" fontId="0" fillId="0" borderId="6" xfId="0" applyBorder="1"/>
  </cellXfs>
  <cellStyles count="1">
    <cellStyle name="Normal" xfId="0" builtinId="0"/>
  </cellStyles>
  <dxfs count="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left style="thin">
          <color theme="4" tint="0.39997558519241921"/>
        </left>
      </border>
    </dxf>
    <dxf>
      <alignment horizontal="general" vertical="bottom" textRotation="0" wrapText="1" indent="0" justifyLastLine="0" shrinkToFit="0" readingOrder="0"/>
    </dxf>
    <dxf>
      <numFmt numFmtId="164" formatCode="d/m/yy;@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 Narrow"/>
        <family val="2"/>
        <scheme val="minor"/>
      </font>
      <fill>
        <patternFill patternType="solid">
          <fgColor theme="1"/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593606E-308D-4113-AE3C-6E714B763B6E}" name="Tabla1" displayName="Tabla1" ref="A1:J68" totalsRowShown="0" headerRowDxfId="5" headerRowBorderDxfId="4">
  <autoFilter ref="A1:J68" xr:uid="{5593606E-308D-4113-AE3C-6E714B763B6E}"/>
  <tableColumns count="10">
    <tableColumn id="1" xr3:uid="{9D9ACAF2-1710-400E-A0E5-0A5BB378D4A0}" name="Fecha" dataDxfId="3"/>
    <tableColumn id="2" xr3:uid="{03A139BE-A997-45E6-81E6-5F7467162FC5}" name="Medio"/>
    <tableColumn id="3" xr3:uid="{4CA37DD5-010E-43EE-907D-87C1845DB2AB}" name="Titular" dataDxfId="2"/>
    <tableColumn id="4" xr3:uid="{1E763E28-25D7-4FE7-AD1A-91C7A0FE0E7A}" name="Recurso editorial"/>
    <tableColumn id="5" xr3:uid="{F8C19AF2-6D19-449B-9F8B-6424964B1BCF}" name="Dependencia"/>
    <tableColumn id="6" xr3:uid="{46DF0510-7A9A-4625-979E-4EBC30CC7AA3}" name="Organismo"/>
    <tableColumn id="7" xr3:uid="{0346BCE5-FC3A-4C2D-AD63-638130FA44B5}" name="Tema"/>
    <tableColumn id="8" xr3:uid="{856528EE-30CD-49DE-A952-541B9C188AD4}" name="Estatus"/>
    <tableColumn id="9" xr3:uid="{7C008830-8647-4095-A4E2-1C816D51B364}" name="Grupo">
      <calculatedColumnFormula>_xlfn.XLOOKUP(Tabla1[[#This Row],[Dependencia]],Tabla2[Dependencia],Tabla2[Clasificación],"No indexado")</calculatedColumnFormula>
    </tableColumn>
    <tableColumn id="10" xr3:uid="{1D518E9C-586D-449F-BCFC-7A0ACD0D0C7F}" name="Nivel">
      <calculatedColumnFormula>_xlfn.XLOOKUP(Tabla1[[#This Row],[Dependencia]],Tabla3[Dependencia],Tabla3[Nivel],"otros",0)</calculatedColumnFormula>
    </tableColumn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94FD058-EAFD-43DC-A6D6-05775ECA6C1B}" name="Tabla2" displayName="Tabla2" ref="A1:B48" totalsRowShown="0">
  <autoFilter ref="A1:B48" xr:uid="{E94FD058-EAFD-43DC-A6D6-05775ECA6C1B}"/>
  <sortState xmlns:xlrd2="http://schemas.microsoft.com/office/spreadsheetml/2017/richdata2" ref="A2:B48">
    <sortCondition ref="A1:A48"/>
  </sortState>
  <tableColumns count="2">
    <tableColumn id="1" xr3:uid="{93B0A253-FCC3-494E-8F5B-B579F2FA8B2F}" name="Dependencia"/>
    <tableColumn id="2" xr3:uid="{BEA478F0-1142-489E-85D3-F5715BB2214A}" name="Clasificación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80AFAA35-C663-4971-9820-992B55167F9C}" name="Tabla3" displayName="Tabla3" ref="D1:E27" totalsRowShown="0" tableBorderDxfId="1">
  <autoFilter ref="D1:E27" xr:uid="{80AFAA35-C663-4971-9820-992B55167F9C}"/>
  <sortState xmlns:xlrd2="http://schemas.microsoft.com/office/spreadsheetml/2017/richdata2" ref="D2:E27">
    <sortCondition ref="D1:D27"/>
  </sortState>
  <tableColumns count="2">
    <tableColumn id="1" xr3:uid="{A040A308-8C62-4D4B-B3BE-EC124A9B961C}" name="Dependencia" dataDxfId="0"/>
    <tableColumn id="2" xr3:uid="{2B2FFCF1-496A-4D37-8C8B-790A66FD9968}" name="Nive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90D41B-EE15-4091-8762-C3A670C9D896}">
  <dimension ref="A1:J68"/>
  <sheetViews>
    <sheetView tabSelected="1" topLeftCell="D58" workbookViewId="0">
      <selection activeCell="J68" sqref="J68"/>
    </sheetView>
  </sheetViews>
  <sheetFormatPr baseColWidth="10" defaultRowHeight="14.5" x14ac:dyDescent="0.35"/>
  <cols>
    <col min="1" max="1" width="10.453125" bestFit="1" customWidth="1"/>
    <col min="2" max="2" width="18.7265625" bestFit="1" customWidth="1"/>
    <col min="3" max="3" width="50.7265625" customWidth="1"/>
    <col min="4" max="4" width="18.81640625" bestFit="1" customWidth="1"/>
    <col min="5" max="5" width="15.26953125" bestFit="1" customWidth="1"/>
    <col min="6" max="6" width="14.453125" bestFit="1" customWidth="1"/>
    <col min="7" max="7" width="27.7265625" bestFit="1" customWidth="1"/>
    <col min="8" max="8" width="11.1796875" bestFit="1" customWidth="1"/>
    <col min="9" max="9" width="25.7265625" bestFit="1" customWidth="1"/>
    <col min="10" max="10" width="12.1796875" bestFit="1" customWidth="1"/>
  </cols>
  <sheetData>
    <row r="1" spans="1:10" x14ac:dyDescent="0.35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7" t="s">
        <v>66</v>
      </c>
    </row>
    <row r="2" spans="1:10" x14ac:dyDescent="0.35">
      <c r="A2" s="5">
        <v>46162</v>
      </c>
      <c r="B2" t="s">
        <v>69</v>
      </c>
      <c r="C2" s="6" t="s">
        <v>102</v>
      </c>
      <c r="D2" t="s">
        <v>12</v>
      </c>
      <c r="E2" t="s">
        <v>10</v>
      </c>
      <c r="F2" t="s">
        <v>10</v>
      </c>
      <c r="G2" t="s">
        <v>81</v>
      </c>
      <c r="H2" t="s">
        <v>11</v>
      </c>
      <c r="I2" t="str">
        <f>_xlfn.XLOOKUP(Tabla1[[#This Row],[Dependencia]],Tabla2[Dependencia],Tabla2[Clasificación],"No indexado")</f>
        <v>Otros</v>
      </c>
      <c r="J2" t="str">
        <f>_xlfn.XLOOKUP(Tabla1[[#This Row],[Dependencia]],Tabla3[Dependencia],Tabla3[Nivel],"otros",0)</f>
        <v>otros</v>
      </c>
    </row>
    <row r="3" spans="1:10" x14ac:dyDescent="0.35">
      <c r="A3" s="5">
        <v>46162</v>
      </c>
      <c r="B3" t="s">
        <v>69</v>
      </c>
      <c r="C3" s="6" t="s">
        <v>103</v>
      </c>
      <c r="D3" t="s">
        <v>12</v>
      </c>
      <c r="E3" t="s">
        <v>34</v>
      </c>
      <c r="F3" t="s">
        <v>34</v>
      </c>
      <c r="G3" t="s">
        <v>100</v>
      </c>
      <c r="H3" t="s">
        <v>11</v>
      </c>
      <c r="I3" t="str">
        <f>_xlfn.XLOOKUP(Tabla1[[#This Row],[Dependencia]],Tabla2[Dependencia],Tabla2[Clasificación],"No indexado")</f>
        <v>Otros</v>
      </c>
      <c r="J3" t="str">
        <f>_xlfn.XLOOKUP(Tabla1[[#This Row],[Dependencia]],Tabla3[Dependencia],Tabla3[Nivel],"otros",0)</f>
        <v>otros</v>
      </c>
    </row>
    <row r="4" spans="1:10" x14ac:dyDescent="0.35">
      <c r="A4" s="5">
        <v>46162</v>
      </c>
      <c r="B4" t="s">
        <v>69</v>
      </c>
      <c r="C4" s="6" t="s">
        <v>104</v>
      </c>
      <c r="D4" t="s">
        <v>12</v>
      </c>
      <c r="E4" t="s">
        <v>10</v>
      </c>
      <c r="F4" t="s">
        <v>10</v>
      </c>
      <c r="G4" t="s">
        <v>105</v>
      </c>
      <c r="H4" t="s">
        <v>11</v>
      </c>
      <c r="I4" t="str">
        <f>_xlfn.XLOOKUP(Tabla1[[#This Row],[Dependencia]],Tabla2[Dependencia],Tabla2[Clasificación],"No indexado")</f>
        <v>Otros</v>
      </c>
      <c r="J4" t="str">
        <f>_xlfn.XLOOKUP(Tabla1[[#This Row],[Dependencia]],Tabla3[Dependencia],Tabla3[Nivel],"otros",0)</f>
        <v>otros</v>
      </c>
    </row>
    <row r="5" spans="1:10" x14ac:dyDescent="0.35">
      <c r="A5" s="5">
        <v>46162</v>
      </c>
      <c r="B5" t="s">
        <v>69</v>
      </c>
      <c r="C5" s="6" t="s">
        <v>106</v>
      </c>
      <c r="D5" t="s">
        <v>9</v>
      </c>
      <c r="E5" t="s">
        <v>16</v>
      </c>
      <c r="F5" t="s">
        <v>16</v>
      </c>
      <c r="G5" t="s">
        <v>107</v>
      </c>
      <c r="H5" t="s">
        <v>72</v>
      </c>
      <c r="I5" t="str">
        <f>_xlfn.XLOOKUP(Tabla1[[#This Row],[Dependencia]],Tabla2[Dependencia],Tabla2[Clasificación],"No indexado")</f>
        <v>Alcaldías</v>
      </c>
      <c r="J5" t="str">
        <f>_xlfn.XLOOKUP(Tabla1[[#This Row],[Dependencia]],Tabla3[Dependencia],Tabla3[Nivel],"otros",0)</f>
        <v>otros</v>
      </c>
    </row>
    <row r="6" spans="1:10" x14ac:dyDescent="0.35">
      <c r="A6" s="5">
        <v>46162</v>
      </c>
      <c r="B6" t="s">
        <v>69</v>
      </c>
      <c r="C6" s="6" t="s">
        <v>108</v>
      </c>
      <c r="D6" t="s">
        <v>12</v>
      </c>
      <c r="E6" t="s">
        <v>15</v>
      </c>
      <c r="F6" t="s">
        <v>15</v>
      </c>
      <c r="G6" t="s">
        <v>109</v>
      </c>
      <c r="H6" t="s">
        <v>11</v>
      </c>
      <c r="I6" t="str">
        <f>_xlfn.XLOOKUP(Tabla1[[#This Row],[Dependencia]],Tabla2[Dependencia],Tabla2[Clasificación],"No indexado")</f>
        <v>Gobierno del estado</v>
      </c>
      <c r="J6" t="str">
        <f>_xlfn.XLOOKUP(Tabla1[[#This Row],[Dependencia]],Tabla3[Dependencia],Tabla3[Nivel],"otros",0)</f>
        <v>Gabinete</v>
      </c>
    </row>
    <row r="7" spans="1:10" x14ac:dyDescent="0.35">
      <c r="A7" s="5">
        <v>46162</v>
      </c>
      <c r="B7" t="s">
        <v>69</v>
      </c>
      <c r="C7" s="6" t="s">
        <v>110</v>
      </c>
      <c r="D7" t="s">
        <v>13</v>
      </c>
      <c r="E7" t="s">
        <v>24</v>
      </c>
      <c r="F7" t="s">
        <v>24</v>
      </c>
      <c r="G7" t="s">
        <v>107</v>
      </c>
      <c r="H7" t="s">
        <v>11</v>
      </c>
      <c r="I7" t="str">
        <f>_xlfn.XLOOKUP(Tabla1[[#This Row],[Dependencia]],Tabla2[Dependencia],Tabla2[Clasificación],"No indexado")</f>
        <v>Gobierno del estado</v>
      </c>
      <c r="J7" t="str">
        <f>_xlfn.XLOOKUP(Tabla1[[#This Row],[Dependencia]],Tabla3[Dependencia],Tabla3[Nivel],"otros",0)</f>
        <v>Gobernador</v>
      </c>
    </row>
    <row r="8" spans="1:10" ht="29" x14ac:dyDescent="0.35">
      <c r="A8" s="5">
        <v>46162</v>
      </c>
      <c r="B8" t="s">
        <v>77</v>
      </c>
      <c r="C8" s="6" t="s">
        <v>111</v>
      </c>
      <c r="D8" t="s">
        <v>13</v>
      </c>
      <c r="E8" t="s">
        <v>18</v>
      </c>
      <c r="F8" t="s">
        <v>18</v>
      </c>
      <c r="G8" t="s">
        <v>92</v>
      </c>
      <c r="H8" t="s">
        <v>11</v>
      </c>
      <c r="I8" t="str">
        <f>_xlfn.XLOOKUP(Tabla1[[#This Row],[Dependencia]],Tabla2[Dependencia],Tabla2[Clasificación],"No indexado")</f>
        <v>Partidos</v>
      </c>
      <c r="J8" t="str">
        <f>_xlfn.XLOOKUP(Tabla1[[#This Row],[Dependencia]],Tabla3[Dependencia],Tabla3[Nivel],"otros",0)</f>
        <v>otros</v>
      </c>
    </row>
    <row r="9" spans="1:10" x14ac:dyDescent="0.35">
      <c r="A9" s="5">
        <v>46162</v>
      </c>
      <c r="B9" t="s">
        <v>77</v>
      </c>
      <c r="C9" s="6" t="s">
        <v>112</v>
      </c>
      <c r="D9" t="s">
        <v>9</v>
      </c>
      <c r="E9" t="s">
        <v>10</v>
      </c>
      <c r="F9" t="s">
        <v>10</v>
      </c>
      <c r="G9" t="s">
        <v>113</v>
      </c>
      <c r="H9" t="s">
        <v>11</v>
      </c>
      <c r="I9" t="str">
        <f>_xlfn.XLOOKUP(Tabla1[[#This Row],[Dependencia]],Tabla2[Dependencia],Tabla2[Clasificación],"No indexado")</f>
        <v>Otros</v>
      </c>
      <c r="J9" t="str">
        <f>_xlfn.XLOOKUP(Tabla1[[#This Row],[Dependencia]],Tabla3[Dependencia],Tabla3[Nivel],"otros",0)</f>
        <v>otros</v>
      </c>
    </row>
    <row r="10" spans="1:10" ht="29" x14ac:dyDescent="0.35">
      <c r="A10" s="5">
        <v>46162</v>
      </c>
      <c r="B10" t="s">
        <v>77</v>
      </c>
      <c r="C10" s="6" t="s">
        <v>114</v>
      </c>
      <c r="D10" t="s">
        <v>12</v>
      </c>
      <c r="E10" t="s">
        <v>24</v>
      </c>
      <c r="F10" t="s">
        <v>24</v>
      </c>
      <c r="G10" t="s">
        <v>115</v>
      </c>
      <c r="H10" t="s">
        <v>11</v>
      </c>
      <c r="I10" t="str">
        <f>_xlfn.XLOOKUP(Tabla1[[#This Row],[Dependencia]],Tabla2[Dependencia],Tabla2[Clasificación],"No indexado")</f>
        <v>Gobierno del estado</v>
      </c>
      <c r="J10" t="str">
        <f>_xlfn.XLOOKUP(Tabla1[[#This Row],[Dependencia]],Tabla3[Dependencia],Tabla3[Nivel],"otros",0)</f>
        <v>Gobernador</v>
      </c>
    </row>
    <row r="11" spans="1:10" x14ac:dyDescent="0.35">
      <c r="A11" s="5">
        <v>46162</v>
      </c>
      <c r="B11" t="s">
        <v>77</v>
      </c>
      <c r="C11" s="6" t="s">
        <v>116</v>
      </c>
      <c r="D11" t="s">
        <v>12</v>
      </c>
      <c r="E11" t="s">
        <v>48</v>
      </c>
      <c r="F11" t="s">
        <v>117</v>
      </c>
      <c r="G11" t="s">
        <v>118</v>
      </c>
      <c r="H11" t="s">
        <v>11</v>
      </c>
      <c r="I11" t="str">
        <f>_xlfn.XLOOKUP(Tabla1[[#This Row],[Dependencia]],Tabla2[Dependencia],Tabla2[Clasificación],"No indexado")</f>
        <v>Gobierno del estado</v>
      </c>
      <c r="J11" t="str">
        <f>_xlfn.XLOOKUP(Tabla1[[#This Row],[Dependencia]],Tabla3[Dependencia],Tabla3[Nivel],"otros",0)</f>
        <v>Gabinete</v>
      </c>
    </row>
    <row r="12" spans="1:10" x14ac:dyDescent="0.35">
      <c r="A12" s="5">
        <v>46162</v>
      </c>
      <c r="B12" t="s">
        <v>74</v>
      </c>
      <c r="C12" s="6" t="s">
        <v>119</v>
      </c>
      <c r="D12" t="s">
        <v>12</v>
      </c>
      <c r="E12" t="s">
        <v>10</v>
      </c>
      <c r="F12" t="s">
        <v>10</v>
      </c>
      <c r="G12" t="s">
        <v>71</v>
      </c>
      <c r="H12" t="s">
        <v>11</v>
      </c>
      <c r="I12" t="str">
        <f>_xlfn.XLOOKUP(Tabla1[[#This Row],[Dependencia]],Tabla2[Dependencia],Tabla2[Clasificación],"No indexado")</f>
        <v>Otros</v>
      </c>
      <c r="J12" t="str">
        <f>_xlfn.XLOOKUP(Tabla1[[#This Row],[Dependencia]],Tabla3[Dependencia],Tabla3[Nivel],"otros",0)</f>
        <v>otros</v>
      </c>
    </row>
    <row r="13" spans="1:10" x14ac:dyDescent="0.35">
      <c r="A13" s="5">
        <v>46162</v>
      </c>
      <c r="B13" t="s">
        <v>74</v>
      </c>
      <c r="C13" s="6" t="s">
        <v>120</v>
      </c>
      <c r="D13" t="s">
        <v>12</v>
      </c>
      <c r="E13" t="s">
        <v>10</v>
      </c>
      <c r="F13" t="s">
        <v>10</v>
      </c>
      <c r="G13" t="s">
        <v>71</v>
      </c>
      <c r="H13" t="s">
        <v>11</v>
      </c>
      <c r="I13" t="str">
        <f>_xlfn.XLOOKUP(Tabla1[[#This Row],[Dependencia]],Tabla2[Dependencia],Tabla2[Clasificación],"No indexado")</f>
        <v>Otros</v>
      </c>
      <c r="J13" t="str">
        <f>_xlfn.XLOOKUP(Tabla1[[#This Row],[Dependencia]],Tabla3[Dependencia],Tabla3[Nivel],"otros",0)</f>
        <v>otros</v>
      </c>
    </row>
    <row r="14" spans="1:10" ht="29" x14ac:dyDescent="0.35">
      <c r="A14" s="5">
        <v>46162</v>
      </c>
      <c r="B14" t="s">
        <v>74</v>
      </c>
      <c r="C14" s="6" t="s">
        <v>121</v>
      </c>
      <c r="D14" t="s">
        <v>13</v>
      </c>
      <c r="E14" t="s">
        <v>17</v>
      </c>
      <c r="F14" t="s">
        <v>17</v>
      </c>
      <c r="G14" t="s">
        <v>93</v>
      </c>
      <c r="H14" t="s">
        <v>11</v>
      </c>
      <c r="I14" t="str">
        <f>_xlfn.XLOOKUP(Tabla1[[#This Row],[Dependencia]],Tabla2[Dependencia],Tabla2[Clasificación],"No indexado")</f>
        <v>Gobierno del estado</v>
      </c>
      <c r="J14" t="str">
        <f>_xlfn.XLOOKUP(Tabla1[[#This Row],[Dependencia]],Tabla3[Dependencia],Tabla3[Nivel],"otros",0)</f>
        <v>Gabinete</v>
      </c>
    </row>
    <row r="15" spans="1:10" x14ac:dyDescent="0.35">
      <c r="A15" s="5">
        <v>46162</v>
      </c>
      <c r="B15" t="s">
        <v>74</v>
      </c>
      <c r="C15" s="6" t="s">
        <v>122</v>
      </c>
      <c r="D15" t="s">
        <v>12</v>
      </c>
      <c r="E15" t="s">
        <v>17</v>
      </c>
      <c r="F15" t="s">
        <v>17</v>
      </c>
      <c r="G15" t="s">
        <v>123</v>
      </c>
      <c r="H15" t="s">
        <v>72</v>
      </c>
      <c r="I15" t="str">
        <f>_xlfn.XLOOKUP(Tabla1[[#This Row],[Dependencia]],Tabla2[Dependencia],Tabla2[Clasificación],"No indexado")</f>
        <v>Gobierno del estado</v>
      </c>
      <c r="J15" t="str">
        <f>_xlfn.XLOOKUP(Tabla1[[#This Row],[Dependencia]],Tabla3[Dependencia],Tabla3[Nivel],"otros",0)</f>
        <v>Gabinete</v>
      </c>
    </row>
    <row r="16" spans="1:10" x14ac:dyDescent="0.35">
      <c r="A16" s="5">
        <v>46162</v>
      </c>
      <c r="B16" t="s">
        <v>74</v>
      </c>
      <c r="C16" s="6" t="s">
        <v>124</v>
      </c>
      <c r="D16" t="s">
        <v>9</v>
      </c>
      <c r="E16" t="s">
        <v>10</v>
      </c>
      <c r="F16" t="s">
        <v>10</v>
      </c>
      <c r="G16" t="s">
        <v>125</v>
      </c>
      <c r="H16" t="s">
        <v>11</v>
      </c>
      <c r="I16" t="str">
        <f>_xlfn.XLOOKUP(Tabla1[[#This Row],[Dependencia]],Tabla2[Dependencia],Tabla2[Clasificación],"No indexado")</f>
        <v>Otros</v>
      </c>
      <c r="J16" t="str">
        <f>_xlfn.XLOOKUP(Tabla1[[#This Row],[Dependencia]],Tabla3[Dependencia],Tabla3[Nivel],"otros",0)</f>
        <v>otros</v>
      </c>
    </row>
    <row r="17" spans="1:10" x14ac:dyDescent="0.35">
      <c r="A17" s="5">
        <v>46162</v>
      </c>
      <c r="B17" t="s">
        <v>74</v>
      </c>
      <c r="C17" s="6" t="s">
        <v>126</v>
      </c>
      <c r="D17" t="s">
        <v>12</v>
      </c>
      <c r="E17" t="s">
        <v>18</v>
      </c>
      <c r="F17" t="s">
        <v>18</v>
      </c>
      <c r="G17" t="s">
        <v>92</v>
      </c>
      <c r="H17" t="s">
        <v>11</v>
      </c>
      <c r="I17" t="str">
        <f>_xlfn.XLOOKUP(Tabla1[[#This Row],[Dependencia]],Tabla2[Dependencia],Tabla2[Clasificación],"No indexado")</f>
        <v>Partidos</v>
      </c>
      <c r="J17" t="str">
        <f>_xlfn.XLOOKUP(Tabla1[[#This Row],[Dependencia]],Tabla3[Dependencia],Tabla3[Nivel],"otros",0)</f>
        <v>otros</v>
      </c>
    </row>
    <row r="18" spans="1:10" x14ac:dyDescent="0.35">
      <c r="A18" s="5">
        <v>46162</v>
      </c>
      <c r="B18" t="s">
        <v>74</v>
      </c>
      <c r="C18" s="6" t="s">
        <v>127</v>
      </c>
      <c r="D18" t="s">
        <v>12</v>
      </c>
      <c r="E18" t="s">
        <v>25</v>
      </c>
      <c r="F18" t="s">
        <v>25</v>
      </c>
      <c r="G18" t="s">
        <v>91</v>
      </c>
      <c r="H18" t="s">
        <v>11</v>
      </c>
      <c r="I18" t="str">
        <f>_xlfn.XLOOKUP(Tabla1[[#This Row],[Dependencia]],Tabla2[Dependencia],Tabla2[Clasificación],"No indexado")</f>
        <v>Otros</v>
      </c>
      <c r="J18" t="str">
        <f>_xlfn.XLOOKUP(Tabla1[[#This Row],[Dependencia]],Tabla3[Dependencia],Tabla3[Nivel],"otros",0)</f>
        <v>otros</v>
      </c>
    </row>
    <row r="19" spans="1:10" x14ac:dyDescent="0.35">
      <c r="A19" s="5">
        <v>46162</v>
      </c>
      <c r="B19" t="s">
        <v>68</v>
      </c>
      <c r="C19" s="6" t="s">
        <v>128</v>
      </c>
      <c r="D19" t="s">
        <v>13</v>
      </c>
      <c r="E19" t="s">
        <v>22</v>
      </c>
      <c r="F19" t="s">
        <v>22</v>
      </c>
      <c r="G19" t="s">
        <v>98</v>
      </c>
      <c r="H19" t="s">
        <v>70</v>
      </c>
      <c r="I19" t="str">
        <f>_xlfn.XLOOKUP(Tabla1[[#This Row],[Dependencia]],Tabla2[Dependencia],Tabla2[Clasificación],"No indexado")</f>
        <v>Gobierno del estado</v>
      </c>
      <c r="J19" t="str">
        <f>_xlfn.XLOOKUP(Tabla1[[#This Row],[Dependencia]],Tabla3[Dependencia],Tabla3[Nivel],"otros",0)</f>
        <v>Gabinete</v>
      </c>
    </row>
    <row r="20" spans="1:10" x14ac:dyDescent="0.35">
      <c r="A20" s="5">
        <v>46162</v>
      </c>
      <c r="B20" t="s">
        <v>68</v>
      </c>
      <c r="C20" s="6" t="s">
        <v>129</v>
      </c>
      <c r="D20" t="s">
        <v>12</v>
      </c>
      <c r="E20" t="s">
        <v>17</v>
      </c>
      <c r="F20" t="s">
        <v>17</v>
      </c>
      <c r="G20" t="s">
        <v>93</v>
      </c>
      <c r="H20" t="s">
        <v>70</v>
      </c>
      <c r="I20" t="str">
        <f>_xlfn.XLOOKUP(Tabla1[[#This Row],[Dependencia]],Tabla2[Dependencia],Tabla2[Clasificación],"No indexado")</f>
        <v>Gobierno del estado</v>
      </c>
      <c r="J20" t="str">
        <f>_xlfn.XLOOKUP(Tabla1[[#This Row],[Dependencia]],Tabla3[Dependencia],Tabla3[Nivel],"otros",0)</f>
        <v>Gabinete</v>
      </c>
    </row>
    <row r="21" spans="1:10" x14ac:dyDescent="0.35">
      <c r="A21" s="5">
        <v>46162</v>
      </c>
      <c r="B21" t="s">
        <v>68</v>
      </c>
      <c r="C21" s="6" t="s">
        <v>130</v>
      </c>
      <c r="D21" t="s">
        <v>12</v>
      </c>
      <c r="E21" t="s">
        <v>59</v>
      </c>
      <c r="F21" t="s">
        <v>59</v>
      </c>
      <c r="G21" t="s">
        <v>86</v>
      </c>
      <c r="H21" t="s">
        <v>11</v>
      </c>
      <c r="I21" t="str">
        <f>_xlfn.XLOOKUP(Tabla1[[#This Row],[Dependencia]],Tabla2[Dependencia],Tabla2[Clasificación],"No indexado")</f>
        <v>Otros</v>
      </c>
      <c r="J21" t="str">
        <f>_xlfn.XLOOKUP(Tabla1[[#This Row],[Dependencia]],Tabla3[Dependencia],Tabla3[Nivel],"otros",0)</f>
        <v>otros</v>
      </c>
    </row>
    <row r="22" spans="1:10" x14ac:dyDescent="0.35">
      <c r="A22" s="5">
        <v>46162</v>
      </c>
      <c r="B22" t="s">
        <v>68</v>
      </c>
      <c r="C22" s="6" t="s">
        <v>131</v>
      </c>
      <c r="D22" t="s">
        <v>12</v>
      </c>
      <c r="E22" t="s">
        <v>22</v>
      </c>
      <c r="F22" t="s">
        <v>22</v>
      </c>
      <c r="G22" t="s">
        <v>101</v>
      </c>
      <c r="H22" t="s">
        <v>11</v>
      </c>
      <c r="I22" t="str">
        <f>_xlfn.XLOOKUP(Tabla1[[#This Row],[Dependencia]],Tabla2[Dependencia],Tabla2[Clasificación],"No indexado")</f>
        <v>Gobierno del estado</v>
      </c>
      <c r="J22" t="str">
        <f>_xlfn.XLOOKUP(Tabla1[[#This Row],[Dependencia]],Tabla3[Dependencia],Tabla3[Nivel],"otros",0)</f>
        <v>Gabinete</v>
      </c>
    </row>
    <row r="23" spans="1:10" x14ac:dyDescent="0.35">
      <c r="A23" s="5">
        <v>46162</v>
      </c>
      <c r="B23" t="s">
        <v>68</v>
      </c>
      <c r="C23" s="6" t="s">
        <v>132</v>
      </c>
      <c r="D23" t="s">
        <v>9</v>
      </c>
      <c r="E23" t="s">
        <v>24</v>
      </c>
      <c r="F23" t="s">
        <v>24</v>
      </c>
      <c r="G23" t="s">
        <v>133</v>
      </c>
      <c r="H23" t="s">
        <v>11</v>
      </c>
      <c r="I23" t="str">
        <f>_xlfn.XLOOKUP(Tabla1[[#This Row],[Dependencia]],Tabla2[Dependencia],Tabla2[Clasificación],"No indexado")</f>
        <v>Gobierno del estado</v>
      </c>
      <c r="J23" t="str">
        <f>_xlfn.XLOOKUP(Tabla1[[#This Row],[Dependencia]],Tabla3[Dependencia],Tabla3[Nivel],"otros",0)</f>
        <v>Gobernador</v>
      </c>
    </row>
    <row r="24" spans="1:10" x14ac:dyDescent="0.35">
      <c r="A24" s="5">
        <v>46162</v>
      </c>
      <c r="B24" t="s">
        <v>68</v>
      </c>
      <c r="C24" s="6" t="s">
        <v>134</v>
      </c>
      <c r="D24" t="s">
        <v>12</v>
      </c>
      <c r="E24" t="s">
        <v>27</v>
      </c>
      <c r="F24" t="s">
        <v>135</v>
      </c>
      <c r="G24" t="s">
        <v>136</v>
      </c>
      <c r="H24" t="s">
        <v>70</v>
      </c>
      <c r="I24" t="str">
        <f>_xlfn.XLOOKUP(Tabla1[[#This Row],[Dependencia]],Tabla2[Dependencia],Tabla2[Clasificación],"No indexado")</f>
        <v>Gobierno del estado</v>
      </c>
      <c r="J24" t="str">
        <f>_xlfn.XLOOKUP(Tabla1[[#This Row],[Dependencia]],Tabla3[Dependencia],Tabla3[Nivel],"otros",0)</f>
        <v>Gabinete</v>
      </c>
    </row>
    <row r="25" spans="1:10" x14ac:dyDescent="0.35">
      <c r="A25" s="5">
        <v>46162</v>
      </c>
      <c r="B25" t="s">
        <v>68</v>
      </c>
      <c r="C25" s="6" t="s">
        <v>137</v>
      </c>
      <c r="D25" t="s">
        <v>12</v>
      </c>
      <c r="E25" t="s">
        <v>16</v>
      </c>
      <c r="F25" t="s">
        <v>16</v>
      </c>
      <c r="G25" t="s">
        <v>138</v>
      </c>
      <c r="H25" t="s">
        <v>11</v>
      </c>
      <c r="I25" t="str">
        <f>_xlfn.XLOOKUP(Tabla1[[#This Row],[Dependencia]],Tabla2[Dependencia],Tabla2[Clasificación],"No indexado")</f>
        <v>Alcaldías</v>
      </c>
      <c r="J25" t="str">
        <f>_xlfn.XLOOKUP(Tabla1[[#This Row],[Dependencia]],Tabla3[Dependencia],Tabla3[Nivel],"otros",0)</f>
        <v>otros</v>
      </c>
    </row>
    <row r="26" spans="1:10" x14ac:dyDescent="0.35">
      <c r="A26" s="5">
        <v>46162</v>
      </c>
      <c r="B26" t="s">
        <v>68</v>
      </c>
      <c r="C26" s="6" t="s">
        <v>139</v>
      </c>
      <c r="D26" t="s">
        <v>12</v>
      </c>
      <c r="E26" t="s">
        <v>34</v>
      </c>
      <c r="F26" t="s">
        <v>34</v>
      </c>
      <c r="G26" t="s">
        <v>90</v>
      </c>
      <c r="H26" t="s">
        <v>11</v>
      </c>
      <c r="I26" t="str">
        <f>_xlfn.XLOOKUP(Tabla1[[#This Row],[Dependencia]],Tabla2[Dependencia],Tabla2[Clasificación],"No indexado")</f>
        <v>Otros</v>
      </c>
      <c r="J26" t="str">
        <f>_xlfn.XLOOKUP(Tabla1[[#This Row],[Dependencia]],Tabla3[Dependencia],Tabla3[Nivel],"otros",0)</f>
        <v>otros</v>
      </c>
    </row>
    <row r="27" spans="1:10" ht="29" x14ac:dyDescent="0.35">
      <c r="A27" s="5">
        <v>46162</v>
      </c>
      <c r="B27" t="s">
        <v>68</v>
      </c>
      <c r="C27" s="6" t="s">
        <v>140</v>
      </c>
      <c r="D27" t="s">
        <v>12</v>
      </c>
      <c r="E27" t="s">
        <v>14</v>
      </c>
      <c r="F27" t="s">
        <v>14</v>
      </c>
      <c r="G27" t="s">
        <v>141</v>
      </c>
      <c r="H27" t="s">
        <v>11</v>
      </c>
      <c r="I27" t="str">
        <f>_xlfn.XLOOKUP(Tabla1[[#This Row],[Dependencia]],Tabla2[Dependencia],Tabla2[Clasificación],"No indexado")</f>
        <v>Presidencia de la República</v>
      </c>
      <c r="J27" t="str">
        <f>_xlfn.XLOOKUP(Tabla1[[#This Row],[Dependencia]],Tabla3[Dependencia],Tabla3[Nivel],"otros",0)</f>
        <v>otros</v>
      </c>
    </row>
    <row r="28" spans="1:10" x14ac:dyDescent="0.35">
      <c r="A28" s="5">
        <v>46162</v>
      </c>
      <c r="B28" t="s">
        <v>68</v>
      </c>
      <c r="C28" s="6" t="s">
        <v>142</v>
      </c>
      <c r="D28" t="s">
        <v>12</v>
      </c>
      <c r="E28" t="s">
        <v>10</v>
      </c>
      <c r="F28" t="s">
        <v>10</v>
      </c>
      <c r="G28" t="s">
        <v>95</v>
      </c>
      <c r="H28" t="s">
        <v>11</v>
      </c>
      <c r="I28" t="str">
        <f>_xlfn.XLOOKUP(Tabla1[[#This Row],[Dependencia]],Tabla2[Dependencia],Tabla2[Clasificación],"No indexado")</f>
        <v>Otros</v>
      </c>
      <c r="J28" t="str">
        <f>_xlfn.XLOOKUP(Tabla1[[#This Row],[Dependencia]],Tabla3[Dependencia],Tabla3[Nivel],"otros",0)</f>
        <v>otros</v>
      </c>
    </row>
    <row r="29" spans="1:10" x14ac:dyDescent="0.35">
      <c r="A29" s="5">
        <v>46162</v>
      </c>
      <c r="B29" t="s">
        <v>96</v>
      </c>
      <c r="C29" s="6" t="s">
        <v>143</v>
      </c>
      <c r="D29" t="s">
        <v>12</v>
      </c>
      <c r="E29" t="s">
        <v>10</v>
      </c>
      <c r="F29" t="s">
        <v>10</v>
      </c>
      <c r="G29" t="s">
        <v>144</v>
      </c>
      <c r="H29" t="s">
        <v>11</v>
      </c>
      <c r="I29" t="str">
        <f>_xlfn.XLOOKUP(Tabla1[[#This Row],[Dependencia]],Tabla2[Dependencia],Tabla2[Clasificación],"No indexado")</f>
        <v>Otros</v>
      </c>
      <c r="J29" t="str">
        <f>_xlfn.XLOOKUP(Tabla1[[#This Row],[Dependencia]],Tabla3[Dependencia],Tabla3[Nivel],"otros",0)</f>
        <v>otros</v>
      </c>
    </row>
    <row r="30" spans="1:10" ht="29" x14ac:dyDescent="0.35">
      <c r="A30" s="5">
        <v>46162</v>
      </c>
      <c r="B30" t="s">
        <v>96</v>
      </c>
      <c r="C30" s="6" t="s">
        <v>145</v>
      </c>
      <c r="D30" t="s">
        <v>13</v>
      </c>
      <c r="E30" t="s">
        <v>24</v>
      </c>
      <c r="F30" t="s">
        <v>24</v>
      </c>
      <c r="G30" t="s">
        <v>86</v>
      </c>
      <c r="H30" t="s">
        <v>11</v>
      </c>
      <c r="I30" t="str">
        <f>_xlfn.XLOOKUP(Tabla1[[#This Row],[Dependencia]],Tabla2[Dependencia],Tabla2[Clasificación],"No indexado")</f>
        <v>Gobierno del estado</v>
      </c>
      <c r="J30" t="str">
        <f>_xlfn.XLOOKUP(Tabla1[[#This Row],[Dependencia]],Tabla3[Dependencia],Tabla3[Nivel],"otros",0)</f>
        <v>Gobernador</v>
      </c>
    </row>
    <row r="31" spans="1:10" ht="29" x14ac:dyDescent="0.35">
      <c r="A31" s="5">
        <v>46162</v>
      </c>
      <c r="B31" t="s">
        <v>96</v>
      </c>
      <c r="C31" s="6" t="s">
        <v>146</v>
      </c>
      <c r="D31" t="s">
        <v>12</v>
      </c>
      <c r="E31" t="s">
        <v>14</v>
      </c>
      <c r="F31" t="s">
        <v>14</v>
      </c>
      <c r="G31" t="s">
        <v>95</v>
      </c>
      <c r="H31" t="s">
        <v>11</v>
      </c>
      <c r="I31" t="str">
        <f>_xlfn.XLOOKUP(Tabla1[[#This Row],[Dependencia]],Tabla2[Dependencia],Tabla2[Clasificación],"No indexado")</f>
        <v>Presidencia de la República</v>
      </c>
      <c r="J31" t="str">
        <f>_xlfn.XLOOKUP(Tabla1[[#This Row],[Dependencia]],Tabla3[Dependencia],Tabla3[Nivel],"otros",0)</f>
        <v>otros</v>
      </c>
    </row>
    <row r="32" spans="1:10" x14ac:dyDescent="0.35">
      <c r="A32" s="5">
        <v>46162</v>
      </c>
      <c r="B32" t="s">
        <v>96</v>
      </c>
      <c r="C32" s="6" t="s">
        <v>147</v>
      </c>
      <c r="D32" t="s">
        <v>9</v>
      </c>
      <c r="E32" t="s">
        <v>16</v>
      </c>
      <c r="F32" t="s">
        <v>16</v>
      </c>
      <c r="G32" t="s">
        <v>148</v>
      </c>
      <c r="H32" t="s">
        <v>72</v>
      </c>
      <c r="I32" t="str">
        <f>_xlfn.XLOOKUP(Tabla1[[#This Row],[Dependencia]],Tabla2[Dependencia],Tabla2[Clasificación],"No indexado")</f>
        <v>Alcaldías</v>
      </c>
      <c r="J32" t="str">
        <f>_xlfn.XLOOKUP(Tabla1[[#This Row],[Dependencia]],Tabla3[Dependencia],Tabla3[Nivel],"otros",0)</f>
        <v>otros</v>
      </c>
    </row>
    <row r="33" spans="1:10" ht="87" x14ac:dyDescent="0.35">
      <c r="A33" s="5">
        <v>46162</v>
      </c>
      <c r="B33" t="s">
        <v>96</v>
      </c>
      <c r="C33" s="6" t="s">
        <v>149</v>
      </c>
      <c r="D33" t="s">
        <v>12</v>
      </c>
      <c r="E33" t="s">
        <v>10</v>
      </c>
      <c r="F33" t="s">
        <v>10</v>
      </c>
      <c r="G33" t="s">
        <v>81</v>
      </c>
      <c r="H33" t="s">
        <v>11</v>
      </c>
      <c r="I33" t="str">
        <f>_xlfn.XLOOKUP(Tabla1[[#This Row],[Dependencia]],Tabla2[Dependencia],Tabla2[Clasificación],"No indexado")</f>
        <v>Otros</v>
      </c>
      <c r="J33" t="str">
        <f>_xlfn.XLOOKUP(Tabla1[[#This Row],[Dependencia]],Tabla3[Dependencia],Tabla3[Nivel],"otros",0)</f>
        <v>otros</v>
      </c>
    </row>
    <row r="34" spans="1:10" ht="29" x14ac:dyDescent="0.35">
      <c r="A34" s="5">
        <v>46162</v>
      </c>
      <c r="B34" t="s">
        <v>78</v>
      </c>
      <c r="C34" s="6" t="s">
        <v>150</v>
      </c>
      <c r="D34" t="s">
        <v>13</v>
      </c>
      <c r="E34" t="s">
        <v>22</v>
      </c>
      <c r="F34" t="s">
        <v>22</v>
      </c>
      <c r="G34" t="s">
        <v>98</v>
      </c>
      <c r="H34" t="s">
        <v>70</v>
      </c>
      <c r="I34" t="str">
        <f>_xlfn.XLOOKUP(Tabla1[[#This Row],[Dependencia]],Tabla2[Dependencia],Tabla2[Clasificación],"No indexado")</f>
        <v>Gobierno del estado</v>
      </c>
      <c r="J34" t="str">
        <f>_xlfn.XLOOKUP(Tabla1[[#This Row],[Dependencia]],Tabla3[Dependencia],Tabla3[Nivel],"otros",0)</f>
        <v>Gabinete</v>
      </c>
    </row>
    <row r="35" spans="1:10" ht="29" x14ac:dyDescent="0.35">
      <c r="A35" s="5">
        <v>46162</v>
      </c>
      <c r="B35" t="s">
        <v>78</v>
      </c>
      <c r="C35" s="6" t="s">
        <v>151</v>
      </c>
      <c r="D35" t="s">
        <v>12</v>
      </c>
      <c r="E35" t="s">
        <v>24</v>
      </c>
      <c r="F35" t="s">
        <v>24</v>
      </c>
      <c r="G35" t="s">
        <v>133</v>
      </c>
      <c r="H35" t="s">
        <v>11</v>
      </c>
      <c r="I35" t="str">
        <f>_xlfn.XLOOKUP(Tabla1[[#This Row],[Dependencia]],Tabla2[Dependencia],Tabla2[Clasificación],"No indexado")</f>
        <v>Gobierno del estado</v>
      </c>
      <c r="J35" t="str">
        <f>_xlfn.XLOOKUP(Tabla1[[#This Row],[Dependencia]],Tabla3[Dependencia],Tabla3[Nivel],"otros",0)</f>
        <v>Gobernador</v>
      </c>
    </row>
    <row r="36" spans="1:10" x14ac:dyDescent="0.35">
      <c r="A36" s="5">
        <v>46162</v>
      </c>
      <c r="B36" t="s">
        <v>78</v>
      </c>
      <c r="C36" s="6" t="s">
        <v>152</v>
      </c>
      <c r="D36" t="s">
        <v>12</v>
      </c>
      <c r="E36" t="s">
        <v>20</v>
      </c>
      <c r="F36" t="s">
        <v>20</v>
      </c>
      <c r="G36" t="s">
        <v>99</v>
      </c>
      <c r="H36" t="s">
        <v>11</v>
      </c>
      <c r="I36" t="str">
        <f>_xlfn.XLOOKUP(Tabla1[[#This Row],[Dependencia]],Tabla2[Dependencia],Tabla2[Clasificación],"No indexado")</f>
        <v>Gobierno del estado</v>
      </c>
      <c r="J36" t="str">
        <f>_xlfn.XLOOKUP(Tabla1[[#This Row],[Dependencia]],Tabla3[Dependencia],Tabla3[Nivel],"otros",0)</f>
        <v>Gabinete</v>
      </c>
    </row>
    <row r="37" spans="1:10" ht="29" x14ac:dyDescent="0.35">
      <c r="A37" s="5">
        <v>46162</v>
      </c>
      <c r="B37" t="s">
        <v>78</v>
      </c>
      <c r="C37" s="6" t="s">
        <v>153</v>
      </c>
      <c r="D37" t="s">
        <v>12</v>
      </c>
      <c r="E37" t="s">
        <v>34</v>
      </c>
      <c r="F37" t="s">
        <v>34</v>
      </c>
      <c r="G37" t="s">
        <v>154</v>
      </c>
      <c r="H37" t="s">
        <v>11</v>
      </c>
      <c r="I37" t="str">
        <f>_xlfn.XLOOKUP(Tabla1[[#This Row],[Dependencia]],Tabla2[Dependencia],Tabla2[Clasificación],"No indexado")</f>
        <v>Otros</v>
      </c>
      <c r="J37" t="str">
        <f>_xlfn.XLOOKUP(Tabla1[[#This Row],[Dependencia]],Tabla3[Dependencia],Tabla3[Nivel],"otros",0)</f>
        <v>otros</v>
      </c>
    </row>
    <row r="38" spans="1:10" x14ac:dyDescent="0.35">
      <c r="A38" s="5">
        <v>46162</v>
      </c>
      <c r="B38" t="s">
        <v>78</v>
      </c>
      <c r="C38" s="6" t="s">
        <v>155</v>
      </c>
      <c r="D38" t="s">
        <v>12</v>
      </c>
      <c r="E38" t="s">
        <v>23</v>
      </c>
      <c r="F38" t="s">
        <v>156</v>
      </c>
      <c r="G38" t="s">
        <v>157</v>
      </c>
      <c r="H38" t="s">
        <v>11</v>
      </c>
      <c r="I38" t="str">
        <f>_xlfn.XLOOKUP(Tabla1[[#This Row],[Dependencia]],Tabla2[Dependencia],Tabla2[Clasificación],"No indexado")</f>
        <v>Gobierno del estado</v>
      </c>
      <c r="J38" t="str">
        <f>_xlfn.XLOOKUP(Tabla1[[#This Row],[Dependencia]],Tabla3[Dependencia],Tabla3[Nivel],"otros",0)</f>
        <v>Gabinete</v>
      </c>
    </row>
    <row r="39" spans="1:10" ht="29" x14ac:dyDescent="0.35">
      <c r="A39" s="5">
        <v>46162</v>
      </c>
      <c r="B39" t="s">
        <v>73</v>
      </c>
      <c r="C39" s="6" t="s">
        <v>158</v>
      </c>
      <c r="D39" t="s">
        <v>13</v>
      </c>
      <c r="E39" t="s">
        <v>20</v>
      </c>
      <c r="F39" t="s">
        <v>20</v>
      </c>
      <c r="G39" t="s">
        <v>159</v>
      </c>
      <c r="H39" t="s">
        <v>11</v>
      </c>
      <c r="I39" t="str">
        <f>_xlfn.XLOOKUP(Tabla1[[#This Row],[Dependencia]],Tabla2[Dependencia],Tabla2[Clasificación],"No indexado")</f>
        <v>Gobierno del estado</v>
      </c>
      <c r="J39" t="str">
        <f>_xlfn.XLOOKUP(Tabla1[[#This Row],[Dependencia]],Tabla3[Dependencia],Tabla3[Nivel],"otros",0)</f>
        <v>Gabinete</v>
      </c>
    </row>
    <row r="40" spans="1:10" ht="29" x14ac:dyDescent="0.35">
      <c r="A40" s="5">
        <v>46162</v>
      </c>
      <c r="B40" t="s">
        <v>73</v>
      </c>
      <c r="C40" s="6" t="s">
        <v>160</v>
      </c>
      <c r="D40" t="s">
        <v>12</v>
      </c>
      <c r="E40" t="s">
        <v>22</v>
      </c>
      <c r="F40" t="s">
        <v>22</v>
      </c>
      <c r="G40" t="s">
        <v>98</v>
      </c>
      <c r="H40" t="s">
        <v>70</v>
      </c>
      <c r="I40" t="str">
        <f>_xlfn.XLOOKUP(Tabla1[[#This Row],[Dependencia]],Tabla2[Dependencia],Tabla2[Clasificación],"No indexado")</f>
        <v>Gobierno del estado</v>
      </c>
      <c r="J40" t="str">
        <f>_xlfn.XLOOKUP(Tabla1[[#This Row],[Dependencia]],Tabla3[Dependencia],Tabla3[Nivel],"otros",0)</f>
        <v>Gabinete</v>
      </c>
    </row>
    <row r="41" spans="1:10" x14ac:dyDescent="0.35">
      <c r="A41" s="5">
        <v>46162</v>
      </c>
      <c r="B41" t="s">
        <v>73</v>
      </c>
      <c r="C41" s="6" t="s">
        <v>161</v>
      </c>
      <c r="D41" t="s">
        <v>12</v>
      </c>
      <c r="E41" t="s">
        <v>14</v>
      </c>
      <c r="F41" t="s">
        <v>89</v>
      </c>
      <c r="G41" t="s">
        <v>162</v>
      </c>
      <c r="H41" t="s">
        <v>11</v>
      </c>
      <c r="I41" t="str">
        <f>_xlfn.XLOOKUP(Tabla1[[#This Row],[Dependencia]],Tabla2[Dependencia],Tabla2[Clasificación],"No indexado")</f>
        <v>Presidencia de la República</v>
      </c>
      <c r="J41" t="str">
        <f>_xlfn.XLOOKUP(Tabla1[[#This Row],[Dependencia]],Tabla3[Dependencia],Tabla3[Nivel],"otros",0)</f>
        <v>otros</v>
      </c>
    </row>
    <row r="42" spans="1:10" ht="29" x14ac:dyDescent="0.35">
      <c r="A42" s="5">
        <v>46162</v>
      </c>
      <c r="B42" t="s">
        <v>73</v>
      </c>
      <c r="C42" s="6" t="s">
        <v>163</v>
      </c>
      <c r="D42" t="s">
        <v>12</v>
      </c>
      <c r="E42" t="s">
        <v>15</v>
      </c>
      <c r="F42" t="s">
        <v>15</v>
      </c>
      <c r="G42" t="s">
        <v>91</v>
      </c>
      <c r="H42" t="s">
        <v>11</v>
      </c>
      <c r="I42" t="str">
        <f>_xlfn.XLOOKUP(Tabla1[[#This Row],[Dependencia]],Tabla2[Dependencia],Tabla2[Clasificación],"No indexado")</f>
        <v>Gobierno del estado</v>
      </c>
      <c r="J42" t="str">
        <f>_xlfn.XLOOKUP(Tabla1[[#This Row],[Dependencia]],Tabla3[Dependencia],Tabla3[Nivel],"otros",0)</f>
        <v>Gabinete</v>
      </c>
    </row>
    <row r="43" spans="1:10" x14ac:dyDescent="0.35">
      <c r="A43" s="5">
        <v>46162</v>
      </c>
      <c r="B43" t="s">
        <v>73</v>
      </c>
      <c r="C43" s="6" t="s">
        <v>164</v>
      </c>
      <c r="D43" t="s">
        <v>12</v>
      </c>
      <c r="E43" t="s">
        <v>16</v>
      </c>
      <c r="F43" t="s">
        <v>16</v>
      </c>
      <c r="G43" t="s">
        <v>165</v>
      </c>
      <c r="H43" t="s">
        <v>11</v>
      </c>
      <c r="I43" t="str">
        <f>_xlfn.XLOOKUP(Tabla1[[#This Row],[Dependencia]],Tabla2[Dependencia],Tabla2[Clasificación],"No indexado")</f>
        <v>Alcaldías</v>
      </c>
      <c r="J43" t="str">
        <f>_xlfn.XLOOKUP(Tabla1[[#This Row],[Dependencia]],Tabla3[Dependencia],Tabla3[Nivel],"otros",0)</f>
        <v>otros</v>
      </c>
    </row>
    <row r="44" spans="1:10" ht="29" x14ac:dyDescent="0.35">
      <c r="A44" s="5">
        <v>46162</v>
      </c>
      <c r="B44" t="s">
        <v>75</v>
      </c>
      <c r="C44" s="6" t="s">
        <v>166</v>
      </c>
      <c r="D44" t="s">
        <v>13</v>
      </c>
      <c r="E44" t="s">
        <v>59</v>
      </c>
      <c r="F44" t="s">
        <v>59</v>
      </c>
      <c r="G44" t="s">
        <v>144</v>
      </c>
      <c r="H44" t="s">
        <v>11</v>
      </c>
      <c r="I44" t="str">
        <f>_xlfn.XLOOKUP(Tabla1[[#This Row],[Dependencia]],Tabla2[Dependencia],Tabla2[Clasificación],"No indexado")</f>
        <v>Otros</v>
      </c>
      <c r="J44" t="str">
        <f>_xlfn.XLOOKUP(Tabla1[[#This Row],[Dependencia]],Tabla3[Dependencia],Tabla3[Nivel],"otros",0)</f>
        <v>otros</v>
      </c>
    </row>
    <row r="45" spans="1:10" ht="29" x14ac:dyDescent="0.35">
      <c r="A45" s="5">
        <v>46162</v>
      </c>
      <c r="B45" t="s">
        <v>75</v>
      </c>
      <c r="C45" s="6" t="s">
        <v>167</v>
      </c>
      <c r="D45" t="s">
        <v>9</v>
      </c>
      <c r="E45" t="s">
        <v>24</v>
      </c>
      <c r="F45" t="s">
        <v>24</v>
      </c>
      <c r="G45" t="s">
        <v>133</v>
      </c>
      <c r="H45" t="s">
        <v>70</v>
      </c>
      <c r="I45" t="str">
        <f>_xlfn.XLOOKUP(Tabla1[[#This Row],[Dependencia]],Tabla2[Dependencia],Tabla2[Clasificación],"No indexado")</f>
        <v>Gobierno del estado</v>
      </c>
      <c r="J45" t="str">
        <f>_xlfn.XLOOKUP(Tabla1[[#This Row],[Dependencia]],Tabla3[Dependencia],Tabla3[Nivel],"otros",0)</f>
        <v>Gobernador</v>
      </c>
    </row>
    <row r="46" spans="1:10" x14ac:dyDescent="0.35">
      <c r="A46" s="5">
        <v>46162</v>
      </c>
      <c r="B46" t="s">
        <v>75</v>
      </c>
      <c r="C46" s="6" t="s">
        <v>168</v>
      </c>
      <c r="D46" t="s">
        <v>12</v>
      </c>
      <c r="E46" t="s">
        <v>22</v>
      </c>
      <c r="F46" t="s">
        <v>22</v>
      </c>
      <c r="G46" t="s">
        <v>101</v>
      </c>
      <c r="H46" t="s">
        <v>11</v>
      </c>
      <c r="I46" t="str">
        <f>_xlfn.XLOOKUP(Tabla1[[#This Row],[Dependencia]],Tabla2[Dependencia],Tabla2[Clasificación],"No indexado")</f>
        <v>Gobierno del estado</v>
      </c>
      <c r="J46" t="str">
        <f>_xlfn.XLOOKUP(Tabla1[[#This Row],[Dependencia]],Tabla3[Dependencia],Tabla3[Nivel],"otros",0)</f>
        <v>Gabinete</v>
      </c>
    </row>
    <row r="47" spans="1:10" x14ac:dyDescent="0.35">
      <c r="A47" s="5">
        <v>46162</v>
      </c>
      <c r="B47" t="s">
        <v>75</v>
      </c>
      <c r="C47" s="6" t="s">
        <v>169</v>
      </c>
      <c r="D47" t="s">
        <v>12</v>
      </c>
      <c r="E47" t="s">
        <v>16</v>
      </c>
      <c r="F47" t="s">
        <v>94</v>
      </c>
      <c r="G47" t="s">
        <v>170</v>
      </c>
      <c r="H47" t="s">
        <v>72</v>
      </c>
      <c r="I47" t="str">
        <f>_xlfn.XLOOKUP(Tabla1[[#This Row],[Dependencia]],Tabla2[Dependencia],Tabla2[Clasificación],"No indexado")</f>
        <v>Alcaldías</v>
      </c>
      <c r="J47" t="str">
        <f>_xlfn.XLOOKUP(Tabla1[[#This Row],[Dependencia]],Tabla3[Dependencia],Tabla3[Nivel],"otros",0)</f>
        <v>otros</v>
      </c>
    </row>
    <row r="48" spans="1:10" ht="29" x14ac:dyDescent="0.35">
      <c r="A48" s="5">
        <v>46162</v>
      </c>
      <c r="B48" t="s">
        <v>75</v>
      </c>
      <c r="C48" s="6" t="s">
        <v>171</v>
      </c>
      <c r="D48" t="s">
        <v>12</v>
      </c>
      <c r="E48" t="s">
        <v>20</v>
      </c>
      <c r="F48" t="s">
        <v>20</v>
      </c>
      <c r="G48" t="s">
        <v>172</v>
      </c>
      <c r="H48" t="s">
        <v>173</v>
      </c>
      <c r="I48" t="str">
        <f>_xlfn.XLOOKUP(Tabla1[[#This Row],[Dependencia]],Tabla2[Dependencia],Tabla2[Clasificación],"No indexado")</f>
        <v>Gobierno del estado</v>
      </c>
      <c r="J48" t="str">
        <f>_xlfn.XLOOKUP(Tabla1[[#This Row],[Dependencia]],Tabla3[Dependencia],Tabla3[Nivel],"otros",0)</f>
        <v>Gabinete</v>
      </c>
    </row>
    <row r="49" spans="1:10" ht="29" x14ac:dyDescent="0.35">
      <c r="A49" s="5">
        <v>46162</v>
      </c>
      <c r="B49" t="s">
        <v>75</v>
      </c>
      <c r="C49" s="6" t="s">
        <v>174</v>
      </c>
      <c r="D49" t="s">
        <v>12</v>
      </c>
      <c r="E49" t="s">
        <v>59</v>
      </c>
      <c r="F49" t="s">
        <v>59</v>
      </c>
      <c r="G49" t="s">
        <v>86</v>
      </c>
      <c r="H49" t="s">
        <v>11</v>
      </c>
      <c r="I49" t="str">
        <f>_xlfn.XLOOKUP(Tabla1[[#This Row],[Dependencia]],Tabla2[Dependencia],Tabla2[Clasificación],"No indexado")</f>
        <v>Otros</v>
      </c>
      <c r="J49" t="str">
        <f>_xlfn.XLOOKUP(Tabla1[[#This Row],[Dependencia]],Tabla3[Dependencia],Tabla3[Nivel],"otros",0)</f>
        <v>otros</v>
      </c>
    </row>
    <row r="50" spans="1:10" ht="29" x14ac:dyDescent="0.35">
      <c r="A50" s="5">
        <v>46162</v>
      </c>
      <c r="B50" t="s">
        <v>79</v>
      </c>
      <c r="C50" s="6" t="s">
        <v>175</v>
      </c>
      <c r="D50" t="s">
        <v>82</v>
      </c>
      <c r="E50" t="s">
        <v>10</v>
      </c>
      <c r="F50" t="s">
        <v>10</v>
      </c>
      <c r="G50" t="s">
        <v>115</v>
      </c>
      <c r="H50" t="s">
        <v>11</v>
      </c>
      <c r="I50" t="str">
        <f>_xlfn.XLOOKUP(Tabla1[[#This Row],[Dependencia]],Tabla2[Dependencia],Tabla2[Clasificación],"No indexado")</f>
        <v>Otros</v>
      </c>
      <c r="J50" t="str">
        <f>_xlfn.XLOOKUP(Tabla1[[#This Row],[Dependencia]],Tabla3[Dependencia],Tabla3[Nivel],"otros",0)</f>
        <v>otros</v>
      </c>
    </row>
    <row r="51" spans="1:10" ht="29" x14ac:dyDescent="0.35">
      <c r="A51" s="5">
        <v>46162</v>
      </c>
      <c r="B51" t="s">
        <v>79</v>
      </c>
      <c r="C51" s="6" t="s">
        <v>176</v>
      </c>
      <c r="D51" t="s">
        <v>12</v>
      </c>
      <c r="E51" t="s">
        <v>24</v>
      </c>
      <c r="F51" t="s">
        <v>24</v>
      </c>
      <c r="G51" t="s">
        <v>133</v>
      </c>
      <c r="H51" t="s">
        <v>11</v>
      </c>
      <c r="I51" t="str">
        <f>_xlfn.XLOOKUP(Tabla1[[#This Row],[Dependencia]],Tabla2[Dependencia],Tabla2[Clasificación],"No indexado")</f>
        <v>Gobierno del estado</v>
      </c>
      <c r="J51" t="str">
        <f>_xlfn.XLOOKUP(Tabla1[[#This Row],[Dependencia]],Tabla3[Dependencia],Tabla3[Nivel],"otros",0)</f>
        <v>Gobernador</v>
      </c>
    </row>
    <row r="52" spans="1:10" ht="43.5" x14ac:dyDescent="0.35">
      <c r="A52" s="5">
        <v>46162</v>
      </c>
      <c r="B52" t="s">
        <v>79</v>
      </c>
      <c r="C52" s="6" t="s">
        <v>177</v>
      </c>
      <c r="D52" t="s">
        <v>12</v>
      </c>
      <c r="E52" t="s">
        <v>10</v>
      </c>
      <c r="F52" t="s">
        <v>10</v>
      </c>
      <c r="G52" t="s">
        <v>178</v>
      </c>
      <c r="H52" t="s">
        <v>11</v>
      </c>
      <c r="I52" t="str">
        <f>_xlfn.XLOOKUP(Tabla1[[#This Row],[Dependencia]],Tabla2[Dependencia],Tabla2[Clasificación],"No indexado")</f>
        <v>Otros</v>
      </c>
      <c r="J52" t="str">
        <f>_xlfn.XLOOKUP(Tabla1[[#This Row],[Dependencia]],Tabla3[Dependencia],Tabla3[Nivel],"otros",0)</f>
        <v>otros</v>
      </c>
    </row>
    <row r="53" spans="1:10" x14ac:dyDescent="0.35">
      <c r="A53" s="5">
        <v>46162</v>
      </c>
      <c r="B53" t="s">
        <v>79</v>
      </c>
      <c r="C53" s="6" t="s">
        <v>179</v>
      </c>
      <c r="D53" t="s">
        <v>13</v>
      </c>
      <c r="E53" t="s">
        <v>24</v>
      </c>
      <c r="F53" t="s">
        <v>24</v>
      </c>
      <c r="G53" t="s">
        <v>133</v>
      </c>
      <c r="H53" t="s">
        <v>11</v>
      </c>
      <c r="I53" t="str">
        <f>_xlfn.XLOOKUP(Tabla1[[#This Row],[Dependencia]],Tabla2[Dependencia],Tabla2[Clasificación],"No indexado")</f>
        <v>Gobierno del estado</v>
      </c>
      <c r="J53" t="str">
        <f>_xlfn.XLOOKUP(Tabla1[[#This Row],[Dependencia]],Tabla3[Dependencia],Tabla3[Nivel],"otros",0)</f>
        <v>Gobernador</v>
      </c>
    </row>
    <row r="54" spans="1:10" ht="29" x14ac:dyDescent="0.35">
      <c r="A54" s="5">
        <v>46162</v>
      </c>
      <c r="B54" t="s">
        <v>79</v>
      </c>
      <c r="C54" s="6" t="s">
        <v>180</v>
      </c>
      <c r="D54" t="s">
        <v>12</v>
      </c>
      <c r="E54" t="s">
        <v>10</v>
      </c>
      <c r="F54" t="s">
        <v>10</v>
      </c>
      <c r="G54" t="s">
        <v>87</v>
      </c>
      <c r="H54" t="s">
        <v>11</v>
      </c>
      <c r="I54" t="str">
        <f>_xlfn.XLOOKUP(Tabla1[[#This Row],[Dependencia]],Tabla2[Dependencia],Tabla2[Clasificación],"No indexado")</f>
        <v>Otros</v>
      </c>
      <c r="J54" t="str">
        <f>_xlfn.XLOOKUP(Tabla1[[#This Row],[Dependencia]],Tabla3[Dependencia],Tabla3[Nivel],"otros",0)</f>
        <v>otros</v>
      </c>
    </row>
    <row r="55" spans="1:10" ht="29" x14ac:dyDescent="0.35">
      <c r="A55" s="5">
        <v>46162</v>
      </c>
      <c r="B55" t="s">
        <v>79</v>
      </c>
      <c r="C55" s="6" t="s">
        <v>181</v>
      </c>
      <c r="D55" t="s">
        <v>12</v>
      </c>
      <c r="E55" t="s">
        <v>36</v>
      </c>
      <c r="F55" t="s">
        <v>36</v>
      </c>
      <c r="G55" t="s">
        <v>182</v>
      </c>
      <c r="H55" t="s">
        <v>11</v>
      </c>
      <c r="I55" t="str">
        <f>_xlfn.XLOOKUP(Tabla1[[#This Row],[Dependencia]],Tabla2[Dependencia],Tabla2[Clasificación],"No indexado")</f>
        <v>Gobierno del estado</v>
      </c>
      <c r="J55" t="str">
        <f>_xlfn.XLOOKUP(Tabla1[[#This Row],[Dependencia]],Tabla3[Dependencia],Tabla3[Nivel],"otros",0)</f>
        <v>Gabinete</v>
      </c>
    </row>
    <row r="56" spans="1:10" ht="29" x14ac:dyDescent="0.35">
      <c r="A56" s="5">
        <v>46162</v>
      </c>
      <c r="B56" t="s">
        <v>79</v>
      </c>
      <c r="C56" s="6" t="s">
        <v>183</v>
      </c>
      <c r="D56" t="s">
        <v>12</v>
      </c>
      <c r="E56" t="s">
        <v>10</v>
      </c>
      <c r="F56" t="s">
        <v>10</v>
      </c>
      <c r="G56" t="s">
        <v>115</v>
      </c>
      <c r="H56" t="s">
        <v>11</v>
      </c>
      <c r="I56" t="str">
        <f>_xlfn.XLOOKUP(Tabla1[[#This Row],[Dependencia]],Tabla2[Dependencia],Tabla2[Clasificación],"No indexado")</f>
        <v>Otros</v>
      </c>
      <c r="J56" t="str">
        <f>_xlfn.XLOOKUP(Tabla1[[#This Row],[Dependencia]],Tabla3[Dependencia],Tabla3[Nivel],"otros",0)</f>
        <v>otros</v>
      </c>
    </row>
    <row r="57" spans="1:10" x14ac:dyDescent="0.35">
      <c r="A57" s="5">
        <v>46162</v>
      </c>
      <c r="B57" t="s">
        <v>83</v>
      </c>
      <c r="C57" s="6" t="s">
        <v>184</v>
      </c>
      <c r="D57" t="s">
        <v>12</v>
      </c>
      <c r="E57" t="s">
        <v>26</v>
      </c>
      <c r="F57" t="s">
        <v>185</v>
      </c>
      <c r="G57" t="s">
        <v>186</v>
      </c>
      <c r="H57" t="s">
        <v>11</v>
      </c>
      <c r="I57" t="str">
        <f>_xlfn.XLOOKUP(Tabla1[[#This Row],[Dependencia]],Tabla2[Dependencia],Tabla2[Clasificación],"No indexado")</f>
        <v>Gobierno del estado</v>
      </c>
      <c r="J57" t="str">
        <f>_xlfn.XLOOKUP(Tabla1[[#This Row],[Dependencia]],Tabla3[Dependencia],Tabla3[Nivel],"otros",0)</f>
        <v>Gabinete</v>
      </c>
    </row>
    <row r="58" spans="1:10" ht="29" x14ac:dyDescent="0.35">
      <c r="A58" s="5">
        <v>46162</v>
      </c>
      <c r="B58" t="s">
        <v>83</v>
      </c>
      <c r="C58" s="6" t="s">
        <v>187</v>
      </c>
      <c r="D58" t="s">
        <v>13</v>
      </c>
      <c r="E58" t="s">
        <v>24</v>
      </c>
      <c r="F58" t="s">
        <v>24</v>
      </c>
      <c r="G58" t="s">
        <v>133</v>
      </c>
      <c r="H58" t="s">
        <v>11</v>
      </c>
      <c r="I58" t="str">
        <f>_xlfn.XLOOKUP(Tabla1[[#This Row],[Dependencia]],Tabla2[Dependencia],Tabla2[Clasificación],"No indexado")</f>
        <v>Gobierno del estado</v>
      </c>
      <c r="J58" t="str">
        <f>_xlfn.XLOOKUP(Tabla1[[#This Row],[Dependencia]],Tabla3[Dependencia],Tabla3[Nivel],"otros",0)</f>
        <v>Gobernador</v>
      </c>
    </row>
    <row r="59" spans="1:10" ht="29" x14ac:dyDescent="0.35">
      <c r="A59" s="5">
        <v>46162</v>
      </c>
      <c r="B59" t="s">
        <v>83</v>
      </c>
      <c r="C59" s="6" t="s">
        <v>188</v>
      </c>
      <c r="D59" t="s">
        <v>12</v>
      </c>
      <c r="E59" t="s">
        <v>16</v>
      </c>
      <c r="F59" t="s">
        <v>16</v>
      </c>
      <c r="G59" t="s">
        <v>189</v>
      </c>
      <c r="H59" t="s">
        <v>11</v>
      </c>
      <c r="I59" t="str">
        <f>_xlfn.XLOOKUP(Tabla1[[#This Row],[Dependencia]],Tabla2[Dependencia],Tabla2[Clasificación],"No indexado")</f>
        <v>Alcaldías</v>
      </c>
      <c r="J59" t="str">
        <f>_xlfn.XLOOKUP(Tabla1[[#This Row],[Dependencia]],Tabla3[Dependencia],Tabla3[Nivel],"otros",0)</f>
        <v>otros</v>
      </c>
    </row>
    <row r="60" spans="1:10" ht="29" x14ac:dyDescent="0.35">
      <c r="A60" s="5">
        <v>46162</v>
      </c>
      <c r="B60" t="s">
        <v>83</v>
      </c>
      <c r="C60" s="6" t="s">
        <v>190</v>
      </c>
      <c r="D60" t="s">
        <v>12</v>
      </c>
      <c r="E60" t="s">
        <v>22</v>
      </c>
      <c r="F60" t="s">
        <v>22</v>
      </c>
      <c r="G60" t="s">
        <v>98</v>
      </c>
      <c r="H60" t="s">
        <v>70</v>
      </c>
      <c r="I60" t="str">
        <f>_xlfn.XLOOKUP(Tabla1[[#This Row],[Dependencia]],Tabla2[Dependencia],Tabla2[Clasificación],"No indexado")</f>
        <v>Gobierno del estado</v>
      </c>
      <c r="J60" t="str">
        <f>_xlfn.XLOOKUP(Tabla1[[#This Row],[Dependencia]],Tabla3[Dependencia],Tabla3[Nivel],"otros",0)</f>
        <v>Gabinete</v>
      </c>
    </row>
    <row r="61" spans="1:10" x14ac:dyDescent="0.35">
      <c r="A61" s="5">
        <v>46162</v>
      </c>
      <c r="B61" t="s">
        <v>83</v>
      </c>
      <c r="C61" s="6" t="s">
        <v>191</v>
      </c>
      <c r="D61" t="s">
        <v>12</v>
      </c>
      <c r="E61" t="s">
        <v>10</v>
      </c>
      <c r="F61" t="s">
        <v>10</v>
      </c>
      <c r="G61" t="s">
        <v>71</v>
      </c>
      <c r="H61" t="s">
        <v>11</v>
      </c>
      <c r="I61" t="str">
        <f>_xlfn.XLOOKUP(Tabla1[[#This Row],[Dependencia]],Tabla2[Dependencia],Tabla2[Clasificación],"No indexado")</f>
        <v>Otros</v>
      </c>
      <c r="J61" t="str">
        <f>_xlfn.XLOOKUP(Tabla1[[#This Row],[Dependencia]],Tabla3[Dependencia],Tabla3[Nivel],"otros",0)</f>
        <v>otros</v>
      </c>
    </row>
    <row r="62" spans="1:10" x14ac:dyDescent="0.35">
      <c r="A62" s="5">
        <v>46162</v>
      </c>
      <c r="B62" t="s">
        <v>83</v>
      </c>
      <c r="C62" s="6" t="s">
        <v>192</v>
      </c>
      <c r="D62" t="s">
        <v>85</v>
      </c>
      <c r="E62" t="s">
        <v>40</v>
      </c>
      <c r="F62" t="s">
        <v>40</v>
      </c>
      <c r="G62" t="s">
        <v>193</v>
      </c>
      <c r="H62" t="s">
        <v>11</v>
      </c>
      <c r="I62" t="str">
        <f>_xlfn.XLOOKUP(Tabla1[[#This Row],[Dependencia]],Tabla2[Dependencia],Tabla2[Clasificación],"No indexado")</f>
        <v>Gobierno del estado</v>
      </c>
      <c r="J62" t="str">
        <f>_xlfn.XLOOKUP(Tabla1[[#This Row],[Dependencia]],Tabla3[Dependencia],Tabla3[Nivel],"otros",0)</f>
        <v>Gabinete</v>
      </c>
    </row>
    <row r="63" spans="1:10" x14ac:dyDescent="0.35">
      <c r="A63" s="5">
        <v>46162</v>
      </c>
      <c r="B63" t="s">
        <v>83</v>
      </c>
      <c r="C63" s="6" t="s">
        <v>84</v>
      </c>
      <c r="D63" t="s">
        <v>85</v>
      </c>
      <c r="E63" t="s">
        <v>16</v>
      </c>
      <c r="F63" t="s">
        <v>16</v>
      </c>
      <c r="G63" t="s">
        <v>88</v>
      </c>
      <c r="H63" t="s">
        <v>11</v>
      </c>
      <c r="I63" t="str">
        <f>_xlfn.XLOOKUP(Tabla1[[#This Row],[Dependencia]],Tabla2[Dependencia],Tabla2[Clasificación],"No indexado")</f>
        <v>Alcaldías</v>
      </c>
      <c r="J63" t="str">
        <f>_xlfn.XLOOKUP(Tabla1[[#This Row],[Dependencia]],Tabla3[Dependencia],Tabla3[Nivel],"otros",0)</f>
        <v>otros</v>
      </c>
    </row>
    <row r="64" spans="1:10" x14ac:dyDescent="0.35">
      <c r="A64" s="5">
        <v>46162</v>
      </c>
      <c r="B64" t="s">
        <v>80</v>
      </c>
      <c r="C64" s="6" t="s">
        <v>194</v>
      </c>
      <c r="D64" t="s">
        <v>13</v>
      </c>
      <c r="E64" t="s">
        <v>22</v>
      </c>
      <c r="F64" t="s">
        <v>22</v>
      </c>
      <c r="G64" t="s">
        <v>98</v>
      </c>
      <c r="H64" t="s">
        <v>70</v>
      </c>
      <c r="I64" t="str">
        <f>_xlfn.XLOOKUP(Tabla1[[#This Row],[Dependencia]],Tabla2[Dependencia],Tabla2[Clasificación],"No indexado")</f>
        <v>Gobierno del estado</v>
      </c>
      <c r="J64" t="str">
        <f>_xlfn.XLOOKUP(Tabla1[[#This Row],[Dependencia]],Tabla3[Dependencia],Tabla3[Nivel],"otros",0)</f>
        <v>Gabinete</v>
      </c>
    </row>
    <row r="65" spans="1:10" ht="29" x14ac:dyDescent="0.35">
      <c r="A65" s="5">
        <v>46162</v>
      </c>
      <c r="B65" t="s">
        <v>80</v>
      </c>
      <c r="C65" s="6" t="s">
        <v>195</v>
      </c>
      <c r="D65" t="s">
        <v>12</v>
      </c>
      <c r="E65" t="s">
        <v>22</v>
      </c>
      <c r="F65" t="s">
        <v>22</v>
      </c>
      <c r="G65" t="s">
        <v>170</v>
      </c>
      <c r="H65" t="s">
        <v>72</v>
      </c>
      <c r="I65" t="str">
        <f>_xlfn.XLOOKUP(Tabla1[[#This Row],[Dependencia]],Tabla2[Dependencia],Tabla2[Clasificación],"No indexado")</f>
        <v>Gobierno del estado</v>
      </c>
      <c r="J65" t="str">
        <f>_xlfn.XLOOKUP(Tabla1[[#This Row],[Dependencia]],Tabla3[Dependencia],Tabla3[Nivel],"otros",0)</f>
        <v>Gabinete</v>
      </c>
    </row>
    <row r="66" spans="1:10" ht="58" x14ac:dyDescent="0.35">
      <c r="A66" s="5">
        <v>46162</v>
      </c>
      <c r="B66" t="s">
        <v>80</v>
      </c>
      <c r="C66" s="6" t="s">
        <v>196</v>
      </c>
      <c r="D66" t="s">
        <v>76</v>
      </c>
      <c r="E66" t="s">
        <v>14</v>
      </c>
      <c r="F66" t="s">
        <v>14</v>
      </c>
      <c r="G66" t="s">
        <v>97</v>
      </c>
      <c r="H66" t="s">
        <v>11</v>
      </c>
      <c r="I66" t="str">
        <f>_xlfn.XLOOKUP(Tabla1[[#This Row],[Dependencia]],Tabla2[Dependencia],Tabla2[Clasificación],"No indexado")</f>
        <v>Presidencia de la República</v>
      </c>
      <c r="J66" t="str">
        <f>_xlfn.XLOOKUP(Tabla1[[#This Row],[Dependencia]],Tabla3[Dependencia],Tabla3[Nivel],"otros",0)</f>
        <v>otros</v>
      </c>
    </row>
    <row r="67" spans="1:10" x14ac:dyDescent="0.35">
      <c r="A67" s="5">
        <v>46162</v>
      </c>
      <c r="B67" t="s">
        <v>80</v>
      </c>
      <c r="C67" s="6" t="s">
        <v>197</v>
      </c>
      <c r="D67" t="s">
        <v>12</v>
      </c>
      <c r="E67" t="s">
        <v>34</v>
      </c>
      <c r="F67" t="s">
        <v>34</v>
      </c>
      <c r="G67" t="s">
        <v>198</v>
      </c>
      <c r="H67" t="s">
        <v>11</v>
      </c>
      <c r="I67" t="str">
        <f>_xlfn.XLOOKUP(Tabla1[[#This Row],[Dependencia]],Tabla2[Dependencia],Tabla2[Clasificación],"No indexado")</f>
        <v>Otros</v>
      </c>
      <c r="J67" t="str">
        <f>_xlfn.XLOOKUP(Tabla1[[#This Row],[Dependencia]],Tabla3[Dependencia],Tabla3[Nivel],"otros",0)</f>
        <v>otros</v>
      </c>
    </row>
    <row r="68" spans="1:10" ht="29" x14ac:dyDescent="0.35">
      <c r="A68" s="5">
        <v>46162</v>
      </c>
      <c r="B68" t="s">
        <v>80</v>
      </c>
      <c r="C68" s="6" t="s">
        <v>199</v>
      </c>
      <c r="D68" t="s">
        <v>12</v>
      </c>
      <c r="E68" t="s">
        <v>14</v>
      </c>
      <c r="F68" t="s">
        <v>200</v>
      </c>
      <c r="G68" t="s">
        <v>81</v>
      </c>
      <c r="H68" t="s">
        <v>11</v>
      </c>
      <c r="I68" t="str">
        <f>_xlfn.XLOOKUP(Tabla1[[#This Row],[Dependencia]],Tabla2[Dependencia],Tabla2[Clasificación],"No indexado")</f>
        <v>Presidencia de la República</v>
      </c>
      <c r="J68" t="str">
        <f>_xlfn.XLOOKUP(Tabla1[[#This Row],[Dependencia]],Tabla3[Dependencia],Tabla3[Nivel],"otros",0)</f>
        <v>otros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51DEFD-FF29-4969-B1FC-DF47C7CD743C}">
  <dimension ref="A1:E48"/>
  <sheetViews>
    <sheetView workbookViewId="0"/>
  </sheetViews>
  <sheetFormatPr baseColWidth="10" defaultRowHeight="14.5" x14ac:dyDescent="0.35"/>
  <cols>
    <col min="1" max="1" width="20.81640625" bestFit="1" customWidth="1"/>
    <col min="2" max="2" width="25.7265625" bestFit="1" customWidth="1"/>
    <col min="4" max="4" width="15.1796875" customWidth="1"/>
  </cols>
  <sheetData>
    <row r="1" spans="1:5" x14ac:dyDescent="0.35">
      <c r="A1" t="s">
        <v>4</v>
      </c>
      <c r="B1" t="s">
        <v>30</v>
      </c>
      <c r="D1" s="8" t="s">
        <v>4</v>
      </c>
      <c r="E1" t="s">
        <v>66</v>
      </c>
    </row>
    <row r="2" spans="1:5" x14ac:dyDescent="0.35">
      <c r="A2" t="s">
        <v>62</v>
      </c>
      <c r="B2" t="s">
        <v>63</v>
      </c>
      <c r="D2" s="10" t="s">
        <v>19</v>
      </c>
      <c r="E2" t="s">
        <v>67</v>
      </c>
    </row>
    <row r="3" spans="1:5" x14ac:dyDescent="0.35">
      <c r="A3" t="s">
        <v>16</v>
      </c>
      <c r="B3" t="s">
        <v>31</v>
      </c>
      <c r="D3" s="9" t="s">
        <v>33</v>
      </c>
      <c r="E3" t="s">
        <v>67</v>
      </c>
    </row>
    <row r="4" spans="1:5" x14ac:dyDescent="0.35">
      <c r="A4" t="s">
        <v>19</v>
      </c>
      <c r="B4" t="s">
        <v>32</v>
      </c>
      <c r="D4" s="9" t="s">
        <v>35</v>
      </c>
      <c r="E4" t="s">
        <v>67</v>
      </c>
    </row>
    <row r="5" spans="1:5" x14ac:dyDescent="0.35">
      <c r="A5" t="s">
        <v>61</v>
      </c>
      <c r="B5" t="s">
        <v>10</v>
      </c>
      <c r="D5" s="10" t="s">
        <v>28</v>
      </c>
      <c r="E5" t="s">
        <v>67</v>
      </c>
    </row>
    <row r="6" spans="1:5" x14ac:dyDescent="0.35">
      <c r="A6" t="s">
        <v>33</v>
      </c>
      <c r="B6" t="s">
        <v>32</v>
      </c>
      <c r="D6" s="10" t="s">
        <v>36</v>
      </c>
      <c r="E6" t="s">
        <v>67</v>
      </c>
    </row>
    <row r="7" spans="1:5" x14ac:dyDescent="0.35">
      <c r="A7" t="s">
        <v>34</v>
      </c>
      <c r="B7" t="s">
        <v>10</v>
      </c>
      <c r="D7" s="9" t="s">
        <v>37</v>
      </c>
      <c r="E7" t="s">
        <v>67</v>
      </c>
    </row>
    <row r="8" spans="1:5" x14ac:dyDescent="0.35">
      <c r="A8" t="s">
        <v>35</v>
      </c>
      <c r="B8" t="s">
        <v>32</v>
      </c>
      <c r="D8" s="9" t="s">
        <v>37</v>
      </c>
      <c r="E8" t="s">
        <v>67</v>
      </c>
    </row>
    <row r="9" spans="1:5" x14ac:dyDescent="0.35">
      <c r="A9" t="s">
        <v>28</v>
      </c>
      <c r="B9" t="s">
        <v>32</v>
      </c>
      <c r="D9" s="9" t="s">
        <v>38</v>
      </c>
      <c r="E9" t="s">
        <v>67</v>
      </c>
    </row>
    <row r="10" spans="1:5" x14ac:dyDescent="0.35">
      <c r="A10" t="s">
        <v>25</v>
      </c>
      <c r="B10" t="s">
        <v>10</v>
      </c>
      <c r="D10" s="10" t="s">
        <v>24</v>
      </c>
      <c r="E10" t="s">
        <v>24</v>
      </c>
    </row>
    <row r="11" spans="1:5" x14ac:dyDescent="0.35">
      <c r="A11" t="s">
        <v>36</v>
      </c>
      <c r="B11" t="s">
        <v>32</v>
      </c>
      <c r="D11" s="9" t="s">
        <v>39</v>
      </c>
      <c r="E11" t="s">
        <v>67</v>
      </c>
    </row>
    <row r="12" spans="1:5" x14ac:dyDescent="0.35">
      <c r="A12" t="s">
        <v>37</v>
      </c>
      <c r="B12" t="s">
        <v>32</v>
      </c>
      <c r="D12" s="10" t="s">
        <v>40</v>
      </c>
      <c r="E12" t="s">
        <v>67</v>
      </c>
    </row>
    <row r="13" spans="1:5" x14ac:dyDescent="0.35">
      <c r="A13" t="s">
        <v>37</v>
      </c>
      <c r="B13" t="s">
        <v>32</v>
      </c>
      <c r="D13" s="10" t="s">
        <v>40</v>
      </c>
      <c r="E13" t="s">
        <v>67</v>
      </c>
    </row>
    <row r="14" spans="1:5" x14ac:dyDescent="0.35">
      <c r="A14" t="s">
        <v>64</v>
      </c>
      <c r="B14" t="s">
        <v>45</v>
      </c>
      <c r="D14" s="9" t="s">
        <v>21</v>
      </c>
      <c r="E14" t="s">
        <v>67</v>
      </c>
    </row>
    <row r="15" spans="1:5" x14ac:dyDescent="0.35">
      <c r="A15" t="s">
        <v>38</v>
      </c>
      <c r="B15" t="s">
        <v>32</v>
      </c>
      <c r="D15" s="10" t="s">
        <v>17</v>
      </c>
      <c r="E15" t="s">
        <v>67</v>
      </c>
    </row>
    <row r="16" spans="1:5" x14ac:dyDescent="0.35">
      <c r="A16" t="s">
        <v>24</v>
      </c>
      <c r="B16" t="s">
        <v>32</v>
      </c>
      <c r="D16" s="9" t="s">
        <v>48</v>
      </c>
      <c r="E16" t="s">
        <v>67</v>
      </c>
    </row>
    <row r="17" spans="1:5" x14ac:dyDescent="0.35">
      <c r="A17" t="s">
        <v>39</v>
      </c>
      <c r="B17" t="s">
        <v>32</v>
      </c>
      <c r="D17" s="9" t="s">
        <v>54</v>
      </c>
      <c r="E17" t="s">
        <v>67</v>
      </c>
    </row>
    <row r="18" spans="1:5" x14ac:dyDescent="0.35">
      <c r="A18" t="s">
        <v>40</v>
      </c>
      <c r="B18" t="s">
        <v>32</v>
      </c>
      <c r="D18" s="9" t="s">
        <v>55</v>
      </c>
      <c r="E18" t="s">
        <v>67</v>
      </c>
    </row>
    <row r="19" spans="1:5" x14ac:dyDescent="0.35">
      <c r="A19" t="s">
        <v>41</v>
      </c>
      <c r="B19" t="s">
        <v>10</v>
      </c>
      <c r="D19" s="9" t="s">
        <v>23</v>
      </c>
      <c r="E19" t="s">
        <v>67</v>
      </c>
    </row>
    <row r="20" spans="1:5" x14ac:dyDescent="0.35">
      <c r="A20" t="s">
        <v>42</v>
      </c>
      <c r="B20" t="s">
        <v>43</v>
      </c>
      <c r="D20" s="10" t="s">
        <v>20</v>
      </c>
      <c r="E20" t="s">
        <v>67</v>
      </c>
    </row>
    <row r="21" spans="1:5" x14ac:dyDescent="0.35">
      <c r="A21" t="s">
        <v>44</v>
      </c>
      <c r="B21" t="s">
        <v>45</v>
      </c>
      <c r="D21" s="9" t="s">
        <v>27</v>
      </c>
      <c r="E21" t="s">
        <v>67</v>
      </c>
    </row>
    <row r="22" spans="1:5" x14ac:dyDescent="0.35">
      <c r="A22" t="s">
        <v>18</v>
      </c>
      <c r="B22" t="s">
        <v>45</v>
      </c>
      <c r="D22" s="10" t="s">
        <v>26</v>
      </c>
      <c r="E22" t="s">
        <v>67</v>
      </c>
    </row>
    <row r="23" spans="1:5" x14ac:dyDescent="0.35">
      <c r="A23" t="s">
        <v>21</v>
      </c>
      <c r="B23" t="s">
        <v>32</v>
      </c>
      <c r="D23" s="9" t="s">
        <v>56</v>
      </c>
      <c r="E23" t="s">
        <v>67</v>
      </c>
    </row>
    <row r="24" spans="1:5" x14ac:dyDescent="0.35">
      <c r="A24" t="s">
        <v>10</v>
      </c>
      <c r="B24" t="s">
        <v>10</v>
      </c>
      <c r="D24" s="9" t="s">
        <v>15</v>
      </c>
      <c r="E24" t="s">
        <v>67</v>
      </c>
    </row>
    <row r="25" spans="1:5" x14ac:dyDescent="0.35">
      <c r="A25" t="s">
        <v>46</v>
      </c>
      <c r="B25" t="s">
        <v>45</v>
      </c>
      <c r="D25" s="10" t="s">
        <v>22</v>
      </c>
      <c r="E25" t="s">
        <v>67</v>
      </c>
    </row>
    <row r="26" spans="1:5" x14ac:dyDescent="0.35">
      <c r="A26" t="s">
        <v>47</v>
      </c>
      <c r="B26" t="s">
        <v>45</v>
      </c>
      <c r="D26" s="9" t="s">
        <v>57</v>
      </c>
      <c r="E26" t="s">
        <v>67</v>
      </c>
    </row>
    <row r="27" spans="1:5" x14ac:dyDescent="0.35">
      <c r="A27" t="s">
        <v>65</v>
      </c>
      <c r="B27" t="s">
        <v>45</v>
      </c>
      <c r="D27" s="11" t="s">
        <v>29</v>
      </c>
      <c r="E27" t="s">
        <v>67</v>
      </c>
    </row>
    <row r="28" spans="1:5" x14ac:dyDescent="0.35">
      <c r="A28" t="s">
        <v>17</v>
      </c>
      <c r="B28" t="s">
        <v>32</v>
      </c>
    </row>
    <row r="29" spans="1:5" x14ac:dyDescent="0.35">
      <c r="A29" t="s">
        <v>48</v>
      </c>
      <c r="B29" t="s">
        <v>32</v>
      </c>
    </row>
    <row r="30" spans="1:5" x14ac:dyDescent="0.35">
      <c r="A30" t="s">
        <v>49</v>
      </c>
      <c r="B30" t="s">
        <v>45</v>
      </c>
    </row>
    <row r="31" spans="1:5" x14ac:dyDescent="0.35">
      <c r="A31" t="s">
        <v>14</v>
      </c>
      <c r="B31" t="s">
        <v>50</v>
      </c>
    </row>
    <row r="32" spans="1:5" x14ac:dyDescent="0.35">
      <c r="A32" t="s">
        <v>51</v>
      </c>
      <c r="B32" t="s">
        <v>45</v>
      </c>
    </row>
    <row r="33" spans="1:2" x14ac:dyDescent="0.35">
      <c r="A33" t="s">
        <v>52</v>
      </c>
      <c r="B33" t="s">
        <v>45</v>
      </c>
    </row>
    <row r="34" spans="1:2" x14ac:dyDescent="0.35">
      <c r="A34" t="s">
        <v>53</v>
      </c>
      <c r="B34" t="s">
        <v>45</v>
      </c>
    </row>
    <row r="35" spans="1:2" x14ac:dyDescent="0.35">
      <c r="A35" t="s">
        <v>54</v>
      </c>
      <c r="B35" t="s">
        <v>32</v>
      </c>
    </row>
    <row r="36" spans="1:2" x14ac:dyDescent="0.35">
      <c r="A36" t="s">
        <v>55</v>
      </c>
      <c r="B36" t="s">
        <v>32</v>
      </c>
    </row>
    <row r="37" spans="1:2" x14ac:dyDescent="0.35">
      <c r="A37" t="s">
        <v>23</v>
      </c>
      <c r="B37" t="s">
        <v>32</v>
      </c>
    </row>
    <row r="38" spans="1:2" x14ac:dyDescent="0.35">
      <c r="A38" t="s">
        <v>20</v>
      </c>
      <c r="B38" t="s">
        <v>32</v>
      </c>
    </row>
    <row r="39" spans="1:2" x14ac:dyDescent="0.35">
      <c r="A39" t="s">
        <v>27</v>
      </c>
      <c r="B39" t="s">
        <v>32</v>
      </c>
    </row>
    <row r="40" spans="1:2" x14ac:dyDescent="0.35">
      <c r="A40" t="s">
        <v>26</v>
      </c>
      <c r="B40" t="s">
        <v>32</v>
      </c>
    </row>
    <row r="41" spans="1:2" x14ac:dyDescent="0.35">
      <c r="A41" t="s">
        <v>56</v>
      </c>
      <c r="B41" t="s">
        <v>32</v>
      </c>
    </row>
    <row r="42" spans="1:2" x14ac:dyDescent="0.35">
      <c r="A42" t="s">
        <v>15</v>
      </c>
      <c r="B42" t="s">
        <v>32</v>
      </c>
    </row>
    <row r="43" spans="1:2" x14ac:dyDescent="0.35">
      <c r="A43" t="s">
        <v>22</v>
      </c>
      <c r="B43" t="s">
        <v>32</v>
      </c>
    </row>
    <row r="44" spans="1:2" x14ac:dyDescent="0.35">
      <c r="A44" t="s">
        <v>57</v>
      </c>
      <c r="B44" t="s">
        <v>32</v>
      </c>
    </row>
    <row r="45" spans="1:2" x14ac:dyDescent="0.35">
      <c r="A45" t="s">
        <v>58</v>
      </c>
      <c r="B45" t="s">
        <v>10</v>
      </c>
    </row>
    <row r="46" spans="1:2" x14ac:dyDescent="0.35">
      <c r="A46" t="s">
        <v>59</v>
      </c>
      <c r="B46" t="s">
        <v>10</v>
      </c>
    </row>
    <row r="47" spans="1:2" x14ac:dyDescent="0.35">
      <c r="A47" t="s">
        <v>29</v>
      </c>
      <c r="B47" t="s">
        <v>32</v>
      </c>
    </row>
    <row r="48" spans="1:2" x14ac:dyDescent="0.35">
      <c r="A48" t="s">
        <v>60</v>
      </c>
      <c r="B48" t="s">
        <v>10</v>
      </c>
    </row>
  </sheetData>
  <pageMargins left="0.7" right="0.7" top="0.75" bottom="0.75" header="0.3" footer="0.3"/>
  <tableParts count="2">
    <tablePart r:id="rId1"/>
    <tablePart r:id="rId2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Hoja1</vt:lpstr>
      <vt:lpstr>Hoja2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Francisco Villeda Velazquez</dc:creator>
  <cp:lastModifiedBy>Francisco Villeda Velazquez</cp:lastModifiedBy>
  <dcterms:created xsi:type="dcterms:W3CDTF">2026-02-26T13:38:55Z</dcterms:created>
  <dcterms:modified xsi:type="dcterms:W3CDTF">2026-05-20T18:35:43Z</dcterms:modified>
</cp:coreProperties>
</file>