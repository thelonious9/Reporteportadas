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75FA5CED-9CD2-4A00-A946-353FF84D68AC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I2" i="1"/>
  <c r="J2" i="1"/>
</calcChain>
</file>

<file path=xl/sharedStrings.xml><?xml version="1.0" encoding="utf-8"?>
<sst xmlns="http://schemas.openxmlformats.org/spreadsheetml/2006/main" count="538" uniqueCount="178">
  <si>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</si>
  <si>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</si>
  <si>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</si>
  <si>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</si>
  <si>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</si>
  <si>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</si>
  <si>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</si>
  <si>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</si>
  <si>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</si>
  <si>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</si>
  <si>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</si>
  <si>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</si>
  <si>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</si>
  <si>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</si>
  <si>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</si>
  <si>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</si>
  <si>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</si>
  <si>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</si>
  <si>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</si>
  <si>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</si>
  <si>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</si>
  <si>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</si>
  <si>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</si>
  <si>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</si>
  <si>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</si>
  <si>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</si>
  <si>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</si>
  <si>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</si>
  <si>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</si>
  <si>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</si>
  <si>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</si>
  <si>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</si>
  <si>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</si>
  <si>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</si>
  <si>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</si>
  <si>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</si>
  <si>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</si>
  <si>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</si>
  <si>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</si>
  <si>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</si>
  <si>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</si>
  <si>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</si>
  <si>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</si>
  <si>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</si>
  <si>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</si>
  <si>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</si>
  <si>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</si>
  <si>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</si>
  <si>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</si>
  <si>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</si>
  <si>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</si>
  <si>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</si>
  <si>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</si>
  <si>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</si>
  <si>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</si>
  <si>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</si>
  <si>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</si>
  <si>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</si>
  <si>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</si>
  <si>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</si>
  <si>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</si>
  <si>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</si>
  <si>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</si>
  <si>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</si>
  <si>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</si>
  <si>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</si>
  <si>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</si>
  <si>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</si>
  <si>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</si>
  <si>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</si>
  <si>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</si>
  <si>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</si>
  <si>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</si>
  <si>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Pachuca Brilla</t>
  </si>
  <si>
    <t>La Jornada Hidalgo</t>
  </si>
  <si>
    <t>OCSAD</t>
  </si>
  <si>
    <t>Mundial De Futbol</t>
  </si>
  <si>
    <t>El Universal Hidalgo</t>
  </si>
  <si>
    <t>Sitmah</t>
  </si>
  <si>
    <t>Intervención extranjera</t>
  </si>
  <si>
    <t>Protección del menor</t>
  </si>
  <si>
    <t>Carril confinado</t>
  </si>
  <si>
    <t>Editorial</t>
  </si>
  <si>
    <t>Protesta sindical</t>
  </si>
  <si>
    <t>CFE</t>
  </si>
  <si>
    <t>Effetá</t>
  </si>
  <si>
    <t>Alcalde</t>
  </si>
  <si>
    <t>IHE</t>
  </si>
  <si>
    <t>Plaza Juárez</t>
  </si>
  <si>
    <t>Piden explicación sobre uso de predios al SNTE</t>
  </si>
  <si>
    <t>Conflicto por predio</t>
  </si>
  <si>
    <t>No está prohibida la vuelta a la izquierda</t>
  </si>
  <si>
    <t>La CNTE llama a manifestarse en la entidad</t>
  </si>
  <si>
    <t>Legisladores buscan regular reparto en moto</t>
  </si>
  <si>
    <t>Iniciativa</t>
  </si>
  <si>
    <t>Hidalgo, cuarto lugar en economía informal</t>
  </si>
  <si>
    <t>Informalidad laboral</t>
  </si>
  <si>
    <t>Escuela de La Reforma trabaja con diablitos</t>
  </si>
  <si>
    <t>Básica</t>
  </si>
  <si>
    <t>Infraestructura escolar</t>
  </si>
  <si>
    <t>Entrenan en el Hidalgo</t>
  </si>
  <si>
    <t>Programan caminos artesanales para 2026 en Hidalgo</t>
  </si>
  <si>
    <t>SICT</t>
  </si>
  <si>
    <t>Carretera artesanal</t>
  </si>
  <si>
    <t>Formalizan protección a niñas y niños</t>
  </si>
  <si>
    <t>Buscan cuidar a repartidores</t>
  </si>
  <si>
    <t>Aumentan registros de programas</t>
  </si>
  <si>
    <t>Programas Del Bienestar</t>
  </si>
  <si>
    <t>Criterio</t>
  </si>
  <si>
    <t>Aumentarán a tres carriles el Felipe Ángeles, anuncia Sipdus</t>
  </si>
  <si>
    <t>Sipdus</t>
  </si>
  <si>
    <t>IMCO: ocupa la Bella Airosa 5° lugar nacional en competitividad</t>
  </si>
  <si>
    <t>índice de Competitividad Urbana</t>
  </si>
  <si>
    <t>Pachuca, con el 50% de denuncias por tortura</t>
  </si>
  <si>
    <t>Tortura</t>
  </si>
  <si>
    <t>LA CAPITAL DA UNA TIBIA  BIENVENIDA A SELECCIÓN</t>
  </si>
  <si>
    <t>Tuzos, a un año de la inundación que afectó a más de 200 casas</t>
  </si>
  <si>
    <t>Afectaciones Por Lluvias</t>
  </si>
  <si>
    <t>Sudáfrica cumple sueño de lucho en Pachuca</t>
  </si>
  <si>
    <t>América cierra la era de jardine</t>
  </si>
  <si>
    <t>Deportes</t>
  </si>
  <si>
    <t>Innovación y economía ponen a Pachuca en el top de competitividad</t>
  </si>
  <si>
    <t>índice de competitividad</t>
  </si>
  <si>
    <t>Semestre de crecimiento prevé SHCP</t>
  </si>
  <si>
    <t>Crecimiento Económico</t>
  </si>
  <si>
    <t>Reconoce EU la colaboración de México y respalda su soberanía</t>
  </si>
  <si>
    <t>Temas internacionales</t>
  </si>
  <si>
    <t>AMLO: "por el bien de todos, que regrese el otro Trump"</t>
  </si>
  <si>
    <t>Somos el rival que se quiere evitar""</t>
  </si>
  <si>
    <t>Exhibirán en zona arqueológica pieza del juego de pelota</t>
  </si>
  <si>
    <t>INAH</t>
  </si>
  <si>
    <t>Zona Arqueológica</t>
  </si>
  <si>
    <t>Realizan entrenamiento a puerta cerrada</t>
  </si>
  <si>
    <t>Hidalgo, segundo en crecimiento de trabajo remunerado</t>
  </si>
  <si>
    <t>Empleo formal</t>
  </si>
  <si>
    <t>Gobierno de EU ofrece respeto a la soberanía</t>
  </si>
  <si>
    <t>Tulancingo, último en competitividad urbana</t>
  </si>
  <si>
    <t>Índice de competitividad</t>
  </si>
  <si>
    <t>EU investiga a Durazo y Villarreal</t>
  </si>
  <si>
    <t>Sudáfrica desata la euforia en Pachuca durante entrenamiento</t>
  </si>
  <si>
    <t>Cuando un gobierno extranjero comienza a intervenir en la conversación política interna mexicana, lo que se requiere no es una fotografía bonita para redes sociales. Se necesita cohesión política, respaldo popular y lectura histórica</t>
  </si>
  <si>
    <t>Suma gobierno federal al estado en programa de conservación carretera con inversiones millonarias</t>
  </si>
  <si>
    <t>Rehabilitación carretera</t>
  </si>
  <si>
    <t>Refuerza Hidalgo vigilancia sanitaria por el Mundial 2026; descartan casos de ébola en la entidad</t>
  </si>
  <si>
    <t>Lanzan convocatoria para contratar choferes para el Sistema de Transporte Metropolitano</t>
  </si>
  <si>
    <t>Reclutamiento</t>
  </si>
  <si>
    <t>Vive Pachuca fiebre mundialista con entrenamiento de Sudáfrica en estadio Hidalgo</t>
  </si>
  <si>
    <t>ALcalde y supervisor de CFE se reúnen con comunidades</t>
  </si>
  <si>
    <t>Reunión con funcionario federal</t>
  </si>
  <si>
    <t>Destinó gobierno federal recursos históricos para carreteras</t>
  </si>
  <si>
    <t>Apagón prolongado golpea al municipio de Huejutla</t>
  </si>
  <si>
    <t>Apagones</t>
  </si>
  <si>
    <t>Fortaleza a participación ciudadana y la rendicón de cuentas</t>
  </si>
  <si>
    <t>Contraloría Social</t>
  </si>
  <si>
    <t>Buscan frenar las entregas contrarreloj de apps en Hidalgo</t>
  </si>
  <si>
    <t>Imprudencias involucran al Metropolitano en cuatro incidentes viales</t>
  </si>
  <si>
    <t>Accidente Tuzobús</t>
  </si>
  <si>
    <t>Teman nuevas tragedias</t>
  </si>
  <si>
    <t>Atlas de Riesgos</t>
  </si>
  <si>
    <t>Hubo desaseo legislativo en recorte al IEEH</t>
  </si>
  <si>
    <t>Presupuesto IEEH</t>
  </si>
  <si>
    <t>Hidalgo tendrá siete caminos artesanales con recursos federales</t>
  </si>
  <si>
    <t>Hidalgo, entre los líderes en generación de empleo</t>
  </si>
  <si>
    <t>Generación De Empleo</t>
  </si>
  <si>
    <t>Sudáfrica entrena en el Hidalgo; aficionados les dan bienvenida</t>
  </si>
  <si>
    <t>Realiza IHE etapa estatal de la Olimpiada del Conocimiento Infantil</t>
  </si>
  <si>
    <t>Justa Académica</t>
  </si>
  <si>
    <t>Desazolva Río de las Avenidas ara evitar inundaciones en Los Tuzos</t>
  </si>
  <si>
    <t>Desazolve</t>
  </si>
  <si>
    <t>Día accidentado en Sistema de Transporte Metropolitano: 4 percances</t>
  </si>
  <si>
    <t>Seguridad Pública de Pachuca fortalece acciones preventivas y de proximidad en los barrios altos</t>
  </si>
  <si>
    <t>Policía municipal</t>
  </si>
  <si>
    <t>Operativo de Seguridad</t>
  </si>
  <si>
    <t>A menos de una semana de su lanzamiento, Chocan otra unidad del Transporte Metropolitano</t>
  </si>
  <si>
    <t>Niegan gobemadores que se les haya retirado la visa</t>
  </si>
  <si>
    <t>Siguen los incidentes con unidades nuevas de los llamados (antes) Tuzobuses, pareciera mala suerte, aunque la realidad es que falta respeto a los reglamentos por parte de los conductores, tanto de las unidades de servicio como de los autos en general</t>
  </si>
  <si>
    <t>Exigen destitución de síndico procurador de Singuilucan</t>
  </si>
  <si>
    <t>Regidor ebrio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</si>
</sst>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5" totalsRowShown="0" headerRowDxfId="5" headerRowBorderDxfId="4">
  <autoFilter ref="A1:J55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5"/>
  <sheetViews>
    <sheetView tabSelected="1" topLeftCell="D47" workbookViewId="0">
      <selection activeCell="J55" sqref="J55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35">
      <c r="A2" s="5">
        <v>46177</v>
      </c>
      <c r="B2" t="s">
        <v>68</v>
      </c>
      <c r="C2" s="6" t="s">
        <v>89</v>
      </c>
      <c r="D2" t="s">
        <v>12</v>
      </c>
      <c r="E2" t="s">
        <v>10</v>
      </c>
      <c r="F2" t="s">
        <v>10</v>
      </c>
      <c r="G2" t="s">
        <v>90</v>
      </c>
      <c r="H2" t="s">
        <v>70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46177</v>
      </c>
      <c r="B3" t="s">
        <v>68</v>
      </c>
      <c r="C3" s="6" t="s">
        <v>91</v>
      </c>
      <c r="D3" t="s">
        <v>12</v>
      </c>
      <c r="E3" t="s">
        <v>27</v>
      </c>
      <c r="F3" t="s">
        <v>78</v>
      </c>
      <c r="G3" t="s">
        <v>81</v>
      </c>
      <c r="H3" t="s">
        <v>70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5">
        <v>46177</v>
      </c>
      <c r="B4" t="s">
        <v>68</v>
      </c>
      <c r="C4" s="6" t="s">
        <v>92</v>
      </c>
      <c r="D4" t="s">
        <v>12</v>
      </c>
      <c r="E4" t="s">
        <v>14</v>
      </c>
      <c r="F4" t="s">
        <v>14</v>
      </c>
      <c r="G4" t="s">
        <v>83</v>
      </c>
      <c r="H4" t="s">
        <v>11</v>
      </c>
      <c r="I4" t="str">
        <f>_xlfn.XLOOKUP(Tabla1[[#This Row],[Dependencia]],Tabla2[Dependencia],Tabla2[Clasificación],"No indexado")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46177</v>
      </c>
      <c r="B5" t="s">
        <v>68</v>
      </c>
      <c r="C5" s="6" t="s">
        <v>93</v>
      </c>
      <c r="D5" t="s">
        <v>9</v>
      </c>
      <c r="E5" t="s">
        <v>33</v>
      </c>
      <c r="F5" t="s">
        <v>33</v>
      </c>
      <c r="G5" t="s">
        <v>94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46177</v>
      </c>
      <c r="B6" t="s">
        <v>68</v>
      </c>
      <c r="C6" s="6" t="s">
        <v>95</v>
      </c>
      <c r="D6" t="s">
        <v>12</v>
      </c>
      <c r="E6" t="s">
        <v>56</v>
      </c>
      <c r="F6" t="s">
        <v>56</v>
      </c>
      <c r="G6" t="s">
        <v>96</v>
      </c>
      <c r="H6" t="s">
        <v>70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46177</v>
      </c>
      <c r="B7" t="s">
        <v>68</v>
      </c>
      <c r="C7" s="6" t="s">
        <v>97</v>
      </c>
      <c r="D7" t="s">
        <v>12</v>
      </c>
      <c r="E7" t="s">
        <v>26</v>
      </c>
      <c r="F7" t="s">
        <v>98</v>
      </c>
      <c r="G7" t="s">
        <v>99</v>
      </c>
      <c r="H7" t="s">
        <v>70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46177</v>
      </c>
      <c r="B8" t="s">
        <v>77</v>
      </c>
      <c r="C8" s="6" t="s">
        <v>100</v>
      </c>
      <c r="D8" t="s">
        <v>9</v>
      </c>
      <c r="E8" t="s">
        <v>10</v>
      </c>
      <c r="F8" t="s">
        <v>10</v>
      </c>
      <c r="G8" t="s">
        <v>76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46177</v>
      </c>
      <c r="B9" t="s">
        <v>77</v>
      </c>
      <c r="C9" s="6" t="s">
        <v>101</v>
      </c>
      <c r="D9" t="s">
        <v>13</v>
      </c>
      <c r="E9" t="s">
        <v>14</v>
      </c>
      <c r="F9" t="s">
        <v>102</v>
      </c>
      <c r="G9" t="s">
        <v>103</v>
      </c>
      <c r="H9" t="s">
        <v>11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46177</v>
      </c>
      <c r="B10" t="s">
        <v>77</v>
      </c>
      <c r="C10" s="6" t="s">
        <v>104</v>
      </c>
      <c r="D10" t="s">
        <v>12</v>
      </c>
      <c r="E10" t="s">
        <v>36</v>
      </c>
      <c r="F10" t="s">
        <v>36</v>
      </c>
      <c r="G10" t="s">
        <v>80</v>
      </c>
      <c r="H10" t="s">
        <v>69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46177</v>
      </c>
      <c r="B11" t="s">
        <v>77</v>
      </c>
      <c r="C11" s="6" t="s">
        <v>105</v>
      </c>
      <c r="D11" t="s">
        <v>12</v>
      </c>
      <c r="E11" t="s">
        <v>33</v>
      </c>
      <c r="F11" t="s">
        <v>33</v>
      </c>
      <c r="G11" t="s">
        <v>94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46177</v>
      </c>
      <c r="B12" t="s">
        <v>77</v>
      </c>
      <c r="C12" s="6" t="s">
        <v>106</v>
      </c>
      <c r="D12" t="s">
        <v>12</v>
      </c>
      <c r="E12" t="s">
        <v>25</v>
      </c>
      <c r="F12" t="s">
        <v>25</v>
      </c>
      <c r="G12" t="s">
        <v>107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46177</v>
      </c>
      <c r="B13" t="s">
        <v>108</v>
      </c>
      <c r="C13" s="6" t="s">
        <v>109</v>
      </c>
      <c r="D13" t="s">
        <v>12</v>
      </c>
      <c r="E13" t="s">
        <v>110</v>
      </c>
      <c r="F13" t="s">
        <v>110</v>
      </c>
      <c r="G13" t="s">
        <v>81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ht="29" x14ac:dyDescent="0.35">
      <c r="A14" s="5">
        <v>46177</v>
      </c>
      <c r="B14" t="s">
        <v>108</v>
      </c>
      <c r="C14" s="6" t="s">
        <v>111</v>
      </c>
      <c r="D14" t="s">
        <v>12</v>
      </c>
      <c r="E14" t="s">
        <v>16</v>
      </c>
      <c r="F14" t="s">
        <v>16</v>
      </c>
      <c r="G14" t="s">
        <v>112</v>
      </c>
      <c r="H14" t="s">
        <v>11</v>
      </c>
      <c r="I14" t="str">
        <f>_xlfn.XLOOKUP(Tabla1[[#This Row],[Dependencia]],Tabla2[Dependencia],Tabla2[Clasificación],"No indexado")</f>
        <v>Alcaldías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46177</v>
      </c>
      <c r="B15" t="s">
        <v>108</v>
      </c>
      <c r="C15" s="6" t="s">
        <v>113</v>
      </c>
      <c r="D15" t="s">
        <v>13</v>
      </c>
      <c r="E15" t="s">
        <v>17</v>
      </c>
      <c r="F15" t="s">
        <v>17</v>
      </c>
      <c r="G15" t="s">
        <v>114</v>
      </c>
      <c r="H15" t="s">
        <v>70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5">
        <v>46177</v>
      </c>
      <c r="B16" t="s">
        <v>108</v>
      </c>
      <c r="C16" s="6" t="s">
        <v>115</v>
      </c>
      <c r="D16" t="s">
        <v>9</v>
      </c>
      <c r="E16" t="s">
        <v>10</v>
      </c>
      <c r="F16" t="s">
        <v>10</v>
      </c>
      <c r="G16" t="s">
        <v>76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29" x14ac:dyDescent="0.35">
      <c r="A17" s="5">
        <v>46177</v>
      </c>
      <c r="B17" t="s">
        <v>108</v>
      </c>
      <c r="C17" s="6" t="s">
        <v>116</v>
      </c>
      <c r="D17" t="s">
        <v>12</v>
      </c>
      <c r="E17" t="s">
        <v>16</v>
      </c>
      <c r="F17" t="s">
        <v>16</v>
      </c>
      <c r="G17" t="s">
        <v>117</v>
      </c>
      <c r="H17" t="s">
        <v>11</v>
      </c>
      <c r="I17" t="str">
        <f>_xlfn.XLOOKUP(Tabla1[[#This Row],[Dependencia]],Tabla2[Dependencia],Tabla2[Clasificación],"No indexado")</f>
        <v>Alcaldías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46177</v>
      </c>
      <c r="B18" t="s">
        <v>108</v>
      </c>
      <c r="C18" s="6" t="s">
        <v>118</v>
      </c>
      <c r="D18" t="s">
        <v>12</v>
      </c>
      <c r="E18" t="s">
        <v>10</v>
      </c>
      <c r="F18" t="s">
        <v>10</v>
      </c>
      <c r="G18" t="s">
        <v>76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46177</v>
      </c>
      <c r="B19" t="s">
        <v>108</v>
      </c>
      <c r="C19" s="6" t="s">
        <v>119</v>
      </c>
      <c r="D19" t="s">
        <v>12</v>
      </c>
      <c r="E19" t="s">
        <v>10</v>
      </c>
      <c r="F19" t="s">
        <v>10</v>
      </c>
      <c r="G19" t="s">
        <v>120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29" x14ac:dyDescent="0.35">
      <c r="A20" s="5">
        <v>46177</v>
      </c>
      <c r="B20" t="s">
        <v>67</v>
      </c>
      <c r="C20" s="6" t="s">
        <v>121</v>
      </c>
      <c r="D20" t="s">
        <v>13</v>
      </c>
      <c r="E20" t="s">
        <v>16</v>
      </c>
      <c r="F20" t="s">
        <v>16</v>
      </c>
      <c r="G20" t="s">
        <v>122</v>
      </c>
      <c r="H20" t="s">
        <v>11</v>
      </c>
      <c r="I20" t="str">
        <f>_xlfn.XLOOKUP(Tabla1[[#This Row],[Dependencia]],Tabla2[Dependencia],Tabla2[Clasificación],"No indexado")</f>
        <v>Alcaldías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46177</v>
      </c>
      <c r="B21" t="s">
        <v>67</v>
      </c>
      <c r="C21" s="6" t="s">
        <v>123</v>
      </c>
      <c r="D21" t="s">
        <v>12</v>
      </c>
      <c r="E21" t="s">
        <v>14</v>
      </c>
      <c r="F21" t="s">
        <v>14</v>
      </c>
      <c r="G21" t="s">
        <v>124</v>
      </c>
      <c r="H21" t="s">
        <v>69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ht="29" x14ac:dyDescent="0.35">
      <c r="A22" s="5">
        <v>46177</v>
      </c>
      <c r="B22" t="s">
        <v>67</v>
      </c>
      <c r="C22" s="6" t="s">
        <v>125</v>
      </c>
      <c r="D22" t="s">
        <v>12</v>
      </c>
      <c r="E22" t="s">
        <v>14</v>
      </c>
      <c r="F22" t="s">
        <v>14</v>
      </c>
      <c r="G22" t="s">
        <v>126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46177</v>
      </c>
      <c r="B23" t="s">
        <v>67</v>
      </c>
      <c r="C23" s="6" t="s">
        <v>127</v>
      </c>
      <c r="D23" t="s">
        <v>12</v>
      </c>
      <c r="E23" t="s">
        <v>10</v>
      </c>
      <c r="F23" t="s">
        <v>10</v>
      </c>
      <c r="G23" t="s">
        <v>79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46177</v>
      </c>
      <c r="B24" t="s">
        <v>67</v>
      </c>
      <c r="C24" s="6" t="s">
        <v>128</v>
      </c>
      <c r="D24" t="s">
        <v>12</v>
      </c>
      <c r="E24" t="s">
        <v>10</v>
      </c>
      <c r="F24" t="s">
        <v>10</v>
      </c>
      <c r="G24" t="s">
        <v>76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46177</v>
      </c>
      <c r="B25" t="s">
        <v>67</v>
      </c>
      <c r="C25" s="6" t="s">
        <v>129</v>
      </c>
      <c r="D25" t="s">
        <v>12</v>
      </c>
      <c r="E25" t="s">
        <v>14</v>
      </c>
      <c r="F25" t="s">
        <v>130</v>
      </c>
      <c r="G25" t="s">
        <v>131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46177</v>
      </c>
      <c r="B26" t="s">
        <v>67</v>
      </c>
      <c r="C26" s="6" t="s">
        <v>132</v>
      </c>
      <c r="D26" t="s">
        <v>9</v>
      </c>
      <c r="E26" t="s">
        <v>10</v>
      </c>
      <c r="F26" t="s">
        <v>10</v>
      </c>
      <c r="G26" t="s">
        <v>76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46177</v>
      </c>
      <c r="B27" t="s">
        <v>74</v>
      </c>
      <c r="C27" s="6" t="s">
        <v>133</v>
      </c>
      <c r="D27" t="s">
        <v>12</v>
      </c>
      <c r="E27" t="s">
        <v>56</v>
      </c>
      <c r="F27" t="s">
        <v>56</v>
      </c>
      <c r="G27" t="s">
        <v>134</v>
      </c>
      <c r="H27" t="s">
        <v>69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5">
        <v>46177</v>
      </c>
      <c r="B28" t="s">
        <v>74</v>
      </c>
      <c r="C28" s="6" t="s">
        <v>135</v>
      </c>
      <c r="D28" t="s">
        <v>13</v>
      </c>
      <c r="E28" t="s">
        <v>14</v>
      </c>
      <c r="F28" t="s">
        <v>14</v>
      </c>
      <c r="G28" t="s">
        <v>79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46177</v>
      </c>
      <c r="B29" t="s">
        <v>74</v>
      </c>
      <c r="C29" s="6" t="s">
        <v>136</v>
      </c>
      <c r="D29" t="s">
        <v>12</v>
      </c>
      <c r="E29" t="s">
        <v>16</v>
      </c>
      <c r="F29" t="s">
        <v>16</v>
      </c>
      <c r="G29" t="s">
        <v>137</v>
      </c>
      <c r="H29" t="s">
        <v>70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46177</v>
      </c>
      <c r="B30" t="s">
        <v>74</v>
      </c>
      <c r="C30" s="6" t="s">
        <v>138</v>
      </c>
      <c r="D30" t="s">
        <v>12</v>
      </c>
      <c r="E30" t="s">
        <v>14</v>
      </c>
      <c r="F30" t="s">
        <v>14</v>
      </c>
      <c r="G30" t="s">
        <v>79</v>
      </c>
      <c r="H30" t="s">
        <v>70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29" x14ac:dyDescent="0.35">
      <c r="A31" s="5">
        <v>46177</v>
      </c>
      <c r="B31" t="s">
        <v>74</v>
      </c>
      <c r="C31" s="6" t="s">
        <v>139</v>
      </c>
      <c r="D31" t="s">
        <v>9</v>
      </c>
      <c r="E31" t="s">
        <v>10</v>
      </c>
      <c r="F31" t="s">
        <v>10</v>
      </c>
      <c r="G31" t="s">
        <v>76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ht="58" x14ac:dyDescent="0.35">
      <c r="A32" s="5">
        <v>46177</v>
      </c>
      <c r="B32" t="s">
        <v>74</v>
      </c>
      <c r="C32" s="6" t="s">
        <v>140</v>
      </c>
      <c r="D32" t="s">
        <v>12</v>
      </c>
      <c r="E32" t="s">
        <v>14</v>
      </c>
      <c r="F32" t="s">
        <v>14</v>
      </c>
      <c r="G32" t="s">
        <v>79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46177</v>
      </c>
      <c r="B33" t="s">
        <v>72</v>
      </c>
      <c r="C33" s="6" t="s">
        <v>141</v>
      </c>
      <c r="D33" t="s">
        <v>13</v>
      </c>
      <c r="E33" t="s">
        <v>14</v>
      </c>
      <c r="F33" t="s">
        <v>102</v>
      </c>
      <c r="G33" t="s">
        <v>142</v>
      </c>
      <c r="H33" t="s">
        <v>11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46177</v>
      </c>
      <c r="B34" t="s">
        <v>72</v>
      </c>
      <c r="C34" s="6" t="s">
        <v>143</v>
      </c>
      <c r="D34" t="s">
        <v>12</v>
      </c>
      <c r="E34" t="s">
        <v>15</v>
      </c>
      <c r="F34" t="s">
        <v>15</v>
      </c>
      <c r="G34" t="s">
        <v>76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5">
        <v>46177</v>
      </c>
      <c r="B35" t="s">
        <v>72</v>
      </c>
      <c r="C35" s="6" t="s">
        <v>144</v>
      </c>
      <c r="D35" t="s">
        <v>12</v>
      </c>
      <c r="E35" t="s">
        <v>27</v>
      </c>
      <c r="F35" t="s">
        <v>78</v>
      </c>
      <c r="G35" t="s">
        <v>145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5">
        <v>46177</v>
      </c>
      <c r="B36" t="s">
        <v>72</v>
      </c>
      <c r="C36" s="6" t="s">
        <v>146</v>
      </c>
      <c r="D36" t="s">
        <v>12</v>
      </c>
      <c r="E36" t="s">
        <v>10</v>
      </c>
      <c r="F36" t="s">
        <v>10</v>
      </c>
      <c r="G36" t="s">
        <v>76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46177</v>
      </c>
      <c r="B37" t="s">
        <v>71</v>
      </c>
      <c r="C37" s="6" t="s">
        <v>147</v>
      </c>
      <c r="D37" t="s">
        <v>13</v>
      </c>
      <c r="E37" t="s">
        <v>16</v>
      </c>
      <c r="F37" t="s">
        <v>86</v>
      </c>
      <c r="G37" t="s">
        <v>148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46177</v>
      </c>
      <c r="B38" t="s">
        <v>71</v>
      </c>
      <c r="C38" s="6" t="s">
        <v>149</v>
      </c>
      <c r="D38" t="s">
        <v>12</v>
      </c>
      <c r="E38" t="s">
        <v>14</v>
      </c>
      <c r="F38" t="s">
        <v>102</v>
      </c>
      <c r="G38" t="s">
        <v>142</v>
      </c>
      <c r="H38" t="s">
        <v>11</v>
      </c>
      <c r="I38" t="str">
        <f>_xlfn.XLOOKUP(Tabla1[[#This Row],[Dependencia]],Tabla2[Dependencia],Tabla2[Clasificación],"No indexado")</f>
        <v>Presidencia de la República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46177</v>
      </c>
      <c r="B39" t="s">
        <v>71</v>
      </c>
      <c r="C39" s="6" t="s">
        <v>150</v>
      </c>
      <c r="D39" t="s">
        <v>12</v>
      </c>
      <c r="E39" t="s">
        <v>14</v>
      </c>
      <c r="F39" t="s">
        <v>84</v>
      </c>
      <c r="G39" t="s">
        <v>151</v>
      </c>
      <c r="H39" t="s">
        <v>70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46177</v>
      </c>
      <c r="B40" t="s">
        <v>71</v>
      </c>
      <c r="C40" s="6" t="s">
        <v>152</v>
      </c>
      <c r="D40" t="s">
        <v>12</v>
      </c>
      <c r="E40" t="s">
        <v>34</v>
      </c>
      <c r="F40" t="s">
        <v>34</v>
      </c>
      <c r="G40" t="s">
        <v>153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5">
        <v>46177</v>
      </c>
      <c r="B41" t="s">
        <v>85</v>
      </c>
      <c r="C41" s="6" t="s">
        <v>154</v>
      </c>
      <c r="D41" t="s">
        <v>13</v>
      </c>
      <c r="E41" t="s">
        <v>33</v>
      </c>
      <c r="F41" t="s">
        <v>33</v>
      </c>
      <c r="G41" t="s">
        <v>94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46177</v>
      </c>
      <c r="B42" t="s">
        <v>85</v>
      </c>
      <c r="C42" s="6" t="s">
        <v>155</v>
      </c>
      <c r="D42" t="s">
        <v>12</v>
      </c>
      <c r="E42" t="s">
        <v>27</v>
      </c>
      <c r="F42" t="s">
        <v>78</v>
      </c>
      <c r="G42" t="s">
        <v>156</v>
      </c>
      <c r="H42" t="s">
        <v>70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46177</v>
      </c>
      <c r="B43" t="s">
        <v>85</v>
      </c>
      <c r="C43" s="6" t="s">
        <v>157</v>
      </c>
      <c r="D43" t="s">
        <v>12</v>
      </c>
      <c r="E43" t="s">
        <v>16</v>
      </c>
      <c r="F43" t="s">
        <v>16</v>
      </c>
      <c r="G43" t="s">
        <v>158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46177</v>
      </c>
      <c r="B44" t="s">
        <v>85</v>
      </c>
      <c r="C44" s="6" t="s">
        <v>159</v>
      </c>
      <c r="D44" t="s">
        <v>12</v>
      </c>
      <c r="E44" t="s">
        <v>33</v>
      </c>
      <c r="F44" t="s">
        <v>33</v>
      </c>
      <c r="G44" t="s">
        <v>160</v>
      </c>
      <c r="H44" t="s">
        <v>70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46177</v>
      </c>
      <c r="B45" t="s">
        <v>85</v>
      </c>
      <c r="C45" s="6" t="s">
        <v>161</v>
      </c>
      <c r="D45" t="s">
        <v>12</v>
      </c>
      <c r="E45" t="s">
        <v>14</v>
      </c>
      <c r="F45" t="s">
        <v>102</v>
      </c>
      <c r="G45" t="s">
        <v>142</v>
      </c>
      <c r="H45" t="s">
        <v>11</v>
      </c>
      <c r="I45" t="str">
        <f>_xlfn.XLOOKUP(Tabla1[[#This Row],[Dependencia]],Tabla2[Dependencia],Tabla2[Clasificación],"No indexado")</f>
        <v>Presidencia de la República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46177</v>
      </c>
      <c r="B46" t="s">
        <v>85</v>
      </c>
      <c r="C46" s="6" t="s">
        <v>162</v>
      </c>
      <c r="D46" t="s">
        <v>12</v>
      </c>
      <c r="E46" t="s">
        <v>56</v>
      </c>
      <c r="F46" t="s">
        <v>56</v>
      </c>
      <c r="G46" t="s">
        <v>163</v>
      </c>
      <c r="H46" t="s">
        <v>69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5">
        <v>46177</v>
      </c>
      <c r="B47" t="s">
        <v>73</v>
      </c>
      <c r="C47" s="6" t="s">
        <v>164</v>
      </c>
      <c r="D47" t="s">
        <v>13</v>
      </c>
      <c r="E47" t="s">
        <v>10</v>
      </c>
      <c r="F47" t="s">
        <v>10</v>
      </c>
      <c r="G47" t="s">
        <v>76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46177</v>
      </c>
      <c r="B48" t="s">
        <v>73</v>
      </c>
      <c r="C48" s="6" t="s">
        <v>165</v>
      </c>
      <c r="D48" t="s">
        <v>12</v>
      </c>
      <c r="E48" t="s">
        <v>26</v>
      </c>
      <c r="F48" t="s">
        <v>87</v>
      </c>
      <c r="G48" t="s">
        <v>166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46177</v>
      </c>
      <c r="B49" t="s">
        <v>73</v>
      </c>
      <c r="C49" s="6" t="s">
        <v>167</v>
      </c>
      <c r="D49" t="s">
        <v>12</v>
      </c>
      <c r="E49" t="s">
        <v>110</v>
      </c>
      <c r="F49" t="s">
        <v>110</v>
      </c>
      <c r="G49" t="s">
        <v>168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29" x14ac:dyDescent="0.35">
      <c r="A50" s="5">
        <v>46177</v>
      </c>
      <c r="B50" t="s">
        <v>73</v>
      </c>
      <c r="C50" s="6" t="s">
        <v>169</v>
      </c>
      <c r="D50" t="s">
        <v>12</v>
      </c>
      <c r="E50" t="s">
        <v>27</v>
      </c>
      <c r="F50" t="s">
        <v>78</v>
      </c>
      <c r="G50" t="s">
        <v>156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5">
        <v>46177</v>
      </c>
      <c r="B51" t="s">
        <v>73</v>
      </c>
      <c r="C51" s="6" t="s">
        <v>170</v>
      </c>
      <c r="D51" t="s">
        <v>12</v>
      </c>
      <c r="E51" t="s">
        <v>16</v>
      </c>
      <c r="F51" t="s">
        <v>171</v>
      </c>
      <c r="G51" t="s">
        <v>172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46177</v>
      </c>
      <c r="B52" t="s">
        <v>88</v>
      </c>
      <c r="C52" s="6" t="s">
        <v>173</v>
      </c>
      <c r="D52" t="s">
        <v>13</v>
      </c>
      <c r="E52" t="s">
        <v>27</v>
      </c>
      <c r="F52" t="s">
        <v>78</v>
      </c>
      <c r="G52" t="s">
        <v>156</v>
      </c>
      <c r="H52" t="s">
        <v>70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5">
        <v>46177</v>
      </c>
      <c r="B53" t="s">
        <v>88</v>
      </c>
      <c r="C53" s="6" t="s">
        <v>174</v>
      </c>
      <c r="D53" t="s">
        <v>12</v>
      </c>
      <c r="E53" t="s">
        <v>10</v>
      </c>
      <c r="F53" t="s">
        <v>10</v>
      </c>
      <c r="G53" t="s">
        <v>79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72.5" x14ac:dyDescent="0.35">
      <c r="A54" s="5">
        <v>46177</v>
      </c>
      <c r="B54" t="s">
        <v>88</v>
      </c>
      <c r="C54" s="6" t="s">
        <v>175</v>
      </c>
      <c r="D54" t="s">
        <v>82</v>
      </c>
      <c r="E54" t="s">
        <v>27</v>
      </c>
      <c r="F54" t="s">
        <v>78</v>
      </c>
      <c r="G54" t="s">
        <v>156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35">
      <c r="A55" s="5">
        <v>46177</v>
      </c>
      <c r="B55" t="s">
        <v>88</v>
      </c>
      <c r="C55" s="6" t="s">
        <v>176</v>
      </c>
      <c r="D55" t="s">
        <v>12</v>
      </c>
      <c r="E55" t="s">
        <v>16</v>
      </c>
      <c r="F55" t="s">
        <v>16</v>
      </c>
      <c r="G55" t="s">
        <v>177</v>
      </c>
      <c r="H55" t="s">
        <v>70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65</v>
      </c>
    </row>
    <row r="2" spans="1:5" x14ac:dyDescent="0.35">
      <c r="A2" t="s">
        <v>61</v>
      </c>
      <c r="B2" t="s">
        <v>62</v>
      </c>
      <c r="D2" s="10" t="s">
        <v>19</v>
      </c>
      <c r="E2" t="s">
        <v>66</v>
      </c>
    </row>
    <row r="3" spans="1:5" x14ac:dyDescent="0.35">
      <c r="A3" t="s">
        <v>16</v>
      </c>
      <c r="B3" t="s">
        <v>31</v>
      </c>
      <c r="D3" s="9" t="s">
        <v>75</v>
      </c>
      <c r="E3" t="s">
        <v>66</v>
      </c>
    </row>
    <row r="4" spans="1:5" x14ac:dyDescent="0.35">
      <c r="A4" t="s">
        <v>19</v>
      </c>
      <c r="B4" t="s">
        <v>32</v>
      </c>
      <c r="D4" s="9" t="s">
        <v>34</v>
      </c>
      <c r="E4" t="s">
        <v>66</v>
      </c>
    </row>
    <row r="5" spans="1:5" x14ac:dyDescent="0.35">
      <c r="A5" t="s">
        <v>60</v>
      </c>
      <c r="B5" t="s">
        <v>10</v>
      </c>
      <c r="D5" s="10" t="s">
        <v>28</v>
      </c>
      <c r="E5" t="s">
        <v>66</v>
      </c>
    </row>
    <row r="6" spans="1:5" x14ac:dyDescent="0.35">
      <c r="A6" t="s">
        <v>75</v>
      </c>
      <c r="B6" t="s">
        <v>32</v>
      </c>
      <c r="D6" s="10" t="s">
        <v>35</v>
      </c>
      <c r="E6" t="s">
        <v>66</v>
      </c>
    </row>
    <row r="7" spans="1:5" x14ac:dyDescent="0.35">
      <c r="A7" t="s">
        <v>33</v>
      </c>
      <c r="B7" t="s">
        <v>10</v>
      </c>
      <c r="D7" s="9" t="s">
        <v>36</v>
      </c>
      <c r="E7" t="s">
        <v>66</v>
      </c>
    </row>
    <row r="8" spans="1:5" x14ac:dyDescent="0.35">
      <c r="A8" t="s">
        <v>34</v>
      </c>
      <c r="B8" t="s">
        <v>32</v>
      </c>
      <c r="D8" s="9" t="s">
        <v>36</v>
      </c>
      <c r="E8" t="s">
        <v>66</v>
      </c>
    </row>
    <row r="9" spans="1:5" x14ac:dyDescent="0.35">
      <c r="A9" t="s">
        <v>28</v>
      </c>
      <c r="B9" t="s">
        <v>32</v>
      </c>
      <c r="D9" s="9" t="s">
        <v>37</v>
      </c>
      <c r="E9" t="s">
        <v>66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2026-06-04T18:57:57Z</dcterms:modified>
</cp:coreProperties>
</file>