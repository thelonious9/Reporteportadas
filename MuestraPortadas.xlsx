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F51B69B5-94D2-4B35-983C-EEEF57D44044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I2" i="1"/>
  <c r="J2" i="1"/>
</calcChain>
</file>

<file path=xl/sharedStrings.xml><?xml version="1.0" encoding="utf-8"?>
<sst xmlns="http://schemas.openxmlformats.org/spreadsheetml/2006/main" count="650" uniqueCount="191">
  <si>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</si>
  <si>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</si>
  <si>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</si>
  <si>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</si>
  <si>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</si>
  <si>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</si>
  <si>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</si>
  <si>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</si>
  <si>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</si>
  <si>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</si>
  <si>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</si>
  <si>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</si>
  <si>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</si>
  <si>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</si>
  <si>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</si>
  <si>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</si>
  <si>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</si>
  <si>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</si>
  <si>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</si>
  <si>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</si>
  <si>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</si>
  <si>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</si>
  <si>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</si>
  <si>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</si>
  <si>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</si>
  <si>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</si>
  <si>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</si>
  <si>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</si>
  <si>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</si>
  <si>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</si>
  <si>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</si>
  <si>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</si>
  <si>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</si>
  <si>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</si>
  <si>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</si>
  <si>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</si>
  <si>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</si>
  <si>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</si>
  <si>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</si>
  <si>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</si>
  <si>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</si>
  <si>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</si>
  <si>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</si>
  <si>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</si>
  <si>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</si>
  <si>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</si>
  <si>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</si>
  <si>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</si>
  <si>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</si>
  <si>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</si>
  <si>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</si>
  <si>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</si>
  <si>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</si>
  <si>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</si>
  <si>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</si>
  <si>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</si>
  <si>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</si>
  <si>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</si>
  <si>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</si>
  <si>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</si>
  <si>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</si>
  <si>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</si>
  <si>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</si>
  <si>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</si>
  <si>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</si>
  <si>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</si>
  <si>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</si>
  <si>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</si>
  <si>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</si>
  <si>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</si>
  <si>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</si>
  <si>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</si>
  <si>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</si>
  <si>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</si>
  <si>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Aumento Tarifa De Transporte</t>
  </si>
  <si>
    <t>Criterio</t>
  </si>
  <si>
    <t>Effetá</t>
  </si>
  <si>
    <t>Editorial</t>
  </si>
  <si>
    <t>El Universal Hidalgo</t>
  </si>
  <si>
    <t>Síntesis</t>
  </si>
  <si>
    <t>Marfeca</t>
  </si>
  <si>
    <t>Plaza Juárez</t>
  </si>
  <si>
    <t>Temas varios</t>
  </si>
  <si>
    <t>Modificación ciclo escolar</t>
  </si>
  <si>
    <t>Cintillo</t>
  </si>
  <si>
    <t>Pachuca Brilla</t>
  </si>
  <si>
    <t>Día de la madre</t>
  </si>
  <si>
    <t>Drones</t>
  </si>
  <si>
    <t>Publicidad</t>
  </si>
  <si>
    <t>Hidalgo en Los Pinos</t>
  </si>
  <si>
    <t>Quejas transporte público</t>
  </si>
  <si>
    <t>Mundial De Futbol</t>
  </si>
  <si>
    <t>La Jornada Hidalgo</t>
  </si>
  <si>
    <t>PC</t>
  </si>
  <si>
    <t>Alerta Meteorológica</t>
  </si>
  <si>
    <t>Piden más unidades de transporte público</t>
  </si>
  <si>
    <t>STCH</t>
  </si>
  <si>
    <t>Amplían acceso a la educación</t>
  </si>
  <si>
    <t>PRI</t>
  </si>
  <si>
    <t>Firma De Convenio</t>
  </si>
  <si>
    <t>Aún con la lluvia prevalece la devoción en Acaxochitlán</t>
  </si>
  <si>
    <t>Buscan evitar injerencia del crimen organizado</t>
  </si>
  <si>
    <t>Iniciativa</t>
  </si>
  <si>
    <t>Vacaciones hasta el 15 de julio; SEP cede</t>
  </si>
  <si>
    <t>Jóvenes se endeudan por compras impulsivas</t>
  </si>
  <si>
    <t>Tapetes lavados</t>
  </si>
  <si>
    <t>Confirma SEPH que el ciclo escolar finaliza el 15 de julio</t>
  </si>
  <si>
    <t>Analiza la Semot uso de taxímetros</t>
  </si>
  <si>
    <t>Taxímetros</t>
  </si>
  <si>
    <t>Denunciarán por contaminación</t>
  </si>
  <si>
    <t>Contaminación de río</t>
  </si>
  <si>
    <t>Inversión histórica con farmacéutica</t>
  </si>
  <si>
    <t>Atracción De Inversiones</t>
  </si>
  <si>
    <t>Rivalidad sin un amplio dominio</t>
  </si>
  <si>
    <t>BARSA VA POR 100  PUNTOS EN LALIGA</t>
  </si>
  <si>
    <t>A 7 AÑOS DE TAXI CONTIGO, PERSISTE LA FALTA DE TARIFA</t>
  </si>
  <si>
    <t>Tarifario de taxis</t>
  </si>
  <si>
    <t>Aumento aplica aun sin tarifario a la vista, dice la titular de Semot</t>
  </si>
  <si>
    <t>Casi toda la canasta básica cuesta $797.90 en Superissste</t>
  </si>
  <si>
    <t>ISSSTE</t>
  </si>
  <si>
    <t>Canasta básica</t>
  </si>
  <si>
    <t>Ha colocado la STPSH más de 4 mil 300 en el extranjero</t>
  </si>
  <si>
    <t>Vinculación Laboral</t>
  </si>
  <si>
    <t>Que siempre no: el ciclo escolar termina en julio</t>
  </si>
  <si>
    <t>Frenan aprovechamiento de 182 mil toneladas de residuos</t>
  </si>
  <si>
    <t>Parque Ecológico Tula</t>
  </si>
  <si>
    <t>Regularizan en Pachuca recolectores particulares</t>
  </si>
  <si>
    <t>Recolección De Basura</t>
  </si>
  <si>
    <t>Hay 12 servidores que ganan más que el gobernador</t>
  </si>
  <si>
    <t>Tabulador salarial</t>
  </si>
  <si>
    <t>Buscan que hidalguenses se queden con plazas en oferta</t>
  </si>
  <si>
    <t>Indefensos los usuarios de taxis ante cobros libres</t>
  </si>
  <si>
    <t>Ahorrarán 130 mdp con la renta de 140 unidades</t>
  </si>
  <si>
    <t>Modernización Tuzobús</t>
  </si>
  <si>
    <t>Activan acciones preventivas por lluvias</t>
  </si>
  <si>
    <t>Habitantes de la capital muestran poco interés en el Mundial</t>
  </si>
  <si>
    <t>IA, metaverso, lentes y un largo declive</t>
  </si>
  <si>
    <t>Las Fuerzas federales  aprietan cerco en torno  a El Señor de los Buques</t>
  </si>
  <si>
    <t>Temas internacionales</t>
  </si>
  <si>
    <t>La SEP insiste que el último mes es ""tiempo muerto""</t>
  </si>
  <si>
    <t>Julieta Venegas vuelve a las andadas con libro, disco y gira</t>
  </si>
  <si>
    <t>Inicia operación de nuevas unidades del Tuzobús</t>
  </si>
  <si>
    <t>Aseguran túnel huachicolero; drenaba ducto de Pemex en NL</t>
  </si>
  <si>
    <t>Combate Al Huachicol</t>
  </si>
  <si>
    <t>Fracasa intento de nuevo calendario escolar en 4 días</t>
  </si>
  <si>
    <t>La historia de Cruz Azul demuestra que cuando el poder se concentra demasiado tiempo y la transparencia desaparece, tarde o temprano llega la fractura</t>
  </si>
  <si>
    <t>Cruz Azul</t>
  </si>
  <si>
    <t>A partir de julio 140 unidades del Tuzobús serán operadas por el gobierno estatal</t>
  </si>
  <si>
    <t>Ampliación Tuzobús</t>
  </si>
  <si>
    <t>Hidalgo activa protocolos ante temporada de huracanes y lluvias intensas</t>
  </si>
  <si>
    <t>Decomisan 27 kilos de cristal a dos hombres en Tula</t>
  </si>
  <si>
    <t>Combate Al Narcomenudeo</t>
  </si>
  <si>
    <t>Caen seis sujetos relcionados con la construcción de túner huachicolero en Pachuca</t>
  </si>
  <si>
    <t>Reunión Gabinete De Seguridad</t>
  </si>
  <si>
    <t>SEP se retracta: fin del ciclo escolar 2025-2026 será el 15 de julio</t>
  </si>
  <si>
    <t>Hidalgo reafirma su liderazgo económico con histórica alianza farmacéutica Canadá-México</t>
  </si>
  <si>
    <t>PCM reporta saldo blanco durante festejo masivo del día de las madres</t>
  </si>
  <si>
    <t>Se derrumbó una calle en La Garita</t>
  </si>
  <si>
    <t>Vialidad En Mal Estado</t>
  </si>
  <si>
    <t>Clima bipolar en la regón huasteca</t>
  </si>
  <si>
    <t>Despacho del Gobernador integra trámites del SAT a los SErvicios para el Pueblo</t>
  </si>
  <si>
    <t>Servicios para el Pueblo</t>
  </si>
  <si>
    <t>Gabinete de Seguridad de Hidalgo sigue a firme contra robo de combustible</t>
  </si>
  <si>
    <t>Ante descontrol en cobros de taxis, Semot plantea regular tarifas e instalar taxímetros</t>
  </si>
  <si>
    <t>SAT se suma a las Rutas de la Transformación</t>
  </si>
  <si>
    <t>Megadecomiso en Tula</t>
  </si>
  <si>
    <t>Natividad, sin prisa</t>
  </si>
  <si>
    <t>Sucesión Gubernamental</t>
  </si>
  <si>
    <t>SEP da marcha atrás y conserva calendario hasta julio</t>
  </si>
  <si>
    <t>Gobierno operará directamente el Tuzobús</t>
  </si>
  <si>
    <t>Contraloría detecta a 12 que ganan más que el gobernador</t>
  </si>
  <si>
    <t>SEP matiene calendario; el ciclo escolar concluirá el 15 de julio</t>
  </si>
  <si>
    <t>El dpiutado Alejandro Alcántara soprende a mamás con serenatas</t>
  </si>
  <si>
    <t>Hidalgo reafirma su liderazgo económico con histórica alianza farmacéutica Canadá - México</t>
  </si>
  <si>
    <t>Tuzobús operará con 140 nuevas unidades</t>
  </si>
  <si>
    <t>Gabinete de Seguridad de Hidalgo sigue firme contra robo de combustible</t>
  </si>
  <si>
    <t>Planan agenda conjunta Saderh y CMIC Hidalgo</t>
  </si>
  <si>
    <t>Reunión Con Empresarios</t>
  </si>
  <si>
    <t>Domingo 17 de mayo habrá registro de vivienda para el Bienestar del Infonavit en Tulancingo</t>
  </si>
  <si>
    <t>Plan Nacional De Vivienda</t>
  </si>
  <si>
    <t>Tlahuelilpan comparte su identidad cultural de Los Pinos</t>
  </si>
  <si>
    <t>Tuzobús opera con 140 nuevas unidades; ya comenzarán a circular</t>
  </si>
  <si>
    <t>Mantiene SEP calendario escolar; terminará ciclo el 15 de julio</t>
  </si>
  <si>
    <t>Arrancó la venta de boletos para el Tuzos vs Pumas</t>
  </si>
  <si>
    <t>Deben cumplir cerca de 120 mil personas servidoras públicas con declaración patrimonial</t>
  </si>
  <si>
    <t>Declaración patrimonial</t>
  </si>
  <si>
    <t>Publicidad gubernamental</t>
  </si>
  <si>
    <t>Aseguran a dos con 27 kilos de cristal en Tula de Allende</t>
  </si>
  <si>
    <t>Avance del 25 por ciento en declaraciones patrimoniales</t>
  </si>
  <si>
    <t>Ciclo escolar concluirá hasta el 15 de julio</t>
  </si>
  <si>
    <t>Rentar nuevas unidades del Tuzobús ahorrará 130 mdp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</si>
</sst>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1" totalsRowShown="0" headerRowDxfId="5" headerRowBorderDxfId="4">
  <autoFilter ref="A1:J7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1"/>
  <sheetViews>
    <sheetView tabSelected="1" topLeftCell="D59" workbookViewId="0">
      <selection activeCell="J71" sqref="J71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35">
      <c r="A2" s="5">
        <v>46154</v>
      </c>
      <c r="B2" t="s">
        <v>69</v>
      </c>
      <c r="C2" s="6" t="s">
        <v>95</v>
      </c>
      <c r="D2" t="s">
        <v>12</v>
      </c>
      <c r="E2" t="s">
        <v>27</v>
      </c>
      <c r="F2" t="s">
        <v>96</v>
      </c>
      <c r="G2" t="s">
        <v>90</v>
      </c>
      <c r="H2" t="s">
        <v>72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35">
      <c r="A3" s="5">
        <v>46154</v>
      </c>
      <c r="B3" t="s">
        <v>69</v>
      </c>
      <c r="C3" s="6" t="s">
        <v>97</v>
      </c>
      <c r="D3" t="s">
        <v>12</v>
      </c>
      <c r="E3" t="s">
        <v>98</v>
      </c>
      <c r="F3" t="s">
        <v>98</v>
      </c>
      <c r="G3" t="s">
        <v>99</v>
      </c>
      <c r="H3" t="s">
        <v>11</v>
      </c>
      <c r="I3" t="str">
        <f>_xlfn.XLOOKUP(Tabla1[[#This Row],[Dependencia]],Tabla2[Dependencia],Tabla2[Clasificación],"No indexado")</f>
        <v>Partidos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46154</v>
      </c>
      <c r="B4" t="s">
        <v>69</v>
      </c>
      <c r="C4" s="6" t="s">
        <v>100</v>
      </c>
      <c r="D4" t="s">
        <v>9</v>
      </c>
      <c r="E4" t="s">
        <v>10</v>
      </c>
      <c r="F4" t="s">
        <v>10</v>
      </c>
      <c r="G4" t="s">
        <v>82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46154</v>
      </c>
      <c r="B5" t="s">
        <v>69</v>
      </c>
      <c r="C5" s="6" t="s">
        <v>101</v>
      </c>
      <c r="D5" t="s">
        <v>12</v>
      </c>
      <c r="E5" t="s">
        <v>46</v>
      </c>
      <c r="F5" t="s">
        <v>46</v>
      </c>
      <c r="G5" t="s">
        <v>102</v>
      </c>
      <c r="H5" t="s">
        <v>11</v>
      </c>
      <c r="I5" t="str">
        <f>_xlfn.XLOOKUP(Tabla1[[#This Row],[Dependencia]],Tabla2[Dependencia],Tabla2[Clasificación],"No indexado")</f>
        <v>Partidos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46154</v>
      </c>
      <c r="B6" t="s">
        <v>69</v>
      </c>
      <c r="C6" s="6" t="s">
        <v>103</v>
      </c>
      <c r="D6" t="s">
        <v>12</v>
      </c>
      <c r="E6" t="s">
        <v>14</v>
      </c>
      <c r="F6" t="s">
        <v>14</v>
      </c>
      <c r="G6" t="s">
        <v>83</v>
      </c>
      <c r="H6" t="s">
        <v>11</v>
      </c>
      <c r="I6" t="str">
        <f>_xlfn.XLOOKUP(Tabla1[[#This Row],[Dependencia]],Tabla2[Dependencia],Tabla2[Clasificación],"No indexado")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46154</v>
      </c>
      <c r="B7" t="s">
        <v>69</v>
      </c>
      <c r="C7" s="6" t="s">
        <v>104</v>
      </c>
      <c r="D7" t="s">
        <v>12</v>
      </c>
      <c r="E7" t="s">
        <v>10</v>
      </c>
      <c r="F7" t="s">
        <v>10</v>
      </c>
      <c r="G7" t="s">
        <v>82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46154</v>
      </c>
      <c r="B8" t="s">
        <v>78</v>
      </c>
      <c r="C8" s="6" t="s">
        <v>105</v>
      </c>
      <c r="D8" t="s">
        <v>9</v>
      </c>
      <c r="E8" t="s">
        <v>10</v>
      </c>
      <c r="F8" t="s">
        <v>10</v>
      </c>
      <c r="G8" t="s">
        <v>82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46154</v>
      </c>
      <c r="B9" t="s">
        <v>78</v>
      </c>
      <c r="C9" s="6" t="s">
        <v>106</v>
      </c>
      <c r="D9" t="s">
        <v>13</v>
      </c>
      <c r="E9" t="s">
        <v>26</v>
      </c>
      <c r="F9" t="s">
        <v>26</v>
      </c>
      <c r="G9" t="s">
        <v>83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5">
        <v>46154</v>
      </c>
      <c r="B10" t="s">
        <v>78</v>
      </c>
      <c r="C10" s="6" t="s">
        <v>107</v>
      </c>
      <c r="D10" t="s">
        <v>12</v>
      </c>
      <c r="E10" t="s">
        <v>27</v>
      </c>
      <c r="F10" t="s">
        <v>27</v>
      </c>
      <c r="G10" t="s">
        <v>108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46154</v>
      </c>
      <c r="B11" t="s">
        <v>78</v>
      </c>
      <c r="C11" s="6" t="s">
        <v>109</v>
      </c>
      <c r="D11" t="s">
        <v>12</v>
      </c>
      <c r="E11" t="s">
        <v>10</v>
      </c>
      <c r="F11" t="s">
        <v>10</v>
      </c>
      <c r="G11" t="s">
        <v>110</v>
      </c>
      <c r="H11" t="s">
        <v>72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46154</v>
      </c>
      <c r="B12" t="s">
        <v>78</v>
      </c>
      <c r="C12" s="6" t="s">
        <v>111</v>
      </c>
      <c r="D12" t="s">
        <v>12</v>
      </c>
      <c r="E12" t="s">
        <v>55</v>
      </c>
      <c r="F12" t="s">
        <v>55</v>
      </c>
      <c r="G12" t="s">
        <v>112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5">
        <v>46154</v>
      </c>
      <c r="B13" t="s">
        <v>75</v>
      </c>
      <c r="C13" s="6" t="s">
        <v>113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46154</v>
      </c>
      <c r="B14" t="s">
        <v>75</v>
      </c>
      <c r="C14" s="6" t="s">
        <v>114</v>
      </c>
      <c r="D14" t="s">
        <v>12</v>
      </c>
      <c r="E14" t="s">
        <v>10</v>
      </c>
      <c r="F14" t="s">
        <v>10</v>
      </c>
      <c r="G14" t="s">
        <v>71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46154</v>
      </c>
      <c r="B15" t="s">
        <v>75</v>
      </c>
      <c r="C15" s="6" t="s">
        <v>115</v>
      </c>
      <c r="D15" t="s">
        <v>13</v>
      </c>
      <c r="E15" t="s">
        <v>27</v>
      </c>
      <c r="F15" t="s">
        <v>27</v>
      </c>
      <c r="G15" t="s">
        <v>116</v>
      </c>
      <c r="H15" t="s">
        <v>72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5">
        <v>46154</v>
      </c>
      <c r="B16" t="s">
        <v>75</v>
      </c>
      <c r="C16" s="6" t="s">
        <v>117</v>
      </c>
      <c r="D16" t="s">
        <v>12</v>
      </c>
      <c r="E16" t="s">
        <v>27</v>
      </c>
      <c r="F16" t="s">
        <v>2</v>
      </c>
      <c r="G16" t="s">
        <v>74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46154</v>
      </c>
      <c r="B17" t="s">
        <v>75</v>
      </c>
      <c r="C17" s="6" t="s">
        <v>118</v>
      </c>
      <c r="D17" t="s">
        <v>12</v>
      </c>
      <c r="E17" t="s">
        <v>14</v>
      </c>
      <c r="F17" t="s">
        <v>119</v>
      </c>
      <c r="G17" t="s">
        <v>120</v>
      </c>
      <c r="H17" t="s">
        <v>70</v>
      </c>
      <c r="I17" t="str">
        <f>_xlfn.XLOOKUP(Tabla1[[#This Row],[Dependencia]],Tabla2[Dependencia],Tabla2[Clasificación],"No indexado")</f>
        <v>Presidencia de la República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46154</v>
      </c>
      <c r="B18" t="s">
        <v>75</v>
      </c>
      <c r="C18" s="6" t="s">
        <v>121</v>
      </c>
      <c r="D18" t="s">
        <v>12</v>
      </c>
      <c r="E18" t="s">
        <v>57</v>
      </c>
      <c r="F18" t="s">
        <v>57</v>
      </c>
      <c r="G18" t="s">
        <v>122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35">
      <c r="A19" s="5">
        <v>46154</v>
      </c>
      <c r="B19" t="s">
        <v>75</v>
      </c>
      <c r="C19" s="6" t="s">
        <v>123</v>
      </c>
      <c r="D19" t="s">
        <v>12</v>
      </c>
      <c r="E19" t="s">
        <v>14</v>
      </c>
      <c r="F19" t="s">
        <v>14</v>
      </c>
      <c r="G19" t="s">
        <v>83</v>
      </c>
      <c r="H19" t="s">
        <v>11</v>
      </c>
      <c r="I19" t="str">
        <f>_xlfn.XLOOKUP(Tabla1[[#This Row],[Dependencia]],Tabla2[Dependencia],Tabla2[Clasificación],"No indexado")</f>
        <v>Presidencia de la República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46154</v>
      </c>
      <c r="B20" t="s">
        <v>68</v>
      </c>
      <c r="C20" s="6" t="s">
        <v>124</v>
      </c>
      <c r="D20" t="s">
        <v>13</v>
      </c>
      <c r="E20" t="s">
        <v>14</v>
      </c>
      <c r="F20" t="s">
        <v>14</v>
      </c>
      <c r="G20" t="s">
        <v>125</v>
      </c>
      <c r="H20" t="s">
        <v>72</v>
      </c>
      <c r="I20" t="str">
        <f>_xlfn.XLOOKUP(Tabla1[[#This Row],[Dependencia]],Tabla2[Dependencia],Tabla2[Clasificación],"No indexado")</f>
        <v>Presidencia de la República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46154</v>
      </c>
      <c r="B21" t="s">
        <v>68</v>
      </c>
      <c r="C21" s="6" t="s">
        <v>126</v>
      </c>
      <c r="D21" t="s">
        <v>12</v>
      </c>
      <c r="E21" t="s">
        <v>16</v>
      </c>
      <c r="F21" t="s">
        <v>16</v>
      </c>
      <c r="G21" t="s">
        <v>127</v>
      </c>
      <c r="H21" t="s">
        <v>11</v>
      </c>
      <c r="I21" t="str">
        <f>_xlfn.XLOOKUP(Tabla1[[#This Row],[Dependencia]],Tabla2[Dependencia],Tabla2[Clasificación],"No indexado")</f>
        <v>Alcaldías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46154</v>
      </c>
      <c r="B22" t="s">
        <v>68</v>
      </c>
      <c r="C22" s="6" t="s">
        <v>128</v>
      </c>
      <c r="D22" t="s">
        <v>12</v>
      </c>
      <c r="E22" t="s">
        <v>35</v>
      </c>
      <c r="F22" t="s">
        <v>35</v>
      </c>
      <c r="G22" t="s">
        <v>129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46154</v>
      </c>
      <c r="B23" t="s">
        <v>68</v>
      </c>
      <c r="C23" s="6" t="s">
        <v>130</v>
      </c>
      <c r="D23" t="s">
        <v>12</v>
      </c>
      <c r="E23" t="s">
        <v>55</v>
      </c>
      <c r="F23" t="s">
        <v>55</v>
      </c>
      <c r="G23" t="s">
        <v>112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5">
        <v>46154</v>
      </c>
      <c r="B24" t="s">
        <v>68</v>
      </c>
      <c r="C24" s="6" t="s">
        <v>131</v>
      </c>
      <c r="D24" t="s">
        <v>12</v>
      </c>
      <c r="E24" t="s">
        <v>27</v>
      </c>
      <c r="F24" t="s">
        <v>2</v>
      </c>
      <c r="G24" t="s">
        <v>116</v>
      </c>
      <c r="H24" t="s">
        <v>72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5">
        <v>46154</v>
      </c>
      <c r="B25" t="s">
        <v>68</v>
      </c>
      <c r="C25" s="6" t="s">
        <v>132</v>
      </c>
      <c r="D25" t="s">
        <v>12</v>
      </c>
      <c r="E25" t="s">
        <v>21</v>
      </c>
      <c r="F25" t="s">
        <v>21</v>
      </c>
      <c r="G25" t="s">
        <v>133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35">
      <c r="A26" s="5">
        <v>46154</v>
      </c>
      <c r="B26" t="s">
        <v>68</v>
      </c>
      <c r="C26" s="6" t="s">
        <v>134</v>
      </c>
      <c r="D26" t="s">
        <v>9</v>
      </c>
      <c r="E26" t="s">
        <v>23</v>
      </c>
      <c r="F26" t="s">
        <v>93</v>
      </c>
      <c r="G26" t="s">
        <v>94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5">
        <v>46154</v>
      </c>
      <c r="B27" t="s">
        <v>68</v>
      </c>
      <c r="C27" s="6" t="s">
        <v>135</v>
      </c>
      <c r="D27" t="s">
        <v>12</v>
      </c>
      <c r="E27" t="s">
        <v>10</v>
      </c>
      <c r="F27" t="s">
        <v>10</v>
      </c>
      <c r="G27" t="s">
        <v>91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46154</v>
      </c>
      <c r="B28" t="s">
        <v>68</v>
      </c>
      <c r="C28" s="6" t="s">
        <v>136</v>
      </c>
      <c r="D28" t="s">
        <v>12</v>
      </c>
      <c r="E28" t="s">
        <v>10</v>
      </c>
      <c r="F28" t="s">
        <v>10</v>
      </c>
      <c r="G28" t="s">
        <v>82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29" x14ac:dyDescent="0.35">
      <c r="A29" s="5">
        <v>46154</v>
      </c>
      <c r="B29" t="s">
        <v>68</v>
      </c>
      <c r="C29" s="6" t="s">
        <v>137</v>
      </c>
      <c r="D29" t="s">
        <v>12</v>
      </c>
      <c r="E29" t="s">
        <v>14</v>
      </c>
      <c r="F29" t="s">
        <v>14</v>
      </c>
      <c r="G29" t="s">
        <v>138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46154</v>
      </c>
      <c r="B30" t="s">
        <v>68</v>
      </c>
      <c r="C30" s="6" t="s">
        <v>139</v>
      </c>
      <c r="D30" t="s">
        <v>12</v>
      </c>
      <c r="E30" t="s">
        <v>14</v>
      </c>
      <c r="F30" t="s">
        <v>14</v>
      </c>
      <c r="G30" t="s">
        <v>83</v>
      </c>
      <c r="H30" t="s">
        <v>11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x14ac:dyDescent="0.35">
      <c r="A31" s="5">
        <v>46154</v>
      </c>
      <c r="B31" t="s">
        <v>68</v>
      </c>
      <c r="C31" s="6" t="s">
        <v>140</v>
      </c>
      <c r="D31" t="s">
        <v>12</v>
      </c>
      <c r="E31" t="s">
        <v>10</v>
      </c>
      <c r="F31" t="s">
        <v>10</v>
      </c>
      <c r="G31" t="s">
        <v>82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x14ac:dyDescent="0.35">
      <c r="A32" s="5">
        <v>46154</v>
      </c>
      <c r="B32" t="s">
        <v>92</v>
      </c>
      <c r="C32" s="6" t="s">
        <v>141</v>
      </c>
      <c r="D32" t="s">
        <v>9</v>
      </c>
      <c r="E32" t="s">
        <v>21</v>
      </c>
      <c r="F32" t="s">
        <v>21</v>
      </c>
      <c r="G32" t="s">
        <v>133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x14ac:dyDescent="0.35">
      <c r="A33" s="5">
        <v>46154</v>
      </c>
      <c r="B33" t="s">
        <v>92</v>
      </c>
      <c r="C33" s="6" t="s">
        <v>142</v>
      </c>
      <c r="D33" t="s">
        <v>12</v>
      </c>
      <c r="E33" t="s">
        <v>14</v>
      </c>
      <c r="F33" t="s">
        <v>14</v>
      </c>
      <c r="G33" t="s">
        <v>143</v>
      </c>
      <c r="H33" t="s">
        <v>70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x14ac:dyDescent="0.35">
      <c r="A34" s="5">
        <v>46154</v>
      </c>
      <c r="B34" t="s">
        <v>92</v>
      </c>
      <c r="C34" s="6" t="s">
        <v>144</v>
      </c>
      <c r="D34" t="s">
        <v>13</v>
      </c>
      <c r="E34" t="s">
        <v>14</v>
      </c>
      <c r="F34" t="s">
        <v>14</v>
      </c>
      <c r="G34" t="s">
        <v>83</v>
      </c>
      <c r="H34" t="s">
        <v>72</v>
      </c>
      <c r="I34" t="str">
        <f>_xlfn.XLOOKUP(Tabla1[[#This Row],[Dependencia]],Tabla2[Dependencia],Tabla2[Clasificación],"No indexado")</f>
        <v>Presidencia de la República</v>
      </c>
      <c r="J34" t="str">
        <f>_xlfn.XLOOKUP(Tabla1[[#This Row],[Dependencia]],Tabla3[Dependencia],Tabla3[Nivel],"otros",0)</f>
        <v>otros</v>
      </c>
    </row>
    <row r="35" spans="1:10" ht="43.5" x14ac:dyDescent="0.35">
      <c r="A35" s="5">
        <v>46154</v>
      </c>
      <c r="B35" t="s">
        <v>92</v>
      </c>
      <c r="C35" s="6" t="s">
        <v>145</v>
      </c>
      <c r="D35" t="s">
        <v>12</v>
      </c>
      <c r="E35" t="s">
        <v>10</v>
      </c>
      <c r="F35" t="s">
        <v>10</v>
      </c>
      <c r="G35" t="s">
        <v>146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29" x14ac:dyDescent="0.35">
      <c r="A36" s="5">
        <v>46154</v>
      </c>
      <c r="B36" t="s">
        <v>79</v>
      </c>
      <c r="C36" s="6" t="s">
        <v>147</v>
      </c>
      <c r="D36" t="s">
        <v>13</v>
      </c>
      <c r="E36" t="s">
        <v>21</v>
      </c>
      <c r="F36" t="s">
        <v>21</v>
      </c>
      <c r="G36" t="s">
        <v>148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29" x14ac:dyDescent="0.35">
      <c r="A37" s="5">
        <v>46154</v>
      </c>
      <c r="B37" t="s">
        <v>79</v>
      </c>
      <c r="C37" s="6" t="s">
        <v>149</v>
      </c>
      <c r="D37" t="s">
        <v>12</v>
      </c>
      <c r="E37" t="s">
        <v>23</v>
      </c>
      <c r="F37" t="s">
        <v>93</v>
      </c>
      <c r="G37" t="s">
        <v>94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35">
      <c r="A38" s="5">
        <v>46154</v>
      </c>
      <c r="B38" t="s">
        <v>79</v>
      </c>
      <c r="C38" s="6" t="s">
        <v>150</v>
      </c>
      <c r="D38" t="s">
        <v>12</v>
      </c>
      <c r="E38" t="s">
        <v>22</v>
      </c>
      <c r="F38" t="s">
        <v>22</v>
      </c>
      <c r="G38" t="s">
        <v>151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5">
        <v>46154</v>
      </c>
      <c r="B39" t="s">
        <v>79</v>
      </c>
      <c r="C39" s="6" t="s">
        <v>152</v>
      </c>
      <c r="D39" t="s">
        <v>12</v>
      </c>
      <c r="E39" t="s">
        <v>24</v>
      </c>
      <c r="F39" t="s">
        <v>24</v>
      </c>
      <c r="G39" t="s">
        <v>153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Gobernador</v>
      </c>
    </row>
    <row r="40" spans="1:10" ht="29" x14ac:dyDescent="0.35">
      <c r="A40" s="5">
        <v>46154</v>
      </c>
      <c r="B40" t="s">
        <v>79</v>
      </c>
      <c r="C40" s="6" t="s">
        <v>154</v>
      </c>
      <c r="D40" t="s">
        <v>12</v>
      </c>
      <c r="E40" t="s">
        <v>14</v>
      </c>
      <c r="F40" t="s">
        <v>14</v>
      </c>
      <c r="G40" t="s">
        <v>83</v>
      </c>
      <c r="H40" t="s">
        <v>11</v>
      </c>
      <c r="I40" t="str">
        <f>_xlfn.XLOOKUP(Tabla1[[#This Row],[Dependencia]],Tabla2[Dependencia],Tabla2[Clasificación],"No indexado")</f>
        <v>Presidencia de la República</v>
      </c>
      <c r="J40" t="str">
        <f>_xlfn.XLOOKUP(Tabla1[[#This Row],[Dependencia]],Tabla3[Dependencia],Tabla3[Nivel],"otros",0)</f>
        <v>otros</v>
      </c>
    </row>
    <row r="41" spans="1:10" ht="29" x14ac:dyDescent="0.35">
      <c r="A41" s="5">
        <v>46154</v>
      </c>
      <c r="B41" t="s">
        <v>73</v>
      </c>
      <c r="C41" s="6" t="s">
        <v>155</v>
      </c>
      <c r="D41" t="s">
        <v>9</v>
      </c>
      <c r="E41" t="s">
        <v>55</v>
      </c>
      <c r="F41" t="s">
        <v>55</v>
      </c>
      <c r="G41" t="s">
        <v>112</v>
      </c>
      <c r="H41" t="s">
        <v>70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ht="29" x14ac:dyDescent="0.35">
      <c r="A42" s="5">
        <v>46154</v>
      </c>
      <c r="B42" t="s">
        <v>73</v>
      </c>
      <c r="C42" s="6" t="s">
        <v>156</v>
      </c>
      <c r="D42" t="s">
        <v>12</v>
      </c>
      <c r="E42" t="s">
        <v>16</v>
      </c>
      <c r="F42" t="s">
        <v>16</v>
      </c>
      <c r="G42" t="s">
        <v>86</v>
      </c>
      <c r="H42" t="s">
        <v>11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46154</v>
      </c>
      <c r="B43" t="s">
        <v>73</v>
      </c>
      <c r="C43" s="6" t="s">
        <v>157</v>
      </c>
      <c r="D43" t="s">
        <v>13</v>
      </c>
      <c r="E43" t="s">
        <v>16</v>
      </c>
      <c r="F43" t="s">
        <v>16</v>
      </c>
      <c r="G43" t="s">
        <v>158</v>
      </c>
      <c r="H43" t="s">
        <v>72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46154</v>
      </c>
      <c r="B44" t="s">
        <v>73</v>
      </c>
      <c r="C44" s="6" t="s">
        <v>159</v>
      </c>
      <c r="D44" t="s">
        <v>12</v>
      </c>
      <c r="E44" t="s">
        <v>10</v>
      </c>
      <c r="F44" t="s">
        <v>10</v>
      </c>
      <c r="G44" t="s">
        <v>94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46154</v>
      </c>
      <c r="B45" t="s">
        <v>73</v>
      </c>
      <c r="C45" s="6" t="s">
        <v>160</v>
      </c>
      <c r="D45" t="s">
        <v>12</v>
      </c>
      <c r="E45" t="s">
        <v>36</v>
      </c>
      <c r="F45" t="s">
        <v>36</v>
      </c>
      <c r="G45" t="s">
        <v>161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29" x14ac:dyDescent="0.35">
      <c r="A46" s="5">
        <v>46154</v>
      </c>
      <c r="B46" t="s">
        <v>73</v>
      </c>
      <c r="C46" s="6" t="s">
        <v>162</v>
      </c>
      <c r="D46" t="s">
        <v>12</v>
      </c>
      <c r="E46" t="s">
        <v>24</v>
      </c>
      <c r="F46" t="s">
        <v>24</v>
      </c>
      <c r="G46" t="s">
        <v>153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Gobernador</v>
      </c>
    </row>
    <row r="47" spans="1:10" ht="29" x14ac:dyDescent="0.35">
      <c r="A47" s="5">
        <v>46154</v>
      </c>
      <c r="B47" t="s">
        <v>76</v>
      </c>
      <c r="C47" s="6" t="s">
        <v>163</v>
      </c>
      <c r="D47" t="s">
        <v>13</v>
      </c>
      <c r="E47" t="s">
        <v>27</v>
      </c>
      <c r="F47" t="s">
        <v>27</v>
      </c>
      <c r="G47" t="s">
        <v>108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35">
      <c r="A48" s="5">
        <v>46154</v>
      </c>
      <c r="B48" t="s">
        <v>76</v>
      </c>
      <c r="C48" s="6" t="s">
        <v>164</v>
      </c>
      <c r="D48" t="s">
        <v>12</v>
      </c>
      <c r="E48" t="s">
        <v>36</v>
      </c>
      <c r="F48" t="s">
        <v>36</v>
      </c>
      <c r="G48" t="s">
        <v>161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35">
      <c r="A49" s="5">
        <v>46154</v>
      </c>
      <c r="B49" t="s">
        <v>76</v>
      </c>
      <c r="C49" s="6" t="s">
        <v>165</v>
      </c>
      <c r="D49" t="s">
        <v>9</v>
      </c>
      <c r="E49" t="s">
        <v>22</v>
      </c>
      <c r="F49" t="s">
        <v>22</v>
      </c>
      <c r="G49" t="s">
        <v>151</v>
      </c>
      <c r="H49" t="s">
        <v>70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35">
      <c r="A50" s="5">
        <v>46154</v>
      </c>
      <c r="B50" t="s">
        <v>76</v>
      </c>
      <c r="C50" s="6" t="s">
        <v>166</v>
      </c>
      <c r="D50" t="s">
        <v>77</v>
      </c>
      <c r="E50" t="s">
        <v>26</v>
      </c>
      <c r="F50" t="s">
        <v>2</v>
      </c>
      <c r="G50" t="s">
        <v>167</v>
      </c>
      <c r="H50" t="s">
        <v>70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35">
      <c r="A51" s="5">
        <v>46154</v>
      </c>
      <c r="B51" t="s">
        <v>76</v>
      </c>
      <c r="C51" s="6" t="s">
        <v>168</v>
      </c>
      <c r="D51" t="s">
        <v>12</v>
      </c>
      <c r="E51" t="s">
        <v>14</v>
      </c>
      <c r="F51" t="s">
        <v>14</v>
      </c>
      <c r="G51" t="s">
        <v>83</v>
      </c>
      <c r="H51" t="s">
        <v>11</v>
      </c>
      <c r="I51" t="str">
        <f>_xlfn.XLOOKUP(Tabla1[[#This Row],[Dependencia]],Tabla2[Dependencia],Tabla2[Clasificación],"No indexado")</f>
        <v>Presidencia de la República</v>
      </c>
      <c r="J51" t="str">
        <f>_xlfn.XLOOKUP(Tabla1[[#This Row],[Dependencia]],Tabla3[Dependencia],Tabla3[Nivel],"otros",0)</f>
        <v>otros</v>
      </c>
    </row>
    <row r="52" spans="1:10" x14ac:dyDescent="0.35">
      <c r="A52" s="5">
        <v>46154</v>
      </c>
      <c r="B52" t="s">
        <v>76</v>
      </c>
      <c r="C52" s="6" t="s">
        <v>169</v>
      </c>
      <c r="D52" t="s">
        <v>12</v>
      </c>
      <c r="E52" t="s">
        <v>21</v>
      </c>
      <c r="F52" t="s">
        <v>21</v>
      </c>
      <c r="G52" t="s">
        <v>133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x14ac:dyDescent="0.35">
      <c r="A53" s="5">
        <v>46154</v>
      </c>
      <c r="B53" t="s">
        <v>76</v>
      </c>
      <c r="C53" s="6" t="s">
        <v>170</v>
      </c>
      <c r="D53" t="s">
        <v>12</v>
      </c>
      <c r="E53" t="s">
        <v>35</v>
      </c>
      <c r="F53" t="s">
        <v>35</v>
      </c>
      <c r="G53" t="s">
        <v>129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29" x14ac:dyDescent="0.35">
      <c r="A54" s="5">
        <v>46154</v>
      </c>
      <c r="B54" t="s">
        <v>80</v>
      </c>
      <c r="C54" s="6" t="s">
        <v>171</v>
      </c>
      <c r="D54" t="s">
        <v>84</v>
      </c>
      <c r="E54" t="s">
        <v>14</v>
      </c>
      <c r="F54" t="s">
        <v>14</v>
      </c>
      <c r="G54" t="s">
        <v>83</v>
      </c>
      <c r="H54" t="s">
        <v>11</v>
      </c>
      <c r="I54" t="str">
        <f>_xlfn.XLOOKUP(Tabla1[[#This Row],[Dependencia]],Tabla2[Dependencia],Tabla2[Clasificación],"No indexado")</f>
        <v>Presidencia de la República</v>
      </c>
      <c r="J54" t="str">
        <f>_xlfn.XLOOKUP(Tabla1[[#This Row],[Dependencia]],Tabla3[Dependencia],Tabla3[Nivel],"otros",0)</f>
        <v>otros</v>
      </c>
    </row>
    <row r="55" spans="1:10" ht="29" x14ac:dyDescent="0.35">
      <c r="A55" s="5">
        <v>46154</v>
      </c>
      <c r="B55" t="s">
        <v>80</v>
      </c>
      <c r="C55" s="6" t="s">
        <v>172</v>
      </c>
      <c r="D55" t="s">
        <v>12</v>
      </c>
      <c r="E55" t="s">
        <v>34</v>
      </c>
      <c r="F55" t="s">
        <v>34</v>
      </c>
      <c r="G55" t="s">
        <v>86</v>
      </c>
      <c r="H55" t="s">
        <v>72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29" x14ac:dyDescent="0.35">
      <c r="A56" s="5">
        <v>46154</v>
      </c>
      <c r="B56" t="s">
        <v>80</v>
      </c>
      <c r="C56" s="6" t="s">
        <v>173</v>
      </c>
      <c r="D56" t="s">
        <v>12</v>
      </c>
      <c r="E56" t="s">
        <v>55</v>
      </c>
      <c r="F56" t="s">
        <v>55</v>
      </c>
      <c r="G56" t="s">
        <v>112</v>
      </c>
      <c r="H56" t="s">
        <v>70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x14ac:dyDescent="0.35">
      <c r="A57" s="5">
        <v>46154</v>
      </c>
      <c r="B57" t="s">
        <v>80</v>
      </c>
      <c r="C57" s="6" t="s">
        <v>174</v>
      </c>
      <c r="D57" t="s">
        <v>13</v>
      </c>
      <c r="E57" t="s">
        <v>21</v>
      </c>
      <c r="F57" t="s">
        <v>21</v>
      </c>
      <c r="G57" t="s">
        <v>133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29" x14ac:dyDescent="0.35">
      <c r="A58" s="5">
        <v>46154</v>
      </c>
      <c r="B58" t="s">
        <v>80</v>
      </c>
      <c r="C58" s="6" t="s">
        <v>175</v>
      </c>
      <c r="D58" t="s">
        <v>12</v>
      </c>
      <c r="E58" t="s">
        <v>24</v>
      </c>
      <c r="F58" t="s">
        <v>24</v>
      </c>
      <c r="G58" t="s">
        <v>153</v>
      </c>
      <c r="H58" t="s">
        <v>70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Gobernador</v>
      </c>
    </row>
    <row r="59" spans="1:10" x14ac:dyDescent="0.35">
      <c r="A59" s="5">
        <v>46154</v>
      </c>
      <c r="B59" t="s">
        <v>80</v>
      </c>
      <c r="C59" s="6" t="s">
        <v>176</v>
      </c>
      <c r="D59" t="s">
        <v>12</v>
      </c>
      <c r="E59" t="s">
        <v>54</v>
      </c>
      <c r="F59" t="s">
        <v>54</v>
      </c>
      <c r="G59" t="s">
        <v>177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29" x14ac:dyDescent="0.35">
      <c r="A60" s="5">
        <v>46154</v>
      </c>
      <c r="B60" t="s">
        <v>80</v>
      </c>
      <c r="C60" s="6" t="s">
        <v>178</v>
      </c>
      <c r="D60" t="s">
        <v>12</v>
      </c>
      <c r="E60" t="s">
        <v>14</v>
      </c>
      <c r="F60" t="s">
        <v>14</v>
      </c>
      <c r="G60" t="s">
        <v>179</v>
      </c>
      <c r="H60" t="s">
        <v>11</v>
      </c>
      <c r="I60" t="str">
        <f>_xlfn.XLOOKUP(Tabla1[[#This Row],[Dependencia]],Tabla2[Dependencia],Tabla2[Clasificación],"No indexado")</f>
        <v>Presidencia de la República</v>
      </c>
      <c r="J60" t="str">
        <f>_xlfn.XLOOKUP(Tabla1[[#This Row],[Dependencia]],Tabla3[Dependencia],Tabla3[Nivel],"otros",0)</f>
        <v>otros</v>
      </c>
    </row>
    <row r="61" spans="1:10" x14ac:dyDescent="0.35">
      <c r="A61" s="5">
        <v>46154</v>
      </c>
      <c r="B61" t="s">
        <v>80</v>
      </c>
      <c r="C61" s="6" t="s">
        <v>180</v>
      </c>
      <c r="D61" t="s">
        <v>12</v>
      </c>
      <c r="E61" t="s">
        <v>16</v>
      </c>
      <c r="F61" t="s">
        <v>16</v>
      </c>
      <c r="G61" t="s">
        <v>89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ht="29" x14ac:dyDescent="0.35">
      <c r="A62" s="5">
        <v>46154</v>
      </c>
      <c r="B62" t="s">
        <v>85</v>
      </c>
      <c r="C62" s="6" t="s">
        <v>181</v>
      </c>
      <c r="D62" t="s">
        <v>13</v>
      </c>
      <c r="E62" t="s">
        <v>21</v>
      </c>
      <c r="F62" t="s">
        <v>21</v>
      </c>
      <c r="G62" t="s">
        <v>133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ht="29" x14ac:dyDescent="0.35">
      <c r="A63" s="5">
        <v>46154</v>
      </c>
      <c r="B63" t="s">
        <v>85</v>
      </c>
      <c r="C63" s="6" t="s">
        <v>182</v>
      </c>
      <c r="D63" t="s">
        <v>12</v>
      </c>
      <c r="E63" t="s">
        <v>14</v>
      </c>
      <c r="F63" t="s">
        <v>14</v>
      </c>
      <c r="G63" t="s">
        <v>83</v>
      </c>
      <c r="H63" t="s">
        <v>11</v>
      </c>
      <c r="I63" t="str">
        <f>_xlfn.XLOOKUP(Tabla1[[#This Row],[Dependencia]],Tabla2[Dependencia],Tabla2[Clasificación],"No indexado")</f>
        <v>Presidencia de la República</v>
      </c>
      <c r="J63" t="str">
        <f>_xlfn.XLOOKUP(Tabla1[[#This Row],[Dependencia]],Tabla3[Dependencia],Tabla3[Nivel],"otros",0)</f>
        <v>otros</v>
      </c>
    </row>
    <row r="64" spans="1:10" x14ac:dyDescent="0.35">
      <c r="A64" s="5">
        <v>46154</v>
      </c>
      <c r="B64" t="s">
        <v>85</v>
      </c>
      <c r="C64" s="6" t="s">
        <v>183</v>
      </c>
      <c r="D64" t="s">
        <v>12</v>
      </c>
      <c r="E64" t="s">
        <v>10</v>
      </c>
      <c r="F64" t="s">
        <v>10</v>
      </c>
      <c r="G64" t="s">
        <v>71</v>
      </c>
      <c r="H64" t="s">
        <v>11</v>
      </c>
      <c r="I64" t="str">
        <f>_xlfn.XLOOKUP(Tabla1[[#This Row],[Dependencia]],Tabla2[Dependencia],Tabla2[Clasificación],"No indexado")</f>
        <v>Otros</v>
      </c>
      <c r="J64" t="str">
        <f>_xlfn.XLOOKUP(Tabla1[[#This Row],[Dependencia]],Tabla3[Dependencia],Tabla3[Nivel],"otros",0)</f>
        <v>otros</v>
      </c>
    </row>
    <row r="65" spans="1:10" ht="29" x14ac:dyDescent="0.35">
      <c r="A65" s="5">
        <v>46154</v>
      </c>
      <c r="B65" t="s">
        <v>85</v>
      </c>
      <c r="C65" s="6" t="s">
        <v>184</v>
      </c>
      <c r="D65" t="s">
        <v>12</v>
      </c>
      <c r="E65" t="s">
        <v>35</v>
      </c>
      <c r="F65" t="s">
        <v>35</v>
      </c>
      <c r="G65" t="s">
        <v>185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ht="29" x14ac:dyDescent="0.35">
      <c r="A66" s="5">
        <v>46154</v>
      </c>
      <c r="B66" t="s">
        <v>85</v>
      </c>
      <c r="C66" s="6" t="s">
        <v>175</v>
      </c>
      <c r="D66" t="s">
        <v>12</v>
      </c>
      <c r="E66" t="s">
        <v>24</v>
      </c>
      <c r="F66" t="s">
        <v>24</v>
      </c>
      <c r="G66" t="s">
        <v>153</v>
      </c>
      <c r="H66" t="s">
        <v>11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Gobernador</v>
      </c>
    </row>
    <row r="67" spans="1:10" x14ac:dyDescent="0.35">
      <c r="A67" s="5">
        <v>46154</v>
      </c>
      <c r="B67" t="s">
        <v>85</v>
      </c>
      <c r="C67" s="6" t="s">
        <v>87</v>
      </c>
      <c r="D67" t="s">
        <v>88</v>
      </c>
      <c r="E67" t="s">
        <v>16</v>
      </c>
      <c r="F67" t="s">
        <v>16</v>
      </c>
      <c r="G67" t="s">
        <v>186</v>
      </c>
      <c r="H67" t="s">
        <v>11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  <row r="68" spans="1:10" x14ac:dyDescent="0.35">
      <c r="A68" s="5">
        <v>46154</v>
      </c>
      <c r="B68" t="s">
        <v>81</v>
      </c>
      <c r="C68" s="6" t="s">
        <v>187</v>
      </c>
      <c r="D68" t="s">
        <v>13</v>
      </c>
      <c r="E68" t="s">
        <v>22</v>
      </c>
      <c r="F68" t="s">
        <v>22</v>
      </c>
      <c r="G68" t="s">
        <v>151</v>
      </c>
      <c r="H68" t="s">
        <v>11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Gabinete</v>
      </c>
    </row>
    <row r="69" spans="1:10" x14ac:dyDescent="0.35">
      <c r="A69" s="5">
        <v>46154</v>
      </c>
      <c r="B69" t="s">
        <v>81</v>
      </c>
      <c r="C69" s="6" t="s">
        <v>188</v>
      </c>
      <c r="D69" t="s">
        <v>12</v>
      </c>
      <c r="E69" t="s">
        <v>35</v>
      </c>
      <c r="F69" t="s">
        <v>35</v>
      </c>
      <c r="G69" t="s">
        <v>185</v>
      </c>
      <c r="H69" t="s">
        <v>11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Gabinete</v>
      </c>
    </row>
    <row r="70" spans="1:10" x14ac:dyDescent="0.35">
      <c r="A70" s="5">
        <v>46154</v>
      </c>
      <c r="B70" t="s">
        <v>81</v>
      </c>
      <c r="C70" s="6" t="s">
        <v>189</v>
      </c>
      <c r="D70" t="s">
        <v>12</v>
      </c>
      <c r="E70" t="s">
        <v>14</v>
      </c>
      <c r="F70" t="s">
        <v>14</v>
      </c>
      <c r="G70" t="s">
        <v>83</v>
      </c>
      <c r="H70" t="s">
        <v>11</v>
      </c>
      <c r="I70" t="str">
        <f>_xlfn.XLOOKUP(Tabla1[[#This Row],[Dependencia]],Tabla2[Dependencia],Tabla2[Clasificación],"No indexado")</f>
        <v>Presidencia de la República</v>
      </c>
      <c r="J70" t="str">
        <f>_xlfn.XLOOKUP(Tabla1[[#This Row],[Dependencia]],Tabla3[Dependencia],Tabla3[Nivel],"otros",0)</f>
        <v>otros</v>
      </c>
    </row>
    <row r="71" spans="1:10" x14ac:dyDescent="0.35">
      <c r="A71" s="5">
        <v>46154</v>
      </c>
      <c r="B71" t="s">
        <v>81</v>
      </c>
      <c r="C71" s="6" t="s">
        <v>190</v>
      </c>
      <c r="D71" t="s">
        <v>12</v>
      </c>
      <c r="E71" t="s">
        <v>21</v>
      </c>
      <c r="F71" t="s">
        <v>21</v>
      </c>
      <c r="G71" t="s">
        <v>133</v>
      </c>
      <c r="H71" t="s">
        <v>70</v>
      </c>
      <c r="I71" t="str">
        <f>_xlfn.XLOOKUP(Tabla1[[#This Row],[Dependencia]],Tabla2[Dependencia],Tabla2[Clasificación],"No indexado")</f>
        <v>Gobierno del estado</v>
      </c>
      <c r="J71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66</v>
      </c>
    </row>
    <row r="2" spans="1:5" x14ac:dyDescent="0.35">
      <c r="A2" t="s">
        <v>62</v>
      </c>
      <c r="B2" t="s">
        <v>63</v>
      </c>
      <c r="D2" s="10" t="s">
        <v>19</v>
      </c>
      <c r="E2" t="s">
        <v>67</v>
      </c>
    </row>
    <row r="3" spans="1:5" x14ac:dyDescent="0.35">
      <c r="A3" t="s">
        <v>16</v>
      </c>
      <c r="B3" t="s">
        <v>31</v>
      </c>
      <c r="D3" s="9" t="s">
        <v>33</v>
      </c>
      <c r="E3" t="s">
        <v>67</v>
      </c>
    </row>
    <row r="4" spans="1:5" x14ac:dyDescent="0.35">
      <c r="A4" t="s">
        <v>19</v>
      </c>
      <c r="B4" t="s">
        <v>32</v>
      </c>
      <c r="D4" s="9" t="s">
        <v>35</v>
      </c>
      <c r="E4" t="s">
        <v>67</v>
      </c>
    </row>
    <row r="5" spans="1:5" x14ac:dyDescent="0.35">
      <c r="A5" t="s">
        <v>61</v>
      </c>
      <c r="B5" t="s">
        <v>10</v>
      </c>
      <c r="D5" s="10" t="s">
        <v>28</v>
      </c>
      <c r="E5" t="s">
        <v>67</v>
      </c>
    </row>
    <row r="6" spans="1:5" x14ac:dyDescent="0.35">
      <c r="A6" t="s">
        <v>33</v>
      </c>
      <c r="B6" t="s">
        <v>32</v>
      </c>
      <c r="D6" s="10" t="s">
        <v>36</v>
      </c>
      <c r="E6" t="s">
        <v>67</v>
      </c>
    </row>
    <row r="7" spans="1:5" x14ac:dyDescent="0.35">
      <c r="A7" t="s">
        <v>34</v>
      </c>
      <c r="B7" t="s">
        <v>10</v>
      </c>
      <c r="D7" s="9" t="s">
        <v>37</v>
      </c>
      <c r="E7" t="s">
        <v>67</v>
      </c>
    </row>
    <row r="8" spans="1:5" x14ac:dyDescent="0.35">
      <c r="A8" t="s">
        <v>35</v>
      </c>
      <c r="B8" t="s">
        <v>32</v>
      </c>
      <c r="D8" s="9" t="s">
        <v>37</v>
      </c>
      <c r="E8" t="s">
        <v>67</v>
      </c>
    </row>
    <row r="9" spans="1:5" x14ac:dyDescent="0.35">
      <c r="A9" t="s">
        <v>28</v>
      </c>
      <c r="B9" t="s">
        <v>32</v>
      </c>
      <c r="D9" s="9" t="s">
        <v>38</v>
      </c>
      <c r="E9" t="s">
        <v>67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2026-05-12T18:22:03Z</dcterms:modified>
</cp:coreProperties>
</file>