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5D582267-6C4C-492B-8FED-B5ED72414132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I2" i="1"/>
  <c r="J2" i="1"/>
</calcChain>
</file>

<file path=xl/sharedStrings.xml><?xml version="1.0" encoding="utf-8"?>
<sst xmlns="http://schemas.openxmlformats.org/spreadsheetml/2006/main" count="643" uniqueCount="213">
  <si>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</si>
  <si>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</si>
  <si>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</si>
  <si>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</si>
  <si>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</si>
  <si>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</si>
  <si>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</si>
  <si>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</si>
  <si>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</si>
  <si>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</si>
  <si>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</si>
  <si>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</si>
  <si>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</si>
  <si>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</si>
  <si>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</si>
  <si>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</si>
  <si>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</si>
  <si>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</si>
  <si>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</si>
  <si>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</si>
  <si>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</si>
  <si>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</si>
  <si>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</si>
  <si>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</si>
  <si>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</si>
  <si>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</si>
  <si>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</si>
  <si>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</si>
  <si>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</si>
  <si>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</si>
  <si>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</si>
  <si>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</si>
  <si>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</si>
  <si>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</si>
  <si>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</si>
  <si>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</si>
  <si>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</si>
  <si>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</si>
  <si>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</si>
  <si>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</si>
  <si>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</si>
  <si>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</si>
  <si>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</si>
  <si>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</si>
  <si>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</si>
  <si>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</si>
  <si>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</si>
  <si>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</si>
  <si>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</si>
  <si>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</si>
  <si>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</si>
  <si>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</si>
  <si>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</si>
  <si>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</si>
  <si>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</si>
  <si>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</si>
  <si>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</si>
  <si>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</si>
  <si>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</si>
  <si>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</si>
  <si>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</si>
  <si>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</si>
  <si>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</si>
  <si>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</si>
  <si>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</si>
  <si>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</si>
  <si>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</si>
  <si>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</si>
  <si>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</si>
  <si>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</si>
  <si>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Zunoticia</t>
  </si>
  <si>
    <t>Síntesis</t>
  </si>
  <si>
    <t>La Jornada Hidalgo</t>
  </si>
  <si>
    <t>OCSAD</t>
  </si>
  <si>
    <t>Mundial De Futbol</t>
  </si>
  <si>
    <t>Effetá</t>
  </si>
  <si>
    <t>Criterio</t>
  </si>
  <si>
    <t>Publicidad</t>
  </si>
  <si>
    <t>El Universal Hidalgo</t>
  </si>
  <si>
    <t>Sipdus</t>
  </si>
  <si>
    <t>Marfeca</t>
  </si>
  <si>
    <t>Cintillo</t>
  </si>
  <si>
    <t>Alcalde</t>
  </si>
  <si>
    <t>Sismo</t>
  </si>
  <si>
    <t>Relleno Sanitario</t>
  </si>
  <si>
    <t>Sucesión alcaldía</t>
  </si>
  <si>
    <t>Plaza Juárez</t>
  </si>
  <si>
    <t>Temas varios</t>
  </si>
  <si>
    <t>Combate Al Huachicol</t>
  </si>
  <si>
    <t>Tren AIFA</t>
  </si>
  <si>
    <t>Temas internacionales</t>
  </si>
  <si>
    <t>SICT</t>
  </si>
  <si>
    <t>Festival Gastronómico</t>
  </si>
  <si>
    <t>Dirigencia Partidista</t>
  </si>
  <si>
    <t>Justa Deportiva</t>
  </si>
  <si>
    <t>De fiestas a graduaciones: así gastan beca</t>
  </si>
  <si>
    <t>Graduación</t>
  </si>
  <si>
    <t>Habilitan tres centros de acopio en Pachuca</t>
  </si>
  <si>
    <t>Centros De Acopio</t>
  </si>
  <si>
    <t>Fortalecen estructura partidista estatal</t>
  </si>
  <si>
    <t>Trabajo partidista</t>
  </si>
  <si>
    <t>Rechazan desarrollo habitacional en Cubitos</t>
  </si>
  <si>
    <t>Proyecto de urbanización</t>
  </si>
  <si>
    <t>Negativa</t>
  </si>
  <si>
    <t>Canadá, a la ronda de octavos de final</t>
  </si>
  <si>
    <t>Con 280 votos avalan el tren a Querétaro</t>
  </si>
  <si>
    <t>Tren México Querétaro</t>
  </si>
  <si>
    <t>Indaga la FGR desaparición de empleados</t>
  </si>
  <si>
    <t>FGR</t>
  </si>
  <si>
    <t>Personas desaparecidas</t>
  </si>
  <si>
    <t>En marcha, plan energético</t>
  </si>
  <si>
    <t>Refinería</t>
  </si>
  <si>
    <t>Un anfitrión ya se metió a los octavos de final</t>
  </si>
  <si>
    <t>Tiene el PRD una dirigencia onerosa</t>
  </si>
  <si>
    <t>Financiamiento a Partidos</t>
  </si>
  <si>
    <t>Empresa se desiste de edificar un parque solar en Singuilucan</t>
  </si>
  <si>
    <t>Parque Fotovoltaico</t>
  </si>
  <si>
    <t>Solicitan víveres venezolanos que viven en Pachuca</t>
  </si>
  <si>
    <t>Salón de Plenos, 5a parte de recursos</t>
  </si>
  <si>
    <t>Salón De Plenos</t>
  </si>
  <si>
    <t>Exhortará el cabildo a CFE a evitar fallas en electricidad</t>
  </si>
  <si>
    <t>Exhorto</t>
  </si>
  <si>
    <t>Incrementa corrupción de menores 28% en año</t>
  </si>
  <si>
    <t>Corrupción de menores</t>
  </si>
  <si>
    <t>Karla Perales, de MX impulsa el deporte infantil</t>
  </si>
  <si>
    <t>Impulso al deporte</t>
  </si>
  <si>
    <t>FAMILIARES DE DESAPARECIDOS SE MANIFIESTAN</t>
  </si>
  <si>
    <t>CBPEH</t>
  </si>
  <si>
    <t>Búsqueda de personas</t>
  </si>
  <si>
    <t>Niega Morena el reportaje de NYT sobre informantes</t>
  </si>
  <si>
    <t>Noticias falsas</t>
  </si>
  <si>
    <t>Por aguachicoleo se roban 5 mil millones de litros en 4 años</t>
  </si>
  <si>
    <t>Caasim</t>
  </si>
  <si>
    <t>Robo De Agua</t>
  </si>
  <si>
    <t>Estiman adeudos por el servicio en 81 millones</t>
  </si>
  <si>
    <t>Adeudos Caasim</t>
  </si>
  <si>
    <t>Insisten pobladores en rechazo a relleno sanitario</t>
  </si>
  <si>
    <t>Ya son 55 años de la Feria de la Barbacoa</t>
  </si>
  <si>
    <t>Celebran evento deportivo por 7 años de la Guardia Nacional</t>
  </si>
  <si>
    <t>GN</t>
  </si>
  <si>
    <t>Carrera atlética</t>
  </si>
  <si>
    <t>docentes evalúan sus resultados</t>
  </si>
  <si>
    <t>Básica</t>
  </si>
  <si>
    <t>Consejo Técnico</t>
  </si>
  <si>
    <t>Quiñones vuelve al radar europeo</t>
  </si>
  <si>
    <t>El negocio de la mariguana legalizada en Estados Unidos se desploma 60 por ciento</t>
  </si>
  <si>
    <t>Sheinbaum: 30 millones de familias tendrán vivienda</t>
  </si>
  <si>
    <t>Plan Nacional De Vivienda</t>
  </si>
  <si>
    <t>Tren a Pachuca, oportunidad para mejorar movilidad: consultora</t>
  </si>
  <si>
    <t>Invertirán 10.9 mdp para ordenar zonas urbanas regionales</t>
  </si>
  <si>
    <t>Ordenamiento Territorial</t>
  </si>
  <si>
    <t>Morena se blinda rumbo a 2027: 277 perfiles y nuevas reglas</t>
  </si>
  <si>
    <t>Urbanizar Cubitos agravaría crisis hídrica</t>
  </si>
  <si>
    <t>El reto de la IA no solo compete al Estado nacional, las enitidades federativas deben apurar a inscribirlo y gestionarlo en sus respectivas agendas públicas, no por moda, por sobrevivencia</t>
  </si>
  <si>
    <t>Inteligencia Artificial</t>
  </si>
  <si>
    <t>Detienen a trailero con casi 4 mil litros de huachicol</t>
  </si>
  <si>
    <t>Intensifican búsqueda de trabajadores de la CFE desaparecidos en Acaxochitlán</t>
  </si>
  <si>
    <t>Representará universitario a Hidalgo en programa que reconoce a futuros líderes mexicanos</t>
  </si>
  <si>
    <t>Universidades</t>
  </si>
  <si>
    <t>Becas De Posgrado</t>
  </si>
  <si>
    <t>Advierten que urbanización del Cerro de Cubitos afectaría flora, fauna y mantos acuíferos</t>
  </si>
  <si>
    <t>Ofrecen asesoría jurídica a empleados obligados a trabajar fuera de jornada laboral</t>
  </si>
  <si>
    <t>CCLEH</t>
  </si>
  <si>
    <t>Derechos laborales</t>
  </si>
  <si>
    <t>Reafirma Alfredo San Roman Duval compromiso con la educación</t>
  </si>
  <si>
    <t>Secturh impulsa el turismo inclusivo</t>
  </si>
  <si>
    <t>Turismo inclusivo</t>
  </si>
  <si>
    <t>Cruz Roja pide prevenir golpes de calor</t>
  </si>
  <si>
    <t>Golpe de calor</t>
  </si>
  <si>
    <t>Instalan centro de acopio en apoyo a Venezuela</t>
  </si>
  <si>
    <t>Braile en productos artesanales: una historia de amor, inclusión y autonomía</t>
  </si>
  <si>
    <t>gobieron</t>
  </si>
  <si>
    <t>Inclusión</t>
  </si>
  <si>
    <t>Yo no voy por la dirigencia de Morena ni por un encargo de elección"": Julio Valera</t>
  </si>
  <si>
    <t>No dejan de buscar</t>
  </si>
  <si>
    <t>Toros robustecen elecciones</t>
  </si>
  <si>
    <t>Tauromaquia</t>
  </si>
  <si>
    <t>Entre Hidalgo y Puebla</t>
  </si>
  <si>
    <t>FGR golpea red de huachicol en Pachuca</t>
  </si>
  <si>
    <t>Millonaria inversión en seguridad</t>
  </si>
  <si>
    <t>Videovigilancia</t>
  </si>
  <si>
    <t>Descarta Morena que Julio Valera pueda dirigir el partido en Hidalgo</t>
  </si>
  <si>
    <t>Avanza planeación estratégica para el desarrollo económico de Ajacuba</t>
  </si>
  <si>
    <t>Hidalgo avanza con la construcción de 27 canchas de futbol del programa Mundial Social México 2026</t>
  </si>
  <si>
    <t>Inhide</t>
  </si>
  <si>
    <t>Yocelyn Tovar inaugura pavimentación asfáltica con inversión superior a 1.1 mdp</t>
  </si>
  <si>
    <t>Pavimentación</t>
  </si>
  <si>
    <t>Inicia renovación del sindicato del ayuntamiento de Pachuca tras más de un año sin dirigencia reconocida</t>
  </si>
  <si>
    <t>SUTSMP</t>
  </si>
  <si>
    <t>El programa "Fortalecimiento de la Vinculación y Movilidad Laboral, Primero el Pueblo" apoya a 653 personas</t>
  </si>
  <si>
    <t>Movilidad laboral</t>
  </si>
  <si>
    <t>Desconexión digita, promueve el equilibrio entre la vida laboral y personal</t>
  </si>
  <si>
    <t>Atotonilco de Tula vive una tarde de tradición y color con la Guelaguetza 2026</t>
  </si>
  <si>
    <t>Evento Cultural</t>
  </si>
  <si>
    <t>¡De Tezontepec para el mundo!</t>
  </si>
  <si>
    <t>Pachuca Brilla</t>
  </si>
  <si>
    <t>Abre gobierno de Hidalgo centros de acopio para apoyo a Venezuela</t>
  </si>
  <si>
    <t>Dejó fuerte lluvia vías encharcadas en zona Metropolitana este domingo</t>
  </si>
  <si>
    <t>Afectaciones Por Lluvias</t>
  </si>
  <si>
    <t>Hoy anunciarán primer artista de palenque Pachuca 2026</t>
  </si>
  <si>
    <t>OEEH</t>
  </si>
  <si>
    <t>Feria Pachuca</t>
  </si>
  <si>
    <t>SSPH asegura 38  mil 700 litros de hidrocarburo de procedencia ilegal en Pachuca</t>
  </si>
  <si>
    <t>Participaron más de 35 mil docentes en la última sesión del CTE del ciclo escolar</t>
  </si>
  <si>
    <t>Cuidarte hoy es llegar más lejos mañana</t>
  </si>
  <si>
    <t>Vida Saludable</t>
  </si>
  <si>
    <t>Ellos importan</t>
  </si>
  <si>
    <t>Maltrato animal</t>
  </si>
  <si>
    <t>Atraparon a hombre y recuperaron más de 37 mil litros de combustible</t>
  </si>
  <si>
    <t>Trabajadores municipales irán a nuevas elecciones</t>
  </si>
  <si>
    <t>Canadá le gana a Sudáfrica y va a octavos</t>
  </si>
  <si>
    <t>Detectan posible ""huachicoleo de agua en el ESA""</t>
  </si>
  <si>
    <t>Suman mil 450 personas fallecidas en Venezuela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</si>
</sst>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0" totalsRowShown="0" headerRowDxfId="5" headerRowBorderDxfId="4">
  <autoFilter ref="A1:J7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0"/>
  <sheetViews>
    <sheetView tabSelected="1" workbookViewId="0">
      <selection activeCell="A2" sqref="A2:H7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46202</v>
      </c>
      <c r="B2" t="s">
        <v>68</v>
      </c>
      <c r="C2" s="6" t="s">
        <v>95</v>
      </c>
      <c r="D2" t="s">
        <v>12</v>
      </c>
      <c r="E2" t="s">
        <v>10</v>
      </c>
      <c r="F2" t="s">
        <v>10</v>
      </c>
      <c r="G2" t="s">
        <v>96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46202</v>
      </c>
      <c r="B3" t="s">
        <v>68</v>
      </c>
      <c r="C3" s="6" t="s">
        <v>97</v>
      </c>
      <c r="D3" t="s">
        <v>12</v>
      </c>
      <c r="E3" t="s">
        <v>36</v>
      </c>
      <c r="F3" t="s">
        <v>36</v>
      </c>
      <c r="G3" t="s">
        <v>98</v>
      </c>
      <c r="H3" t="s">
        <v>11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5">
        <v>46202</v>
      </c>
      <c r="B4" t="s">
        <v>68</v>
      </c>
      <c r="C4" s="6" t="s">
        <v>99</v>
      </c>
      <c r="D4" t="s">
        <v>12</v>
      </c>
      <c r="E4" t="s">
        <v>46</v>
      </c>
      <c r="F4" t="s">
        <v>46</v>
      </c>
      <c r="G4" t="s">
        <v>100</v>
      </c>
      <c r="H4" t="s">
        <v>11</v>
      </c>
      <c r="I4" t="str">
        <f>_xlfn.XLOOKUP(Tabla1[[#This Row],[Dependencia]],Tabla2[Dependencia],Tabla2[Clasificación],"No indexado")</f>
        <v>Partidos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46202</v>
      </c>
      <c r="B5" t="s">
        <v>68</v>
      </c>
      <c r="C5" s="6" t="s">
        <v>101</v>
      </c>
      <c r="D5" t="s">
        <v>13</v>
      </c>
      <c r="E5" t="s">
        <v>20</v>
      </c>
      <c r="F5" t="s">
        <v>20</v>
      </c>
      <c r="G5" t="s">
        <v>102</v>
      </c>
      <c r="H5" t="s">
        <v>103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5">
        <v>46202</v>
      </c>
      <c r="B6" t="s">
        <v>68</v>
      </c>
      <c r="C6" s="6" t="s">
        <v>104</v>
      </c>
      <c r="D6" t="s">
        <v>12</v>
      </c>
      <c r="E6" t="s">
        <v>10</v>
      </c>
      <c r="F6" t="s">
        <v>10</v>
      </c>
      <c r="G6" t="s">
        <v>74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46202</v>
      </c>
      <c r="B7" t="s">
        <v>68</v>
      </c>
      <c r="C7" s="6" t="s">
        <v>105</v>
      </c>
      <c r="D7" t="s">
        <v>9</v>
      </c>
      <c r="E7" t="s">
        <v>14</v>
      </c>
      <c r="F7" t="s">
        <v>91</v>
      </c>
      <c r="G7" t="s">
        <v>106</v>
      </c>
      <c r="H7" t="s">
        <v>11</v>
      </c>
      <c r="I7" t="str">
        <f>_xlfn.XLOOKUP(Tabla1[[#This Row],[Dependencia]],Tabla2[Dependencia],Tabla2[Clasificación],"No indexado")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46202</v>
      </c>
      <c r="B8" t="s">
        <v>78</v>
      </c>
      <c r="C8" s="6" t="s">
        <v>107</v>
      </c>
      <c r="D8" t="s">
        <v>12</v>
      </c>
      <c r="E8" t="s">
        <v>14</v>
      </c>
      <c r="F8" t="s">
        <v>108</v>
      </c>
      <c r="G8" t="s">
        <v>109</v>
      </c>
      <c r="H8" t="s">
        <v>11</v>
      </c>
      <c r="I8" t="str">
        <f>_xlfn.XLOOKUP(Tabla1[[#This Row],[Dependencia]],Tabla2[Dependencia],Tabla2[Clasificación],"No indexado")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46202</v>
      </c>
      <c r="B9" t="s">
        <v>78</v>
      </c>
      <c r="C9" s="6" t="s">
        <v>110</v>
      </c>
      <c r="D9" t="s">
        <v>12</v>
      </c>
      <c r="E9" t="s">
        <v>14</v>
      </c>
      <c r="F9" t="s">
        <v>14</v>
      </c>
      <c r="G9" t="s">
        <v>111</v>
      </c>
      <c r="H9" t="s">
        <v>11</v>
      </c>
      <c r="I9" t="str">
        <f>_xlfn.XLOOKUP(Tabla1[[#This Row],[Dependencia]],Tabla2[Dependencia],Tabla2[Clasificación],"No indexado")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25">
      <c r="A10" s="5">
        <v>46202</v>
      </c>
      <c r="B10" t="s">
        <v>78</v>
      </c>
      <c r="C10" s="6" t="s">
        <v>112</v>
      </c>
      <c r="D10" t="s">
        <v>12</v>
      </c>
      <c r="E10" t="s">
        <v>10</v>
      </c>
      <c r="F10" t="s">
        <v>10</v>
      </c>
      <c r="G10" t="s">
        <v>74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46202</v>
      </c>
      <c r="B11" t="s">
        <v>78</v>
      </c>
      <c r="C11" s="6" t="s">
        <v>113</v>
      </c>
      <c r="D11" t="s">
        <v>12</v>
      </c>
      <c r="E11" t="s">
        <v>48</v>
      </c>
      <c r="F11" t="s">
        <v>48</v>
      </c>
      <c r="G11" t="s">
        <v>114</v>
      </c>
      <c r="H11" t="s">
        <v>103</v>
      </c>
      <c r="I11" t="str">
        <f>_xlfn.XLOOKUP(Tabla1[[#This Row],[Dependencia]],Tabla2[Dependencia],Tabla2[Clasificación],"No indexado")</f>
        <v>Partidos</v>
      </c>
      <c r="J11" t="str">
        <f>_xlfn.XLOOKUP(Tabla1[[#This Row],[Dependencia]],Tabla3[Dependencia],Tabla3[Nivel],"otros",0)</f>
        <v>otros</v>
      </c>
    </row>
    <row r="12" spans="1:10" ht="30" x14ac:dyDescent="0.25">
      <c r="A12" s="5">
        <v>46202</v>
      </c>
      <c r="B12" t="s">
        <v>78</v>
      </c>
      <c r="C12" s="6" t="s">
        <v>115</v>
      </c>
      <c r="D12" t="s">
        <v>13</v>
      </c>
      <c r="E12" t="s">
        <v>54</v>
      </c>
      <c r="F12" t="s">
        <v>54</v>
      </c>
      <c r="G12" t="s">
        <v>116</v>
      </c>
      <c r="H12" t="s">
        <v>103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5">
        <v>46202</v>
      </c>
      <c r="B13" t="s">
        <v>78</v>
      </c>
      <c r="C13" s="6" t="s">
        <v>117</v>
      </c>
      <c r="D13" t="s">
        <v>9</v>
      </c>
      <c r="E13" t="s">
        <v>10</v>
      </c>
      <c r="F13" t="s">
        <v>10</v>
      </c>
      <c r="G13" t="s">
        <v>98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46202</v>
      </c>
      <c r="B14" t="s">
        <v>76</v>
      </c>
      <c r="C14" s="6" t="s">
        <v>118</v>
      </c>
      <c r="D14" t="s">
        <v>12</v>
      </c>
      <c r="E14" t="s">
        <v>33</v>
      </c>
      <c r="F14" t="s">
        <v>33</v>
      </c>
      <c r="G14" t="s">
        <v>119</v>
      </c>
      <c r="H14" t="s">
        <v>103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46202</v>
      </c>
      <c r="B15" t="s">
        <v>76</v>
      </c>
      <c r="C15" s="6" t="s">
        <v>120</v>
      </c>
      <c r="D15" t="s">
        <v>12</v>
      </c>
      <c r="E15" t="s">
        <v>16</v>
      </c>
      <c r="F15" t="s">
        <v>16</v>
      </c>
      <c r="G15" t="s">
        <v>121</v>
      </c>
      <c r="H15" t="s">
        <v>11</v>
      </c>
      <c r="I15" t="str">
        <f>_xlfn.XLOOKUP(Tabla1[[#This Row],[Dependencia]],Tabla2[Dependencia],Tabla2[Clasificación],"No indexado")</f>
        <v>Alcaldías</v>
      </c>
      <c r="J15" t="str">
        <f>_xlfn.XLOOKUP(Tabla1[[#This Row],[Dependencia]],Tabla3[Dependencia],Tabla3[Nivel],"otros",0)</f>
        <v>otros</v>
      </c>
    </row>
    <row r="16" spans="1:10" x14ac:dyDescent="0.25">
      <c r="A16" s="5">
        <v>46202</v>
      </c>
      <c r="B16" t="s">
        <v>76</v>
      </c>
      <c r="C16" s="6" t="s">
        <v>122</v>
      </c>
      <c r="D16" t="s">
        <v>13</v>
      </c>
      <c r="E16" t="s">
        <v>17</v>
      </c>
      <c r="F16" t="s">
        <v>17</v>
      </c>
      <c r="G16" t="s">
        <v>123</v>
      </c>
      <c r="H16" t="s">
        <v>103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5">
        <v>46202</v>
      </c>
      <c r="B17" t="s">
        <v>76</v>
      </c>
      <c r="C17" s="6" t="s">
        <v>124</v>
      </c>
      <c r="D17" t="s">
        <v>12</v>
      </c>
      <c r="E17" t="s">
        <v>43</v>
      </c>
      <c r="F17" t="s">
        <v>43</v>
      </c>
      <c r="G17" t="s">
        <v>125</v>
      </c>
      <c r="H17" t="s">
        <v>11</v>
      </c>
      <c r="I17" t="str">
        <f>_xlfn.XLOOKUP(Tabla1[[#This Row],[Dependencia]],Tabla2[Dependencia],Tabla2[Clasificación],"No indexado")</f>
        <v>Partidos</v>
      </c>
      <c r="J17" t="str">
        <f>_xlfn.XLOOKUP(Tabla1[[#This Row],[Dependencia]],Tabla3[Dependencia],Tabla3[Nivel],"otros",0)</f>
        <v>otros</v>
      </c>
    </row>
    <row r="18" spans="1:10" x14ac:dyDescent="0.25">
      <c r="A18" s="5">
        <v>46202</v>
      </c>
      <c r="B18" t="s">
        <v>76</v>
      </c>
      <c r="C18" s="6" t="s">
        <v>126</v>
      </c>
      <c r="D18" t="s">
        <v>9</v>
      </c>
      <c r="E18" t="s">
        <v>23</v>
      </c>
      <c r="F18" t="s">
        <v>127</v>
      </c>
      <c r="G18" t="s">
        <v>128</v>
      </c>
      <c r="H18" t="s">
        <v>103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5">
        <v>46202</v>
      </c>
      <c r="B19" t="s">
        <v>76</v>
      </c>
      <c r="C19" s="6" t="s">
        <v>129</v>
      </c>
      <c r="D19" t="s">
        <v>12</v>
      </c>
      <c r="E19" t="s">
        <v>18</v>
      </c>
      <c r="F19" t="s">
        <v>18</v>
      </c>
      <c r="G19" t="s">
        <v>130</v>
      </c>
      <c r="H19" t="s">
        <v>11</v>
      </c>
      <c r="I19" t="str">
        <f>_xlfn.XLOOKUP(Tabla1[[#This Row],[Dependencia]],Tabla2[Dependencia],Tabla2[Clasificación],"No indexado")</f>
        <v>Partidos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46202</v>
      </c>
      <c r="B20" t="s">
        <v>67</v>
      </c>
      <c r="C20" s="6" t="s">
        <v>131</v>
      </c>
      <c r="D20" t="s">
        <v>13</v>
      </c>
      <c r="E20" t="s">
        <v>79</v>
      </c>
      <c r="F20" t="s">
        <v>132</v>
      </c>
      <c r="G20" t="s">
        <v>133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46202</v>
      </c>
      <c r="B21" t="s">
        <v>67</v>
      </c>
      <c r="C21" s="6" t="s">
        <v>134</v>
      </c>
      <c r="D21" t="s">
        <v>12</v>
      </c>
      <c r="E21" t="s">
        <v>79</v>
      </c>
      <c r="F21" t="s">
        <v>132</v>
      </c>
      <c r="G21" t="s">
        <v>135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5">
        <v>46202</v>
      </c>
      <c r="B22" t="s">
        <v>67</v>
      </c>
      <c r="C22" s="6" t="s">
        <v>136</v>
      </c>
      <c r="D22" t="s">
        <v>12</v>
      </c>
      <c r="E22" t="s">
        <v>20</v>
      </c>
      <c r="F22" t="s">
        <v>20</v>
      </c>
      <c r="G22" t="s">
        <v>84</v>
      </c>
      <c r="H22" t="s">
        <v>103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5">
        <v>46202</v>
      </c>
      <c r="B23" t="s">
        <v>67</v>
      </c>
      <c r="C23" s="6" t="s">
        <v>137</v>
      </c>
      <c r="D23" t="s">
        <v>12</v>
      </c>
      <c r="E23" t="s">
        <v>10</v>
      </c>
      <c r="F23" t="s">
        <v>10</v>
      </c>
      <c r="G23" t="s">
        <v>92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5">
        <v>46202</v>
      </c>
      <c r="B24" t="s">
        <v>67</v>
      </c>
      <c r="C24" s="6" t="s">
        <v>138</v>
      </c>
      <c r="D24" t="s">
        <v>9</v>
      </c>
      <c r="E24" t="s">
        <v>14</v>
      </c>
      <c r="F24" t="s">
        <v>139</v>
      </c>
      <c r="G24" t="s">
        <v>140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46202</v>
      </c>
      <c r="B25" t="s">
        <v>67</v>
      </c>
      <c r="C25" s="6" t="s">
        <v>141</v>
      </c>
      <c r="D25" t="s">
        <v>12</v>
      </c>
      <c r="E25" t="s">
        <v>26</v>
      </c>
      <c r="F25" t="s">
        <v>142</v>
      </c>
      <c r="G25" t="s">
        <v>143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5">
        <v>46202</v>
      </c>
      <c r="B26" t="s">
        <v>67</v>
      </c>
      <c r="C26" s="6" t="s">
        <v>144</v>
      </c>
      <c r="D26" t="s">
        <v>12</v>
      </c>
      <c r="E26" t="s">
        <v>10</v>
      </c>
      <c r="F26" t="s">
        <v>10</v>
      </c>
      <c r="G26" t="s">
        <v>74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46202</v>
      </c>
      <c r="B27" t="s">
        <v>67</v>
      </c>
      <c r="C27" s="6" t="s">
        <v>145</v>
      </c>
      <c r="D27" t="s">
        <v>12</v>
      </c>
      <c r="E27" t="s">
        <v>10</v>
      </c>
      <c r="F27" t="s">
        <v>10</v>
      </c>
      <c r="G27" t="s">
        <v>90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46202</v>
      </c>
      <c r="B28" t="s">
        <v>67</v>
      </c>
      <c r="C28" s="6" t="s">
        <v>146</v>
      </c>
      <c r="D28" t="s">
        <v>12</v>
      </c>
      <c r="E28" t="s">
        <v>14</v>
      </c>
      <c r="F28" t="s">
        <v>14</v>
      </c>
      <c r="G28" t="s">
        <v>147</v>
      </c>
      <c r="H28" t="s">
        <v>11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46202</v>
      </c>
      <c r="B29" t="s">
        <v>72</v>
      </c>
      <c r="C29" s="6" t="s">
        <v>148</v>
      </c>
      <c r="D29" t="s">
        <v>12</v>
      </c>
      <c r="E29" t="s">
        <v>27</v>
      </c>
      <c r="F29" t="s">
        <v>27</v>
      </c>
      <c r="G29" t="s">
        <v>89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5">
        <v>46202</v>
      </c>
      <c r="B30" t="s">
        <v>72</v>
      </c>
      <c r="C30" s="6" t="s">
        <v>149</v>
      </c>
      <c r="D30" t="s">
        <v>13</v>
      </c>
      <c r="E30" t="s">
        <v>38</v>
      </c>
      <c r="F30" t="s">
        <v>38</v>
      </c>
      <c r="G30" t="s">
        <v>150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46202</v>
      </c>
      <c r="B31" t="s">
        <v>72</v>
      </c>
      <c r="C31" s="6" t="s">
        <v>151</v>
      </c>
      <c r="D31" t="s">
        <v>12</v>
      </c>
      <c r="E31" t="s">
        <v>18</v>
      </c>
      <c r="F31" t="s">
        <v>18</v>
      </c>
      <c r="G31" t="s">
        <v>85</v>
      </c>
      <c r="H31" t="s">
        <v>11</v>
      </c>
      <c r="I31" t="str">
        <f>_xlfn.XLOOKUP(Tabla1[[#This Row],[Dependencia]],Tabla2[Dependencia],Tabla2[Clasificación],"No indexado")</f>
        <v>Partidos</v>
      </c>
      <c r="J31" t="str">
        <f>_xlfn.XLOOKUP(Tabla1[[#This Row],[Dependencia]],Tabla3[Dependencia],Tabla3[Nivel],"otros",0)</f>
        <v>otros</v>
      </c>
    </row>
    <row r="32" spans="1:10" x14ac:dyDescent="0.25">
      <c r="A32" s="5">
        <v>46202</v>
      </c>
      <c r="B32" t="s">
        <v>72</v>
      </c>
      <c r="C32" s="6" t="s">
        <v>152</v>
      </c>
      <c r="D32" t="s">
        <v>9</v>
      </c>
      <c r="E32" t="s">
        <v>20</v>
      </c>
      <c r="F32" t="s">
        <v>20</v>
      </c>
      <c r="G32" t="s">
        <v>102</v>
      </c>
      <c r="H32" t="s">
        <v>103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60" x14ac:dyDescent="0.25">
      <c r="A33" s="5">
        <v>46202</v>
      </c>
      <c r="B33" t="s">
        <v>72</v>
      </c>
      <c r="C33" s="6" t="s">
        <v>153</v>
      </c>
      <c r="D33" t="s">
        <v>12</v>
      </c>
      <c r="E33" t="s">
        <v>10</v>
      </c>
      <c r="F33" t="s">
        <v>10</v>
      </c>
      <c r="G33" t="s">
        <v>154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x14ac:dyDescent="0.25">
      <c r="A34" s="5">
        <v>46202</v>
      </c>
      <c r="B34" t="s">
        <v>71</v>
      </c>
      <c r="C34" s="6" t="s">
        <v>155</v>
      </c>
      <c r="D34" t="s">
        <v>13</v>
      </c>
      <c r="E34" t="s">
        <v>22</v>
      </c>
      <c r="F34" t="s">
        <v>22</v>
      </c>
      <c r="G34" t="s">
        <v>88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46202</v>
      </c>
      <c r="B35" t="s">
        <v>71</v>
      </c>
      <c r="C35" s="6" t="s">
        <v>156</v>
      </c>
      <c r="D35" t="s">
        <v>12</v>
      </c>
      <c r="E35" t="s">
        <v>23</v>
      </c>
      <c r="F35" t="s">
        <v>127</v>
      </c>
      <c r="G35" t="s">
        <v>128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5">
        <v>46202</v>
      </c>
      <c r="B36" t="s">
        <v>71</v>
      </c>
      <c r="C36" s="6" t="s">
        <v>157</v>
      </c>
      <c r="D36" t="s">
        <v>12</v>
      </c>
      <c r="E36" t="s">
        <v>26</v>
      </c>
      <c r="F36" t="s">
        <v>158</v>
      </c>
      <c r="G36" t="s">
        <v>159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5">
        <v>46202</v>
      </c>
      <c r="B37" t="s">
        <v>71</v>
      </c>
      <c r="C37" s="6" t="s">
        <v>160</v>
      </c>
      <c r="D37" t="s">
        <v>12</v>
      </c>
      <c r="E37" t="s">
        <v>20</v>
      </c>
      <c r="F37" t="s">
        <v>20</v>
      </c>
      <c r="G37" t="s">
        <v>102</v>
      </c>
      <c r="H37" t="s">
        <v>103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5">
        <v>46202</v>
      </c>
      <c r="B38" t="s">
        <v>71</v>
      </c>
      <c r="C38" s="6" t="s">
        <v>161</v>
      </c>
      <c r="D38" t="s">
        <v>12</v>
      </c>
      <c r="E38" t="s">
        <v>56</v>
      </c>
      <c r="F38" t="s">
        <v>162</v>
      </c>
      <c r="G38" t="s">
        <v>163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5">
        <v>46202</v>
      </c>
      <c r="B39" t="s">
        <v>70</v>
      </c>
      <c r="C39" s="6" t="s">
        <v>164</v>
      </c>
      <c r="D39" t="s">
        <v>13</v>
      </c>
      <c r="E39" t="s">
        <v>16</v>
      </c>
      <c r="F39" t="s">
        <v>82</v>
      </c>
      <c r="G39" t="s">
        <v>96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46202</v>
      </c>
      <c r="B40" t="s">
        <v>70</v>
      </c>
      <c r="C40" s="6" t="s">
        <v>165</v>
      </c>
      <c r="D40" t="s">
        <v>12</v>
      </c>
      <c r="E40" t="s">
        <v>29</v>
      </c>
      <c r="F40" t="s">
        <v>29</v>
      </c>
      <c r="G40" t="s">
        <v>166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5">
        <v>46202</v>
      </c>
      <c r="B41" t="s">
        <v>70</v>
      </c>
      <c r="C41" s="6" t="s">
        <v>167</v>
      </c>
      <c r="D41" t="s">
        <v>12</v>
      </c>
      <c r="E41" t="s">
        <v>10</v>
      </c>
      <c r="F41" t="s">
        <v>10</v>
      </c>
      <c r="G41" t="s">
        <v>168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46202</v>
      </c>
      <c r="B42" t="s">
        <v>70</v>
      </c>
      <c r="C42" s="6" t="s">
        <v>169</v>
      </c>
      <c r="D42" t="s">
        <v>12</v>
      </c>
      <c r="E42" t="s">
        <v>16</v>
      </c>
      <c r="F42" t="s">
        <v>16</v>
      </c>
      <c r="G42" t="s">
        <v>98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46202</v>
      </c>
      <c r="B43" t="s">
        <v>70</v>
      </c>
      <c r="C43" s="6" t="s">
        <v>170</v>
      </c>
      <c r="D43" t="s">
        <v>12</v>
      </c>
      <c r="E43" t="s">
        <v>38</v>
      </c>
      <c r="F43" t="s">
        <v>171</v>
      </c>
      <c r="G43" t="s">
        <v>172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5">
        <v>46202</v>
      </c>
      <c r="B44" t="s">
        <v>75</v>
      </c>
      <c r="C44" s="6" t="s">
        <v>173</v>
      </c>
      <c r="D44" t="s">
        <v>13</v>
      </c>
      <c r="E44" t="s">
        <v>18</v>
      </c>
      <c r="F44" t="s">
        <v>18</v>
      </c>
      <c r="G44" t="s">
        <v>93</v>
      </c>
      <c r="H44" t="s">
        <v>11</v>
      </c>
      <c r="I44" t="str">
        <f>_xlfn.XLOOKUP(Tabla1[[#This Row],[Dependencia]],Tabla2[Dependencia],Tabla2[Clasificación],"No indexado")</f>
        <v>Partidos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46202</v>
      </c>
      <c r="B45" t="s">
        <v>75</v>
      </c>
      <c r="C45" s="6" t="s">
        <v>174</v>
      </c>
      <c r="D45" t="s">
        <v>9</v>
      </c>
      <c r="E45" t="s">
        <v>23</v>
      </c>
      <c r="F45" t="s">
        <v>127</v>
      </c>
      <c r="G45" t="s">
        <v>128</v>
      </c>
      <c r="H45" t="s">
        <v>103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5">
        <v>46202</v>
      </c>
      <c r="B46" t="s">
        <v>75</v>
      </c>
      <c r="C46" s="6" t="s">
        <v>175</v>
      </c>
      <c r="D46" t="s">
        <v>12</v>
      </c>
      <c r="E46" t="s">
        <v>40</v>
      </c>
      <c r="F46" t="s">
        <v>40</v>
      </c>
      <c r="G46" t="s">
        <v>176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x14ac:dyDescent="0.25">
      <c r="A47" s="5">
        <v>46202</v>
      </c>
      <c r="B47" t="s">
        <v>75</v>
      </c>
      <c r="C47" s="6" t="s">
        <v>177</v>
      </c>
      <c r="D47" t="s">
        <v>12</v>
      </c>
      <c r="E47" t="s">
        <v>23</v>
      </c>
      <c r="F47" t="s">
        <v>127</v>
      </c>
      <c r="G47" t="s">
        <v>128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5">
        <v>46202</v>
      </c>
      <c r="B48" t="s">
        <v>75</v>
      </c>
      <c r="C48" s="6" t="s">
        <v>178</v>
      </c>
      <c r="D48" t="s">
        <v>12</v>
      </c>
      <c r="E48" t="s">
        <v>22</v>
      </c>
      <c r="F48" t="s">
        <v>22</v>
      </c>
      <c r="G48" t="s">
        <v>88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25">
      <c r="A49" s="5">
        <v>46202</v>
      </c>
      <c r="B49" t="s">
        <v>75</v>
      </c>
      <c r="C49" s="6" t="s">
        <v>179</v>
      </c>
      <c r="D49" t="s">
        <v>12</v>
      </c>
      <c r="E49" t="s">
        <v>16</v>
      </c>
      <c r="F49" t="s">
        <v>16</v>
      </c>
      <c r="G49" t="s">
        <v>180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46202</v>
      </c>
      <c r="B50" t="s">
        <v>80</v>
      </c>
      <c r="C50" s="6" t="s">
        <v>181</v>
      </c>
      <c r="D50" t="s">
        <v>81</v>
      </c>
      <c r="E50" t="s">
        <v>18</v>
      </c>
      <c r="F50" t="s">
        <v>18</v>
      </c>
      <c r="G50" t="s">
        <v>93</v>
      </c>
      <c r="H50" t="s">
        <v>11</v>
      </c>
      <c r="I50" t="str">
        <f>_xlfn.XLOOKUP(Tabla1[[#This Row],[Dependencia]],Tabla2[Dependencia],Tabla2[Clasificación],"No indexado")</f>
        <v>Partidos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46202</v>
      </c>
      <c r="B51" t="s">
        <v>80</v>
      </c>
      <c r="C51" s="6" t="s">
        <v>182</v>
      </c>
      <c r="D51" t="s">
        <v>12</v>
      </c>
      <c r="E51" t="s">
        <v>16</v>
      </c>
      <c r="F51" t="s">
        <v>16</v>
      </c>
      <c r="G51" t="s">
        <v>87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46202</v>
      </c>
      <c r="B52" t="s">
        <v>80</v>
      </c>
      <c r="C52" s="6" t="s">
        <v>183</v>
      </c>
      <c r="D52" t="s">
        <v>13</v>
      </c>
      <c r="E52" t="s">
        <v>26</v>
      </c>
      <c r="F52" t="s">
        <v>184</v>
      </c>
      <c r="G52" t="s">
        <v>74</v>
      </c>
      <c r="H52" t="s">
        <v>69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5">
        <v>46202</v>
      </c>
      <c r="B53" t="s">
        <v>80</v>
      </c>
      <c r="C53" s="6" t="s">
        <v>185</v>
      </c>
      <c r="D53" t="s">
        <v>12</v>
      </c>
      <c r="E53" t="s">
        <v>16</v>
      </c>
      <c r="F53" t="s">
        <v>82</v>
      </c>
      <c r="G53" t="s">
        <v>186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46202</v>
      </c>
      <c r="B54" t="s">
        <v>80</v>
      </c>
      <c r="C54" s="6" t="s">
        <v>187</v>
      </c>
      <c r="D54" t="s">
        <v>12</v>
      </c>
      <c r="E54" t="s">
        <v>16</v>
      </c>
      <c r="F54" t="s">
        <v>16</v>
      </c>
      <c r="G54" t="s">
        <v>188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ht="45" x14ac:dyDescent="0.25">
      <c r="A55" s="5">
        <v>46202</v>
      </c>
      <c r="B55" t="s">
        <v>80</v>
      </c>
      <c r="C55" s="6" t="s">
        <v>189</v>
      </c>
      <c r="D55" t="s">
        <v>12</v>
      </c>
      <c r="E55" t="s">
        <v>56</v>
      </c>
      <c r="F55" t="s">
        <v>56</v>
      </c>
      <c r="G55" t="s">
        <v>190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5">
        <v>46202</v>
      </c>
      <c r="B56" t="s">
        <v>80</v>
      </c>
      <c r="C56" s="6" t="s">
        <v>191</v>
      </c>
      <c r="D56" t="s">
        <v>12</v>
      </c>
      <c r="E56" t="s">
        <v>56</v>
      </c>
      <c r="F56" t="s">
        <v>162</v>
      </c>
      <c r="G56" t="s">
        <v>163</v>
      </c>
      <c r="H56" t="s">
        <v>69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5">
        <v>46202</v>
      </c>
      <c r="B57" t="s">
        <v>80</v>
      </c>
      <c r="C57" s="6" t="s">
        <v>192</v>
      </c>
      <c r="D57" t="s">
        <v>12</v>
      </c>
      <c r="E57" t="s">
        <v>16</v>
      </c>
      <c r="F57" t="s">
        <v>16</v>
      </c>
      <c r="G57" t="s">
        <v>193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x14ac:dyDescent="0.25">
      <c r="A58" s="5">
        <v>46202</v>
      </c>
      <c r="B58" t="s">
        <v>80</v>
      </c>
      <c r="C58" s="6" t="s">
        <v>194</v>
      </c>
      <c r="D58" t="s">
        <v>12</v>
      </c>
      <c r="E58" t="s">
        <v>10</v>
      </c>
      <c r="F58" t="s">
        <v>10</v>
      </c>
      <c r="G58" t="s">
        <v>94</v>
      </c>
      <c r="H58" t="s">
        <v>11</v>
      </c>
      <c r="I58" t="str">
        <f>_xlfn.XLOOKUP(Tabla1[[#This Row],[Dependencia]],Tabla2[Dependencia],Tabla2[Clasificación],"No indexado")</f>
        <v>Otros</v>
      </c>
      <c r="J58" t="str">
        <f>_xlfn.XLOOKUP(Tabla1[[#This Row],[Dependencia]],Tabla3[Dependencia],Tabla3[Nivel],"otros",0)</f>
        <v>otros</v>
      </c>
    </row>
    <row r="59" spans="1:10" ht="30" x14ac:dyDescent="0.25">
      <c r="A59" s="5">
        <v>46202</v>
      </c>
      <c r="B59" t="s">
        <v>195</v>
      </c>
      <c r="C59" s="6" t="s">
        <v>196</v>
      </c>
      <c r="D59" t="s">
        <v>13</v>
      </c>
      <c r="E59" t="s">
        <v>36</v>
      </c>
      <c r="F59" t="s">
        <v>36</v>
      </c>
      <c r="G59" t="s">
        <v>98</v>
      </c>
      <c r="H59" t="s">
        <v>69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5">
        <v>46202</v>
      </c>
      <c r="B60" t="s">
        <v>195</v>
      </c>
      <c r="C60" s="6" t="s">
        <v>197</v>
      </c>
      <c r="D60" t="s">
        <v>12</v>
      </c>
      <c r="E60" t="s">
        <v>10</v>
      </c>
      <c r="F60" t="s">
        <v>10</v>
      </c>
      <c r="G60" t="s">
        <v>198</v>
      </c>
      <c r="H60" t="s">
        <v>11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  <row r="61" spans="1:10" ht="30" x14ac:dyDescent="0.25">
      <c r="A61" s="5">
        <v>46202</v>
      </c>
      <c r="B61" t="s">
        <v>195</v>
      </c>
      <c r="C61" s="6" t="s">
        <v>199</v>
      </c>
      <c r="D61" t="s">
        <v>12</v>
      </c>
      <c r="E61" t="s">
        <v>29</v>
      </c>
      <c r="F61" t="s">
        <v>200</v>
      </c>
      <c r="G61" t="s">
        <v>201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5">
        <v>46202</v>
      </c>
      <c r="B62" t="s">
        <v>195</v>
      </c>
      <c r="C62" s="6" t="s">
        <v>202</v>
      </c>
      <c r="D62" t="s">
        <v>12</v>
      </c>
      <c r="E62" t="s">
        <v>22</v>
      </c>
      <c r="F62" t="s">
        <v>22</v>
      </c>
      <c r="G62" t="s">
        <v>88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ht="30" x14ac:dyDescent="0.25">
      <c r="A63" s="5">
        <v>46202</v>
      </c>
      <c r="B63" t="s">
        <v>195</v>
      </c>
      <c r="C63" s="6" t="s">
        <v>203</v>
      </c>
      <c r="D63" t="s">
        <v>12</v>
      </c>
      <c r="E63" t="s">
        <v>26</v>
      </c>
      <c r="F63" t="s">
        <v>26</v>
      </c>
      <c r="G63" t="s">
        <v>143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5">
        <v>46202</v>
      </c>
      <c r="B64" t="s">
        <v>195</v>
      </c>
      <c r="C64" s="6" t="s">
        <v>204</v>
      </c>
      <c r="D64" t="s">
        <v>77</v>
      </c>
      <c r="E64" t="s">
        <v>26</v>
      </c>
      <c r="F64" t="s">
        <v>26</v>
      </c>
      <c r="G64" t="s">
        <v>205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5">
        <v>46202</v>
      </c>
      <c r="B65" t="s">
        <v>195</v>
      </c>
      <c r="C65" s="6" t="s">
        <v>206</v>
      </c>
      <c r="D65" t="s">
        <v>77</v>
      </c>
      <c r="E65" t="s">
        <v>16</v>
      </c>
      <c r="F65" t="s">
        <v>16</v>
      </c>
      <c r="G65" t="s">
        <v>207</v>
      </c>
      <c r="H65" t="s">
        <v>11</v>
      </c>
      <c r="I65" t="str">
        <f>_xlfn.XLOOKUP(Tabla1[[#This Row],[Dependencia]],Tabla2[Dependencia],Tabla2[Clasificación],"No indexado")</f>
        <v>Alcaldías</v>
      </c>
      <c r="J65" t="str">
        <f>_xlfn.XLOOKUP(Tabla1[[#This Row],[Dependencia]],Tabla3[Dependencia],Tabla3[Nivel],"otros",0)</f>
        <v>otros</v>
      </c>
    </row>
    <row r="66" spans="1:10" ht="30" x14ac:dyDescent="0.25">
      <c r="A66" s="5">
        <v>46202</v>
      </c>
      <c r="B66" t="s">
        <v>86</v>
      </c>
      <c r="C66" s="6" t="s">
        <v>208</v>
      </c>
      <c r="D66" t="s">
        <v>13</v>
      </c>
      <c r="E66" t="s">
        <v>22</v>
      </c>
      <c r="F66" t="s">
        <v>22</v>
      </c>
      <c r="G66" t="s">
        <v>88</v>
      </c>
      <c r="H66" t="s">
        <v>11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25">
      <c r="A67" s="5">
        <v>46202</v>
      </c>
      <c r="B67" t="s">
        <v>86</v>
      </c>
      <c r="C67" s="6" t="s">
        <v>209</v>
      </c>
      <c r="D67" t="s">
        <v>12</v>
      </c>
      <c r="E67" t="s">
        <v>16</v>
      </c>
      <c r="F67" t="s">
        <v>16</v>
      </c>
      <c r="G67" t="s">
        <v>188</v>
      </c>
      <c r="H67" t="s">
        <v>11</v>
      </c>
      <c r="I67" t="str">
        <f>_xlfn.XLOOKUP(Tabla1[[#This Row],[Dependencia]],Tabla2[Dependencia],Tabla2[Clasificación],"No indexado")</f>
        <v>Alcaldías</v>
      </c>
      <c r="J67" t="str">
        <f>_xlfn.XLOOKUP(Tabla1[[#This Row],[Dependencia]],Tabla3[Dependencia],Tabla3[Nivel],"otros",0)</f>
        <v>otros</v>
      </c>
    </row>
    <row r="68" spans="1:10" x14ac:dyDescent="0.25">
      <c r="A68" s="5">
        <v>46202</v>
      </c>
      <c r="B68" t="s">
        <v>86</v>
      </c>
      <c r="C68" s="6" t="s">
        <v>210</v>
      </c>
      <c r="D68" t="s">
        <v>12</v>
      </c>
      <c r="E68" t="s">
        <v>10</v>
      </c>
      <c r="F68" t="s">
        <v>10</v>
      </c>
      <c r="G68" t="s">
        <v>74</v>
      </c>
      <c r="H68" t="s">
        <v>11</v>
      </c>
      <c r="I68" t="str">
        <f>_xlfn.XLOOKUP(Tabla1[[#This Row],[Dependencia]],Tabla2[Dependencia],Tabla2[Clasificación],"No indexado")</f>
        <v>Otros</v>
      </c>
      <c r="J68" t="str">
        <f>_xlfn.XLOOKUP(Tabla1[[#This Row],[Dependencia]],Tabla3[Dependencia],Tabla3[Nivel],"otros",0)</f>
        <v>otros</v>
      </c>
    </row>
    <row r="69" spans="1:10" x14ac:dyDescent="0.25">
      <c r="A69" s="5">
        <v>46202</v>
      </c>
      <c r="B69" t="s">
        <v>86</v>
      </c>
      <c r="C69" s="6" t="s">
        <v>211</v>
      </c>
      <c r="D69" t="s">
        <v>12</v>
      </c>
      <c r="E69" t="s">
        <v>79</v>
      </c>
      <c r="F69" t="s">
        <v>132</v>
      </c>
      <c r="G69" t="s">
        <v>133</v>
      </c>
      <c r="H69" t="s">
        <v>11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Gabinete</v>
      </c>
    </row>
    <row r="70" spans="1:10" x14ac:dyDescent="0.25">
      <c r="A70" s="5">
        <v>46202</v>
      </c>
      <c r="B70" t="s">
        <v>86</v>
      </c>
      <c r="C70" s="6" t="s">
        <v>212</v>
      </c>
      <c r="D70" t="s">
        <v>12</v>
      </c>
      <c r="E70" t="s">
        <v>10</v>
      </c>
      <c r="F70" t="s">
        <v>10</v>
      </c>
      <c r="G70" t="s">
        <v>83</v>
      </c>
      <c r="H70" t="s">
        <v>11</v>
      </c>
      <c r="I70" t="str">
        <f>_xlfn.XLOOKUP(Tabla1[[#This Row],[Dependencia]],Tabla2[Dependencia],Tabla2[Clasificación],"No indexado")</f>
        <v>Otros</v>
      </c>
      <c r="J7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73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73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2026-06-29T14:51:30Z</dcterms:modified>
</cp:coreProperties>
</file>