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29F8766F-B158-4F13-A47C-C10D7D0A3484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2" i="1"/>
  <c r="I2" i="1"/>
</calcChain>
</file>

<file path=xl/sharedStrings.xml><?xml version="1.0" encoding="utf-8"?>
<sst xmlns="http://schemas.openxmlformats.org/spreadsheetml/2006/main" count="643" uniqueCount="191">
  <si>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</si>
  <si>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</si>
  <si>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</si>
  <si>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</si>
  <si>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</si>
  <si>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</si>
  <si>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</si>
  <si>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</si>
  <si>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</si>
  <si>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</si>
  <si>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</si>
  <si>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</si>
  <si>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</si>
  <si>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</si>
  <si>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</si>
  <si>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</si>
  <si>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</si>
  <si>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</si>
  <si>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</si>
  <si>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</si>
  <si>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</si>
  <si>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</si>
  <si>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</si>
  <si>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</si>
  <si>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</si>
  <si>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</si>
  <si>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</si>
  <si>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</si>
  <si>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</si>
  <si>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</si>
  <si>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</si>
  <si>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</si>
  <si>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</si>
  <si>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</si>
  <si>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</si>
  <si>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</si>
  <si>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</si>
  <si>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</si>
  <si>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</si>
  <si>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</si>
  <si>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</si>
  <si>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</si>
  <si>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</si>
  <si>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</si>
  <si>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</si>
  <si>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</si>
  <si>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</si>
  <si>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</si>
  <si>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</si>
  <si>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</si>
  <si>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</si>
  <si>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</si>
  <si>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</si>
  <si>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</si>
  <si>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</si>
  <si>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</si>
  <si>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</si>
  <si>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</si>
  <si>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</si>
  <si>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</si>
  <si>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</si>
  <si>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</si>
  <si>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</si>
  <si>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</si>
  <si>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</si>
  <si>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</si>
  <si>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</si>
  <si>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</si>
  <si>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</si>
  <si>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</si>
  <si>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</si>
  <si>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</si>
  <si>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Mundial De Futbol</t>
  </si>
  <si>
    <t>Effetá</t>
  </si>
  <si>
    <t>Marfeca</t>
  </si>
  <si>
    <t>Plaza Juárez</t>
  </si>
  <si>
    <t>Negativa</t>
  </si>
  <si>
    <t>Temas varios</t>
  </si>
  <si>
    <t>Alcalde</t>
  </si>
  <si>
    <t>Cintillo</t>
  </si>
  <si>
    <t>Zunoticia</t>
  </si>
  <si>
    <t>Publicidad</t>
  </si>
  <si>
    <t>Milenio Hidalgo</t>
  </si>
  <si>
    <t>Luminarias</t>
  </si>
  <si>
    <t>Feria Pachuca</t>
  </si>
  <si>
    <t>Accidente Vial</t>
  </si>
  <si>
    <t>Accidente transporte público</t>
  </si>
  <si>
    <t>OEEH</t>
  </si>
  <si>
    <t>VideoMapping</t>
  </si>
  <si>
    <t>Video Mapping</t>
  </si>
  <si>
    <t>Una sola voz contra la trata</t>
  </si>
  <si>
    <t>Combate a trata de personas</t>
  </si>
  <si>
    <t>Proponen una estrategia de conservación</t>
  </si>
  <si>
    <t>Proyecto de urbanización</t>
  </si>
  <si>
    <t>Protestan por aclaraciones en pesquisas</t>
  </si>
  <si>
    <t>Búsqueda de personas</t>
  </si>
  <si>
    <t>Duelo entre campeones</t>
  </si>
  <si>
    <t>Plantean la creación de un nuevo municipio</t>
  </si>
  <si>
    <t>Municipalización</t>
  </si>
  <si>
    <t>Reconocen a brigadistas de incendios forestales</t>
  </si>
  <si>
    <t>Entrega de reconocimientos</t>
  </si>
  <si>
    <t>Xoconostle un remedio para enfermedades</t>
  </si>
  <si>
    <t>Una semifinal entre los favoritos</t>
  </si>
  <si>
    <t>Construcción en Cubitos compete al gobierno federal</t>
  </si>
  <si>
    <t>Denuncian 2 incendios provocados</t>
  </si>
  <si>
    <t>Incendios forestales</t>
  </si>
  <si>
    <t>Furor por el palenque: filas alcanzaron un kilómetro</t>
  </si>
  <si>
    <t>Detectan a 20 mil personas para apoyos prioritarios</t>
  </si>
  <si>
    <t>Detección de necesidades</t>
  </si>
  <si>
    <t>Destinan 32 mdp para tratar niños con cáncer</t>
  </si>
  <si>
    <t>Cáncer Infantil</t>
  </si>
  <si>
    <t>Reavivan su rivalidad</t>
  </si>
  <si>
    <t>Semifinal de lujo</t>
  </si>
  <si>
    <t>Prevén ajustar la tarifa de los taxis antes de la Feria</t>
  </si>
  <si>
    <t>Tarifario de taxis</t>
  </si>
  <si>
    <t>Hidalgo acumula 144 incendios del tipo forestal en lo que va del año</t>
  </si>
  <si>
    <t>Rehabilitarán pisal de Byron Gálvez</t>
  </si>
  <si>
    <t>Pisal Ben Gurión</t>
  </si>
  <si>
    <t>Exigen más dinero para la búsqueda de personas</t>
  </si>
  <si>
    <t>Oferta académica para formación de abogados, amplia, en jurídica: López</t>
  </si>
  <si>
    <t>Oferta académica</t>
  </si>
  <si>
    <t>Contra los accidentes, licencias más estrictas y cultura vial: JMS</t>
  </si>
  <si>
    <t>Licencia de conducir</t>
  </si>
  <si>
    <t>Cada dos minutos ocurre un siniestro en el país</t>
  </si>
  <si>
    <t>Colosio, Minero y Felipe Ángeles, con más choques</t>
  </si>
  <si>
    <t>Más iluminación y menos consumo, la apuesta con el nuevo alumbrado</t>
  </si>
  <si>
    <t>Jugará la reina de Wimbledon en el Abierto de Monterrey</t>
  </si>
  <si>
    <t>Deportes</t>
  </si>
  <si>
    <t>Reconocen labor de combatientes de incendios forestales</t>
  </si>
  <si>
    <t>Adiós al doctor Grant con notas de Jurassic Park</t>
  </si>
  <si>
    <t>Francia e Inglaterra, ven IA y apostadores</t>
  </si>
  <si>
    <t>Documentan que el ICE estrangula, patea y gasea a los migrantes</t>
  </si>
  <si>
    <t>Temas internacionales</t>
  </si>
  <si>
    <t>Más de 210 mil estudiantes concluyen ciclo</t>
  </si>
  <si>
    <t>Cobertura educativa</t>
  </si>
  <si>
    <t>Hidalgo forma parte de estrategia global contra inundaciones</t>
  </si>
  <si>
    <t>Prevención de inundaciones</t>
  </si>
  <si>
    <t>Dudas del gobierno en torno al informe de CNDH sobre Ayotzinapa</t>
  </si>
  <si>
    <t>Informe CNDH</t>
  </si>
  <si>
    <t>Buscará gobierno medidas contra reventas en feria de Pachuca</t>
  </si>
  <si>
    <t>La relación entre México, Estados Unidos y Canadá ha demostrado que la prosperidad compartida  no depende exclusivamente de los acuerdos comerciales. Durante más de tres décadas, el proceso de  integración económica transformó a Norteamérica en uno de los mercados más dinámicos del mundo”.</t>
  </si>
  <si>
    <t>Paramédicos enfrentan historias que los marcan</t>
  </si>
  <si>
    <t>Reconocen a combatientes forestales; suman 598 incendios en lo que va de la administración</t>
  </si>
  <si>
    <t>Gobierno federal definirá si Cerro de Cubitos será de conservación: Semarnath</t>
  </si>
  <si>
    <t>Va gobierno contra reventa de boletos del Palenque ferial</t>
  </si>
  <si>
    <t>Albergará Huasca Sexto Campeonato Nacional de pesca de Trucha Inclusiva</t>
  </si>
  <si>
    <t>Inhide</t>
  </si>
  <si>
    <t>Turismo inclusivo</t>
  </si>
  <si>
    <t>Julio Menchaca enaltece labor de combatientes de incendios forestales</t>
  </si>
  <si>
    <t>UCTAHH buscará ordenar espacios en el tianguis dominical de Huejutla</t>
  </si>
  <si>
    <t>Transportistas bloquearon la Tehueltán-Huazalingo</t>
  </si>
  <si>
    <t>Bloqueo Carretero</t>
  </si>
  <si>
    <t>INE Huejutla reconoce retraso en la entrega de credenciales para votar</t>
  </si>
  <si>
    <t>Credencialización</t>
  </si>
  <si>
    <t>Hidalgo refuerza vigilancia frente al gusano barrenador</t>
  </si>
  <si>
    <t>Copriseh</t>
  </si>
  <si>
    <t>Gusano barrenador</t>
  </si>
  <si>
    <t>Oficialía Mayor recupera y moderniza espacios públicoss</t>
  </si>
  <si>
    <t>Recuperación De Espacios Públicos</t>
  </si>
  <si>
    <t>Madres buscadoras marchan en Pachuca</t>
  </si>
  <si>
    <t>Menchaca llama a no adquirir reventa para el Palenque de Pachuca</t>
  </si>
  <si>
    <t>PRI Hidalgo señala estrategia para ser debilitados</t>
  </si>
  <si>
    <t>PRI</t>
  </si>
  <si>
    <t>Conspiración</t>
  </si>
  <si>
    <t>Hidalgo revisa concesiones ante aumento de accidentes del transporte</t>
  </si>
  <si>
    <t>STCH</t>
  </si>
  <si>
    <t>Semarnath busca frenar urbanización en el Cerro de Cubitos</t>
  </si>
  <si>
    <t>Largas filas marcan el arranque de la venta de boletos para el Palenque de Pachuca</t>
  </si>
  <si>
    <t>Claudia Sandoval supervisa obra de agua potable en Bojay</t>
  </si>
  <si>
    <t>Supervisión de obra</t>
  </si>
  <si>
    <t>Menchaca enaltece labor de combatientes de incendios forestales</t>
  </si>
  <si>
    <t>Con inversión de más de 5 mdp, Cristhian Martínez inaugura pavimentación asfáltica en El Salitre</t>
  </si>
  <si>
    <t>Pavimentación</t>
  </si>
  <si>
    <t>Lety Reyes encabeza arranque de dos pavimentaciones en Tlahuelilpan con inversión superior a 2.8 mdp</t>
  </si>
  <si>
    <t>El Caic Tlaxcoapan entrega una nueva generación de estudiantes</t>
  </si>
  <si>
    <t>Graduación</t>
  </si>
  <si>
    <t>Gabinete de Seguridad de Hidalgo despliega operativo por vacaciones de verano</t>
  </si>
  <si>
    <t>Reunión Gabinete De Seguridad</t>
  </si>
  <si>
    <t>IEEH da cumplimiento a nueva REsolución dictada por el Tribunal Laboral del PJEH</t>
  </si>
  <si>
    <t>Educación en Hidlago consolida resultados con mayor cobertura y eficiencia escolar</t>
  </si>
  <si>
    <t>Presentan Tuzos nuevo jersey para próxima temporada</t>
  </si>
  <si>
    <t>Pachuca lanza convocatoria del Premio Municipal de la Juventud 2026</t>
  </si>
  <si>
    <t>Convocatoria</t>
  </si>
  <si>
    <t>Largas filas en arranque de venta de boletos para palenque</t>
  </si>
  <si>
    <t>Planean aprovechar el agua pluvial y evitar inundaciones</t>
  </si>
  <si>
    <t>Concluye temporada alta de incendios forestales</t>
  </si>
  <si>
    <t>México denunció ante EE.UU. la muerte de 17 connacionales</t>
  </si>
  <si>
    <t>Recupera Gobierno más de 386 inmuebles</t>
  </si>
  <si>
    <t>Faltó planear el crecimiento urbano de Pachuca. Surgieron los fraccionamientos por todos lados a pesar de que no hay suficiente agua ni infraestructura para una movilidad adecuada, ahora solo queda remediar los problemas</t>
  </si>
  <si>
    <t>Editorial</t>
  </si>
  <si>
    <t>Planeación municipal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</si>
</sst>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0" totalsRowShown="0" headerRowDxfId="5" headerRowBorderDxfId="4">
  <autoFilter ref="A1:J70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0"/>
  <sheetViews>
    <sheetView tabSelected="1" workbookViewId="0">
      <selection activeCell="A2" sqref="A2:H70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46217</v>
      </c>
      <c r="B2" t="s">
        <v>67</v>
      </c>
      <c r="C2" s="5" t="s">
        <v>92</v>
      </c>
      <c r="D2" t="s">
        <v>12</v>
      </c>
      <c r="E2" t="s">
        <v>20</v>
      </c>
      <c r="F2" t="s">
        <v>20</v>
      </c>
      <c r="G2" t="s">
        <v>93</v>
      </c>
      <c r="H2" t="s">
        <v>11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Gabinete</v>
      </c>
    </row>
    <row r="3" spans="1:10" x14ac:dyDescent="0.25">
      <c r="A3" s="11">
        <v>46217</v>
      </c>
      <c r="B3" t="s">
        <v>67</v>
      </c>
      <c r="C3" s="5" t="s">
        <v>94</v>
      </c>
      <c r="D3" t="s">
        <v>9</v>
      </c>
      <c r="E3" t="s">
        <v>17</v>
      </c>
      <c r="F3" t="s">
        <v>17</v>
      </c>
      <c r="G3" t="s">
        <v>95</v>
      </c>
      <c r="H3" t="s">
        <v>76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1">
        <v>46217</v>
      </c>
      <c r="B4" t="s">
        <v>67</v>
      </c>
      <c r="C4" s="5" t="s">
        <v>96</v>
      </c>
      <c r="D4" t="s">
        <v>12</v>
      </c>
      <c r="E4" t="s">
        <v>10</v>
      </c>
      <c r="F4" t="s">
        <v>10</v>
      </c>
      <c r="G4" t="s">
        <v>72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46217</v>
      </c>
      <c r="B5" t="s">
        <v>67</v>
      </c>
      <c r="C5" s="5" t="s">
        <v>97</v>
      </c>
      <c r="D5" t="s">
        <v>13</v>
      </c>
      <c r="E5" t="s">
        <v>16</v>
      </c>
      <c r="F5" t="s">
        <v>16</v>
      </c>
      <c r="G5" t="s">
        <v>98</v>
      </c>
      <c r="H5" t="s">
        <v>76</v>
      </c>
      <c r="I5" t="str">
        <f>_xlfn.XLOOKUP(Tabla1[[#This Row],[Dependencia]],Tabla2[Dependencia],Tabla2[Clasificación],"XXX",0)</f>
        <v>Alcaldías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46217</v>
      </c>
      <c r="B6" t="s">
        <v>67</v>
      </c>
      <c r="C6" s="5" t="s">
        <v>99</v>
      </c>
      <c r="D6" t="s">
        <v>12</v>
      </c>
      <c r="E6" t="s">
        <v>24</v>
      </c>
      <c r="F6" t="s">
        <v>24</v>
      </c>
      <c r="G6" t="s">
        <v>100</v>
      </c>
      <c r="H6" t="s">
        <v>68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Gobernador</v>
      </c>
    </row>
    <row r="7" spans="1:10" x14ac:dyDescent="0.25">
      <c r="A7" s="11">
        <v>46217</v>
      </c>
      <c r="B7" t="s">
        <v>67</v>
      </c>
      <c r="C7" s="5" t="s">
        <v>101</v>
      </c>
      <c r="D7" t="s">
        <v>12</v>
      </c>
      <c r="E7" t="s">
        <v>10</v>
      </c>
      <c r="F7" t="s">
        <v>10</v>
      </c>
      <c r="G7" t="s">
        <v>77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46217</v>
      </c>
      <c r="B8" t="s">
        <v>67</v>
      </c>
      <c r="C8" s="5" t="s">
        <v>102</v>
      </c>
      <c r="D8" t="s">
        <v>12</v>
      </c>
      <c r="E8" t="s">
        <v>10</v>
      </c>
      <c r="F8" t="s">
        <v>10</v>
      </c>
      <c r="G8" t="s">
        <v>72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46217</v>
      </c>
      <c r="B9" t="s">
        <v>67</v>
      </c>
      <c r="C9" s="5" t="s">
        <v>103</v>
      </c>
      <c r="D9" t="s">
        <v>12</v>
      </c>
      <c r="E9" t="s">
        <v>20</v>
      </c>
      <c r="F9" t="s">
        <v>20</v>
      </c>
      <c r="G9" t="s">
        <v>93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11">
        <v>46217</v>
      </c>
      <c r="B10" t="s">
        <v>67</v>
      </c>
      <c r="C10" s="5" t="s">
        <v>104</v>
      </c>
      <c r="D10" t="s">
        <v>12</v>
      </c>
      <c r="E10" t="s">
        <v>24</v>
      </c>
      <c r="F10" t="s">
        <v>24</v>
      </c>
      <c r="G10" t="s">
        <v>105</v>
      </c>
      <c r="H10" t="s">
        <v>11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Gobernador</v>
      </c>
    </row>
    <row r="11" spans="1:10" x14ac:dyDescent="0.25">
      <c r="A11" s="11">
        <v>46217</v>
      </c>
      <c r="B11" t="s">
        <v>67</v>
      </c>
      <c r="C11" s="5" t="s">
        <v>106</v>
      </c>
      <c r="D11" t="s">
        <v>9</v>
      </c>
      <c r="E11" t="s">
        <v>29</v>
      </c>
      <c r="F11" t="s">
        <v>87</v>
      </c>
      <c r="G11" t="s">
        <v>84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11">
        <v>46217</v>
      </c>
      <c r="B12" t="s">
        <v>67</v>
      </c>
      <c r="C12" s="5" t="s">
        <v>107</v>
      </c>
      <c r="D12" t="s">
        <v>13</v>
      </c>
      <c r="E12" t="s">
        <v>16</v>
      </c>
      <c r="F12" t="s">
        <v>16</v>
      </c>
      <c r="G12" t="s">
        <v>108</v>
      </c>
      <c r="H12" t="s">
        <v>11</v>
      </c>
      <c r="I12" t="str">
        <f>_xlfn.XLOOKUP(Tabla1[[#This Row],[Dependencia]],Tabla2[Dependencia],Tabla2[Clasificación],"XXX",0)</f>
        <v>Alcaldías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46217</v>
      </c>
      <c r="B13" t="s">
        <v>67</v>
      </c>
      <c r="C13" s="5" t="s">
        <v>109</v>
      </c>
      <c r="D13" t="s">
        <v>12</v>
      </c>
      <c r="E13" t="s">
        <v>36</v>
      </c>
      <c r="F13" t="s">
        <v>36</v>
      </c>
      <c r="G13" t="s">
        <v>110</v>
      </c>
      <c r="H13" t="s">
        <v>68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25">
      <c r="A14" s="11">
        <v>46217</v>
      </c>
      <c r="B14" t="s">
        <v>67</v>
      </c>
      <c r="C14" s="5" t="s">
        <v>111</v>
      </c>
      <c r="D14" t="s">
        <v>12</v>
      </c>
      <c r="E14" t="s">
        <v>10</v>
      </c>
      <c r="F14" t="s">
        <v>10</v>
      </c>
      <c r="G14" t="s">
        <v>72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46217</v>
      </c>
      <c r="B15" t="s">
        <v>67</v>
      </c>
      <c r="C15" s="5" t="s">
        <v>112</v>
      </c>
      <c r="D15" t="s">
        <v>12</v>
      </c>
      <c r="E15" t="s">
        <v>10</v>
      </c>
      <c r="F15" t="s">
        <v>10</v>
      </c>
      <c r="G15" t="s">
        <v>72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46217</v>
      </c>
      <c r="B16" t="s">
        <v>67</v>
      </c>
      <c r="C16" s="5" t="s">
        <v>113</v>
      </c>
      <c r="D16" t="s">
        <v>13</v>
      </c>
      <c r="E16" t="s">
        <v>24</v>
      </c>
      <c r="F16" t="s">
        <v>24</v>
      </c>
      <c r="G16" t="s">
        <v>114</v>
      </c>
      <c r="H16" t="s">
        <v>68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Gobernador</v>
      </c>
    </row>
    <row r="17" spans="1:10" ht="30" x14ac:dyDescent="0.25">
      <c r="A17" s="11">
        <v>46217</v>
      </c>
      <c r="B17" t="s">
        <v>67</v>
      </c>
      <c r="C17" s="5" t="s">
        <v>115</v>
      </c>
      <c r="D17" t="s">
        <v>12</v>
      </c>
      <c r="E17" t="s">
        <v>20</v>
      </c>
      <c r="F17" t="s">
        <v>20</v>
      </c>
      <c r="G17" t="s">
        <v>105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11">
        <v>46217</v>
      </c>
      <c r="B18" t="s">
        <v>67</v>
      </c>
      <c r="C18" s="5" t="s">
        <v>116</v>
      </c>
      <c r="D18" t="s">
        <v>12</v>
      </c>
      <c r="E18" t="s">
        <v>21</v>
      </c>
      <c r="F18" t="s">
        <v>21</v>
      </c>
      <c r="G18" t="s">
        <v>117</v>
      </c>
      <c r="H18" t="s">
        <v>68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25">
      <c r="A19" s="11">
        <v>46217</v>
      </c>
      <c r="B19" t="s">
        <v>67</v>
      </c>
      <c r="C19" s="5" t="s">
        <v>118</v>
      </c>
      <c r="D19" t="s">
        <v>9</v>
      </c>
      <c r="E19" t="s">
        <v>17</v>
      </c>
      <c r="F19" t="s">
        <v>17</v>
      </c>
      <c r="G19" t="s">
        <v>95</v>
      </c>
      <c r="H19" t="s">
        <v>76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11">
        <v>46217</v>
      </c>
      <c r="B20" t="s">
        <v>67</v>
      </c>
      <c r="C20" s="5" t="s">
        <v>119</v>
      </c>
      <c r="D20" t="s">
        <v>12</v>
      </c>
      <c r="E20" t="s">
        <v>10</v>
      </c>
      <c r="F20" t="s">
        <v>10</v>
      </c>
      <c r="G20" t="s">
        <v>120</v>
      </c>
      <c r="H20" t="s">
        <v>68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46217</v>
      </c>
      <c r="B21" t="s">
        <v>82</v>
      </c>
      <c r="C21" s="5" t="s">
        <v>121</v>
      </c>
      <c r="D21" t="s">
        <v>13</v>
      </c>
      <c r="E21" t="s">
        <v>24</v>
      </c>
      <c r="F21" t="s">
        <v>24</v>
      </c>
      <c r="G21" t="s">
        <v>122</v>
      </c>
      <c r="H21" t="s">
        <v>68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Gobernador</v>
      </c>
    </row>
    <row r="22" spans="1:10" x14ac:dyDescent="0.25">
      <c r="A22" s="11">
        <v>46217</v>
      </c>
      <c r="B22" t="s">
        <v>82</v>
      </c>
      <c r="C22" s="5" t="s">
        <v>123</v>
      </c>
      <c r="D22" t="s">
        <v>12</v>
      </c>
      <c r="E22" t="s">
        <v>10</v>
      </c>
      <c r="F22" t="s">
        <v>10</v>
      </c>
      <c r="G22" t="s">
        <v>85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46217</v>
      </c>
      <c r="B23" t="s">
        <v>82</v>
      </c>
      <c r="C23" s="5" t="s">
        <v>124</v>
      </c>
      <c r="D23" t="s">
        <v>12</v>
      </c>
      <c r="E23" t="s">
        <v>10</v>
      </c>
      <c r="F23" t="s">
        <v>10</v>
      </c>
      <c r="G23" t="s">
        <v>85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ht="30" x14ac:dyDescent="0.25">
      <c r="A24" s="11">
        <v>46217</v>
      </c>
      <c r="B24" t="s">
        <v>82</v>
      </c>
      <c r="C24" s="5" t="s">
        <v>125</v>
      </c>
      <c r="D24" t="s">
        <v>12</v>
      </c>
      <c r="E24" t="s">
        <v>16</v>
      </c>
      <c r="F24" t="s">
        <v>16</v>
      </c>
      <c r="G24" t="s">
        <v>83</v>
      </c>
      <c r="H24" t="s">
        <v>68</v>
      </c>
      <c r="I24" t="str">
        <f>_xlfn.XLOOKUP(Tabla1[[#This Row],[Dependencia]],Tabla2[Dependencia],Tabla2[Clasificación],"XXX",0)</f>
        <v>Alcaldías</v>
      </c>
      <c r="J24" t="str">
        <f>_xlfn.XLOOKUP(Tabla1[[#This Row],[Dependencia]],Tabla3[Dependencia],Tabla3[Nivel],"Otros",0)</f>
        <v>Otros</v>
      </c>
    </row>
    <row r="25" spans="1:10" ht="30" x14ac:dyDescent="0.25">
      <c r="A25" s="11">
        <v>46217</v>
      </c>
      <c r="B25" t="s">
        <v>82</v>
      </c>
      <c r="C25" s="5" t="s">
        <v>126</v>
      </c>
      <c r="D25" t="s">
        <v>12</v>
      </c>
      <c r="E25" t="s">
        <v>10</v>
      </c>
      <c r="F25" t="s">
        <v>10</v>
      </c>
      <c r="G25" t="s">
        <v>127</v>
      </c>
      <c r="H25" t="s">
        <v>11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ht="30" x14ac:dyDescent="0.25">
      <c r="A26" s="11">
        <v>46217</v>
      </c>
      <c r="B26" t="s">
        <v>82</v>
      </c>
      <c r="C26" s="5" t="s">
        <v>128</v>
      </c>
      <c r="D26" t="s">
        <v>9</v>
      </c>
      <c r="E26" t="s">
        <v>24</v>
      </c>
      <c r="F26" t="s">
        <v>24</v>
      </c>
      <c r="G26" t="s">
        <v>100</v>
      </c>
      <c r="H26" t="s">
        <v>68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Gobernador</v>
      </c>
    </row>
    <row r="27" spans="1:10" x14ac:dyDescent="0.25">
      <c r="A27" s="11">
        <v>46217</v>
      </c>
      <c r="B27" t="s">
        <v>82</v>
      </c>
      <c r="C27" s="5" t="s">
        <v>129</v>
      </c>
      <c r="D27" t="s">
        <v>12</v>
      </c>
      <c r="E27" t="s">
        <v>10</v>
      </c>
      <c r="F27" t="s">
        <v>10</v>
      </c>
      <c r="G27" t="s">
        <v>77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x14ac:dyDescent="0.25">
      <c r="A28" s="11">
        <v>46217</v>
      </c>
      <c r="B28" t="s">
        <v>82</v>
      </c>
      <c r="C28" s="5" t="s">
        <v>130</v>
      </c>
      <c r="D28" t="s">
        <v>12</v>
      </c>
      <c r="E28" t="s">
        <v>10</v>
      </c>
      <c r="F28" t="s">
        <v>10</v>
      </c>
      <c r="G28" t="s">
        <v>72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46217</v>
      </c>
      <c r="B29" t="s">
        <v>82</v>
      </c>
      <c r="C29" s="5" t="s">
        <v>131</v>
      </c>
      <c r="D29" t="s">
        <v>12</v>
      </c>
      <c r="E29" t="s">
        <v>10</v>
      </c>
      <c r="F29" t="s">
        <v>10</v>
      </c>
      <c r="G29" t="s">
        <v>132</v>
      </c>
      <c r="H29" t="s">
        <v>76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x14ac:dyDescent="0.25">
      <c r="A30" s="11">
        <v>46217</v>
      </c>
      <c r="B30" t="s">
        <v>70</v>
      </c>
      <c r="C30" s="5" t="s">
        <v>133</v>
      </c>
      <c r="D30" t="s">
        <v>12</v>
      </c>
      <c r="E30" t="s">
        <v>26</v>
      </c>
      <c r="F30" t="s">
        <v>26</v>
      </c>
      <c r="G30" t="s">
        <v>134</v>
      </c>
      <c r="H30" t="s">
        <v>68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11">
        <v>46217</v>
      </c>
      <c r="B31" t="s">
        <v>70</v>
      </c>
      <c r="C31" s="5" t="s">
        <v>135</v>
      </c>
      <c r="D31" t="s">
        <v>13</v>
      </c>
      <c r="E31" t="s">
        <v>47</v>
      </c>
      <c r="F31" t="s">
        <v>47</v>
      </c>
      <c r="G31" t="s">
        <v>136</v>
      </c>
      <c r="H31" t="s">
        <v>11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Gabinete</v>
      </c>
    </row>
    <row r="32" spans="1:10" ht="30" x14ac:dyDescent="0.25">
      <c r="A32" s="11">
        <v>46217</v>
      </c>
      <c r="B32" t="s">
        <v>70</v>
      </c>
      <c r="C32" s="5" t="s">
        <v>137</v>
      </c>
      <c r="D32" t="s">
        <v>12</v>
      </c>
      <c r="E32" t="s">
        <v>14</v>
      </c>
      <c r="F32" t="s">
        <v>14</v>
      </c>
      <c r="G32" t="s">
        <v>138</v>
      </c>
      <c r="H32" t="s">
        <v>11</v>
      </c>
      <c r="I32" t="str">
        <f>_xlfn.XLOOKUP(Tabla1[[#This Row],[Dependencia]],Tabla2[Dependencia],Tabla2[Clasificación],"XXX",0)</f>
        <v>Presidencia de la República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46217</v>
      </c>
      <c r="B33" t="s">
        <v>70</v>
      </c>
      <c r="C33" s="5" t="s">
        <v>139</v>
      </c>
      <c r="D33" t="s">
        <v>9</v>
      </c>
      <c r="E33" t="s">
        <v>24</v>
      </c>
      <c r="F33" t="s">
        <v>24</v>
      </c>
      <c r="G33" t="s">
        <v>84</v>
      </c>
      <c r="H33" t="s">
        <v>68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Gobernador</v>
      </c>
    </row>
    <row r="34" spans="1:10" ht="90" x14ac:dyDescent="0.25">
      <c r="A34" s="11">
        <v>46217</v>
      </c>
      <c r="B34" t="s">
        <v>70</v>
      </c>
      <c r="C34" s="5" t="s">
        <v>140</v>
      </c>
      <c r="D34" t="s">
        <v>12</v>
      </c>
      <c r="E34" t="s">
        <v>10</v>
      </c>
      <c r="F34" t="s">
        <v>10</v>
      </c>
      <c r="G34" t="s">
        <v>132</v>
      </c>
      <c r="H34" t="s">
        <v>11</v>
      </c>
      <c r="I34" t="str">
        <f>_xlfn.XLOOKUP(Tabla1[[#This Row],[Dependencia]],Tabla2[Dependencia],Tabla2[Clasificación],"XXX",0)</f>
        <v>Otros</v>
      </c>
      <c r="J34" t="str">
        <f>_xlfn.XLOOKUP(Tabla1[[#This Row],[Dependencia]],Tabla3[Dependencia],Tabla3[Nivel],"Otros",0)</f>
        <v>Otros</v>
      </c>
    </row>
    <row r="35" spans="1:10" x14ac:dyDescent="0.25">
      <c r="A35" s="11">
        <v>46217</v>
      </c>
      <c r="B35" t="s">
        <v>69</v>
      </c>
      <c r="C35" s="5" t="s">
        <v>141</v>
      </c>
      <c r="D35" t="s">
        <v>13</v>
      </c>
      <c r="E35" t="s">
        <v>10</v>
      </c>
      <c r="F35" t="s">
        <v>10</v>
      </c>
      <c r="G35" t="s">
        <v>77</v>
      </c>
      <c r="H35" t="s">
        <v>11</v>
      </c>
      <c r="I35" t="str">
        <f>_xlfn.XLOOKUP(Tabla1[[#This Row],[Dependencia]],Tabla2[Dependencia],Tabla2[Clasificación],"XXX",0)</f>
        <v>Otros</v>
      </c>
      <c r="J35" t="str">
        <f>_xlfn.XLOOKUP(Tabla1[[#This Row],[Dependencia]],Tabla3[Dependencia],Tabla3[Nivel],"Otros",0)</f>
        <v>Otros</v>
      </c>
    </row>
    <row r="36" spans="1:10" ht="30" x14ac:dyDescent="0.25">
      <c r="A36" s="11">
        <v>46217</v>
      </c>
      <c r="B36" t="s">
        <v>69</v>
      </c>
      <c r="C36" s="5" t="s">
        <v>142</v>
      </c>
      <c r="D36" t="s">
        <v>12</v>
      </c>
      <c r="E36" t="s">
        <v>24</v>
      </c>
      <c r="F36" t="s">
        <v>24</v>
      </c>
      <c r="G36" t="s">
        <v>100</v>
      </c>
      <c r="H36" t="s">
        <v>68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Gobernador</v>
      </c>
    </row>
    <row r="37" spans="1:10" ht="30" x14ac:dyDescent="0.25">
      <c r="A37" s="11">
        <v>46217</v>
      </c>
      <c r="B37" t="s">
        <v>69</v>
      </c>
      <c r="C37" s="5" t="s">
        <v>143</v>
      </c>
      <c r="D37" t="s">
        <v>12</v>
      </c>
      <c r="E37" t="s">
        <v>20</v>
      </c>
      <c r="F37" t="s">
        <v>20</v>
      </c>
      <c r="G37" t="s">
        <v>93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46217</v>
      </c>
      <c r="B38" t="s">
        <v>69</v>
      </c>
      <c r="C38" s="5" t="s">
        <v>144</v>
      </c>
      <c r="D38" t="s">
        <v>12</v>
      </c>
      <c r="E38" t="s">
        <v>38</v>
      </c>
      <c r="F38" t="s">
        <v>38</v>
      </c>
      <c r="G38" t="s">
        <v>84</v>
      </c>
      <c r="H38" t="s">
        <v>68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11">
        <v>46217</v>
      </c>
      <c r="B39" t="s">
        <v>69</v>
      </c>
      <c r="C39" s="5" t="s">
        <v>145</v>
      </c>
      <c r="D39" t="s">
        <v>12</v>
      </c>
      <c r="E39" t="s">
        <v>26</v>
      </c>
      <c r="F39" t="s">
        <v>146</v>
      </c>
      <c r="G39" t="s">
        <v>147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11">
        <v>46217</v>
      </c>
      <c r="B40" t="s">
        <v>80</v>
      </c>
      <c r="C40" s="5" t="s">
        <v>148</v>
      </c>
      <c r="D40" t="s">
        <v>12</v>
      </c>
      <c r="E40" t="s">
        <v>24</v>
      </c>
      <c r="F40" t="s">
        <v>24</v>
      </c>
      <c r="G40" t="s">
        <v>100</v>
      </c>
      <c r="H40" t="s">
        <v>68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Gobernador</v>
      </c>
    </row>
    <row r="41" spans="1:10" ht="30" x14ac:dyDescent="0.25">
      <c r="A41" s="11">
        <v>46217</v>
      </c>
      <c r="B41" t="s">
        <v>80</v>
      </c>
      <c r="C41" s="5" t="s">
        <v>149</v>
      </c>
      <c r="D41" t="s">
        <v>12</v>
      </c>
      <c r="E41" t="s">
        <v>10</v>
      </c>
      <c r="F41" t="s">
        <v>10</v>
      </c>
      <c r="G41" t="s">
        <v>77</v>
      </c>
      <c r="H41" t="s">
        <v>11</v>
      </c>
      <c r="I41" t="str">
        <f>_xlfn.XLOOKUP(Tabla1[[#This Row],[Dependencia]],Tabla2[Dependencia],Tabla2[Clasificación],"XXX",0)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11">
        <v>46217</v>
      </c>
      <c r="B42" t="s">
        <v>80</v>
      </c>
      <c r="C42" s="5" t="s">
        <v>150</v>
      </c>
      <c r="D42" t="s">
        <v>13</v>
      </c>
      <c r="E42" t="s">
        <v>16</v>
      </c>
      <c r="F42" t="s">
        <v>78</v>
      </c>
      <c r="G42" t="s">
        <v>151</v>
      </c>
      <c r="H42" t="s">
        <v>76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ht="30" x14ac:dyDescent="0.25">
      <c r="A43" s="11">
        <v>46217</v>
      </c>
      <c r="B43" t="s">
        <v>80</v>
      </c>
      <c r="C43" s="5" t="s">
        <v>152</v>
      </c>
      <c r="D43" t="s">
        <v>12</v>
      </c>
      <c r="E43" t="s">
        <v>10</v>
      </c>
      <c r="F43" t="s">
        <v>10</v>
      </c>
      <c r="G43" t="s">
        <v>153</v>
      </c>
      <c r="H43" t="s">
        <v>76</v>
      </c>
      <c r="I43" t="str">
        <f>_xlfn.XLOOKUP(Tabla1[[#This Row],[Dependencia]],Tabla2[Dependencia],Tabla2[Clasificación],"XXX",0)</f>
        <v>Otros</v>
      </c>
      <c r="J43" t="str">
        <f>_xlfn.XLOOKUP(Tabla1[[#This Row],[Dependencia]],Tabla3[Dependencia],Tabla3[Nivel],"Otros",0)</f>
        <v>Otros</v>
      </c>
    </row>
    <row r="44" spans="1:10" x14ac:dyDescent="0.25">
      <c r="A44" s="11">
        <v>46217</v>
      </c>
      <c r="B44" t="s">
        <v>80</v>
      </c>
      <c r="C44" s="5" t="s">
        <v>154</v>
      </c>
      <c r="D44" t="s">
        <v>12</v>
      </c>
      <c r="E44" t="s">
        <v>15</v>
      </c>
      <c r="F44" t="s">
        <v>155</v>
      </c>
      <c r="G44" t="s">
        <v>156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ht="30" x14ac:dyDescent="0.25">
      <c r="A45" s="11">
        <v>46217</v>
      </c>
      <c r="B45" t="s">
        <v>80</v>
      </c>
      <c r="C45" s="5" t="s">
        <v>157</v>
      </c>
      <c r="D45" t="s">
        <v>12</v>
      </c>
      <c r="E45" t="s">
        <v>21</v>
      </c>
      <c r="F45" t="s">
        <v>21</v>
      </c>
      <c r="G45" t="s">
        <v>158</v>
      </c>
      <c r="H45" t="s">
        <v>68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11">
        <v>46217</v>
      </c>
      <c r="B46" t="s">
        <v>73</v>
      </c>
      <c r="C46" s="5" t="s">
        <v>159</v>
      </c>
      <c r="D46" t="s">
        <v>12</v>
      </c>
      <c r="E46" t="s">
        <v>17</v>
      </c>
      <c r="F46" t="s">
        <v>17</v>
      </c>
      <c r="G46" t="s">
        <v>95</v>
      </c>
      <c r="H46" t="s">
        <v>76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11">
        <v>46217</v>
      </c>
      <c r="B47" t="s">
        <v>73</v>
      </c>
      <c r="C47" s="5" t="s">
        <v>160</v>
      </c>
      <c r="D47" t="s">
        <v>13</v>
      </c>
      <c r="E47" t="s">
        <v>24</v>
      </c>
      <c r="F47" t="s">
        <v>24</v>
      </c>
      <c r="G47" t="s">
        <v>84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Gobernador</v>
      </c>
    </row>
    <row r="48" spans="1:10" x14ac:dyDescent="0.25">
      <c r="A48" s="11">
        <v>46217</v>
      </c>
      <c r="B48" t="s">
        <v>73</v>
      </c>
      <c r="C48" s="5" t="s">
        <v>161</v>
      </c>
      <c r="D48" t="s">
        <v>12</v>
      </c>
      <c r="E48" t="s">
        <v>162</v>
      </c>
      <c r="F48" t="s">
        <v>162</v>
      </c>
      <c r="G48" t="s">
        <v>163</v>
      </c>
      <c r="H48" t="s">
        <v>11</v>
      </c>
      <c r="I48" t="str">
        <f>_xlfn.XLOOKUP(Tabla1[[#This Row],[Dependencia]],Tabla2[Dependencia],Tabla2[Clasificación],"XXX",0)</f>
        <v>Partidos</v>
      </c>
      <c r="J48" t="str">
        <f>_xlfn.XLOOKUP(Tabla1[[#This Row],[Dependencia]],Tabla3[Dependencia],Tabla3[Nivel],"Otros",0)</f>
        <v>Otros</v>
      </c>
    </row>
    <row r="49" spans="1:10" ht="30" x14ac:dyDescent="0.25">
      <c r="A49" s="11">
        <v>46217</v>
      </c>
      <c r="B49" t="s">
        <v>73</v>
      </c>
      <c r="C49" s="5" t="s">
        <v>164</v>
      </c>
      <c r="D49" t="s">
        <v>12</v>
      </c>
      <c r="E49" t="s">
        <v>27</v>
      </c>
      <c r="F49" t="s">
        <v>165</v>
      </c>
      <c r="G49" t="s">
        <v>86</v>
      </c>
      <c r="H49" t="s">
        <v>68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11">
        <v>46217</v>
      </c>
      <c r="B50" t="s">
        <v>73</v>
      </c>
      <c r="C50" s="5" t="s">
        <v>166</v>
      </c>
      <c r="D50" t="s">
        <v>12</v>
      </c>
      <c r="E50" t="s">
        <v>20</v>
      </c>
      <c r="F50" t="s">
        <v>20</v>
      </c>
      <c r="G50" t="s">
        <v>93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ht="30" x14ac:dyDescent="0.25">
      <c r="A51" s="11">
        <v>46217</v>
      </c>
      <c r="B51" t="s">
        <v>74</v>
      </c>
      <c r="C51" s="5" t="s">
        <v>167</v>
      </c>
      <c r="D51" t="s">
        <v>79</v>
      </c>
      <c r="E51" t="s">
        <v>29</v>
      </c>
      <c r="F51" t="s">
        <v>87</v>
      </c>
      <c r="G51" t="s">
        <v>84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11">
        <v>46217</v>
      </c>
      <c r="B52" t="s">
        <v>74</v>
      </c>
      <c r="C52" s="5" t="s">
        <v>168</v>
      </c>
      <c r="D52" t="s">
        <v>12</v>
      </c>
      <c r="E52" t="s">
        <v>16</v>
      </c>
      <c r="F52" t="s">
        <v>78</v>
      </c>
      <c r="G52" t="s">
        <v>169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46217</v>
      </c>
      <c r="B53" t="s">
        <v>74</v>
      </c>
      <c r="C53" s="5" t="s">
        <v>170</v>
      </c>
      <c r="D53" t="s">
        <v>13</v>
      </c>
      <c r="E53" t="s">
        <v>24</v>
      </c>
      <c r="F53" t="s">
        <v>24</v>
      </c>
      <c r="G53" t="s">
        <v>100</v>
      </c>
      <c r="H53" t="s">
        <v>68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Gobernador</v>
      </c>
    </row>
    <row r="54" spans="1:10" ht="30" x14ac:dyDescent="0.25">
      <c r="A54" s="11">
        <v>46217</v>
      </c>
      <c r="B54" t="s">
        <v>74</v>
      </c>
      <c r="C54" s="5" t="s">
        <v>171</v>
      </c>
      <c r="D54" t="s">
        <v>12</v>
      </c>
      <c r="E54" t="s">
        <v>16</v>
      </c>
      <c r="F54" t="s">
        <v>78</v>
      </c>
      <c r="G54" t="s">
        <v>172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ht="30" x14ac:dyDescent="0.25">
      <c r="A55" s="11">
        <v>46217</v>
      </c>
      <c r="B55" t="s">
        <v>74</v>
      </c>
      <c r="C55" s="5" t="s">
        <v>173</v>
      </c>
      <c r="D55" t="s">
        <v>12</v>
      </c>
      <c r="E55" t="s">
        <v>16</v>
      </c>
      <c r="F55" t="s">
        <v>78</v>
      </c>
      <c r="G55" t="s">
        <v>172</v>
      </c>
      <c r="H55" t="s">
        <v>11</v>
      </c>
      <c r="I55" t="str">
        <f>_xlfn.XLOOKUP(Tabla1[[#This Row],[Dependencia]],Tabla2[Dependencia],Tabla2[Clasificación],"XXX",0)</f>
        <v>Alcaldías</v>
      </c>
      <c r="J55" t="str">
        <f>_xlfn.XLOOKUP(Tabla1[[#This Row],[Dependencia]],Tabla3[Dependencia],Tabla3[Nivel],"Otros",0)</f>
        <v>Otros</v>
      </c>
    </row>
    <row r="56" spans="1:10" ht="30" x14ac:dyDescent="0.25">
      <c r="A56" s="11">
        <v>46217</v>
      </c>
      <c r="B56" t="s">
        <v>74</v>
      </c>
      <c r="C56" s="5" t="s">
        <v>174</v>
      </c>
      <c r="D56" t="s">
        <v>12</v>
      </c>
      <c r="E56" t="s">
        <v>16</v>
      </c>
      <c r="F56" t="s">
        <v>16</v>
      </c>
      <c r="G56" t="s">
        <v>175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46217</v>
      </c>
      <c r="B57" t="s">
        <v>74</v>
      </c>
      <c r="C57" s="5" t="s">
        <v>176</v>
      </c>
      <c r="D57" t="s">
        <v>12</v>
      </c>
      <c r="E57" t="s">
        <v>24</v>
      </c>
      <c r="F57" t="s">
        <v>24</v>
      </c>
      <c r="G57" t="s">
        <v>177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Gobernador</v>
      </c>
    </row>
    <row r="58" spans="1:10" ht="30" x14ac:dyDescent="0.25">
      <c r="A58" s="11">
        <v>46217</v>
      </c>
      <c r="B58" t="s">
        <v>74</v>
      </c>
      <c r="C58" s="5" t="s">
        <v>178</v>
      </c>
      <c r="D58" t="s">
        <v>12</v>
      </c>
      <c r="E58" t="s">
        <v>40</v>
      </c>
      <c r="F58" t="s">
        <v>40</v>
      </c>
      <c r="G58" t="s">
        <v>77</v>
      </c>
      <c r="H58" t="s">
        <v>11</v>
      </c>
      <c r="I58" t="str">
        <f>_xlfn.XLOOKUP(Tabla1[[#This Row],[Dependencia]],Tabla2[Dependencia],Tabla2[Clasificación],"XXX",0)</f>
        <v>Otros</v>
      </c>
      <c r="J58" t="str">
        <f>_xlfn.XLOOKUP(Tabla1[[#This Row],[Dependencia]],Tabla3[Dependencia],Tabla3[Nivel],"Otros",0)</f>
        <v>Otros</v>
      </c>
    </row>
    <row r="59" spans="1:10" ht="30" x14ac:dyDescent="0.25">
      <c r="A59" s="11">
        <v>46217</v>
      </c>
      <c r="B59" t="s">
        <v>74</v>
      </c>
      <c r="C59" s="5" t="s">
        <v>179</v>
      </c>
      <c r="D59" t="s">
        <v>13</v>
      </c>
      <c r="E59" t="s">
        <v>26</v>
      </c>
      <c r="F59" t="s">
        <v>2</v>
      </c>
      <c r="G59" t="s">
        <v>134</v>
      </c>
      <c r="H59" t="s">
        <v>68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x14ac:dyDescent="0.25">
      <c r="A60" s="11">
        <v>46217</v>
      </c>
      <c r="B60" t="s">
        <v>74</v>
      </c>
      <c r="C60" s="5" t="s">
        <v>180</v>
      </c>
      <c r="D60" t="s">
        <v>12</v>
      </c>
      <c r="E60" t="s">
        <v>10</v>
      </c>
      <c r="F60" t="s">
        <v>10</v>
      </c>
      <c r="G60" t="s">
        <v>127</v>
      </c>
      <c r="H60" t="s">
        <v>11</v>
      </c>
      <c r="I60" t="str">
        <f>_xlfn.XLOOKUP(Tabla1[[#This Row],[Dependencia]],Tabla2[Dependencia],Tabla2[Clasificación],"XXX",0)</f>
        <v>Otros</v>
      </c>
      <c r="J60" t="str">
        <f>_xlfn.XLOOKUP(Tabla1[[#This Row],[Dependencia]],Tabla3[Dependencia],Tabla3[Nivel],"Otros",0)</f>
        <v>Otros</v>
      </c>
    </row>
    <row r="61" spans="1:10" ht="30" x14ac:dyDescent="0.25">
      <c r="A61" s="11">
        <v>46217</v>
      </c>
      <c r="B61" t="s">
        <v>74</v>
      </c>
      <c r="C61" s="5" t="s">
        <v>181</v>
      </c>
      <c r="D61" t="s">
        <v>12</v>
      </c>
      <c r="E61" t="s">
        <v>16</v>
      </c>
      <c r="F61" t="s">
        <v>16</v>
      </c>
      <c r="G61" t="s">
        <v>182</v>
      </c>
      <c r="H61" t="s">
        <v>11</v>
      </c>
      <c r="I61" t="str">
        <f>_xlfn.XLOOKUP(Tabla1[[#This Row],[Dependencia]],Tabla2[Dependencia],Tabla2[Clasificación],"XXX",0)</f>
        <v>Alcaldías</v>
      </c>
      <c r="J61" t="str">
        <f>_xlfn.XLOOKUP(Tabla1[[#This Row],[Dependencia]],Tabla3[Dependencia],Tabla3[Nivel],"Otros",0)</f>
        <v>Otros</v>
      </c>
    </row>
    <row r="62" spans="1:10" ht="30" x14ac:dyDescent="0.25">
      <c r="A62" s="11">
        <v>46217</v>
      </c>
      <c r="B62" t="s">
        <v>74</v>
      </c>
      <c r="C62" s="5" t="s">
        <v>148</v>
      </c>
      <c r="D62" t="s">
        <v>12</v>
      </c>
      <c r="E62" t="s">
        <v>24</v>
      </c>
      <c r="F62" t="s">
        <v>24</v>
      </c>
      <c r="G62" t="s">
        <v>100</v>
      </c>
      <c r="H62" t="s">
        <v>68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Gobernador</v>
      </c>
    </row>
    <row r="63" spans="1:10" ht="30" x14ac:dyDescent="0.25">
      <c r="A63" s="11">
        <v>46217</v>
      </c>
      <c r="B63" t="s">
        <v>74</v>
      </c>
      <c r="C63" s="5" t="s">
        <v>183</v>
      </c>
      <c r="D63" t="s">
        <v>12</v>
      </c>
      <c r="E63" t="s">
        <v>29</v>
      </c>
      <c r="F63" t="s">
        <v>87</v>
      </c>
      <c r="G63" t="s">
        <v>84</v>
      </c>
      <c r="H63" t="s">
        <v>11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x14ac:dyDescent="0.25">
      <c r="A64" s="11">
        <v>46217</v>
      </c>
      <c r="B64" t="s">
        <v>74</v>
      </c>
      <c r="C64" s="5" t="s">
        <v>88</v>
      </c>
      <c r="D64" t="s">
        <v>81</v>
      </c>
      <c r="E64" t="s">
        <v>29</v>
      </c>
      <c r="F64" t="s">
        <v>29</v>
      </c>
      <c r="G64" t="s">
        <v>89</v>
      </c>
      <c r="H64" t="s">
        <v>11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11">
        <v>46217</v>
      </c>
      <c r="B65" t="s">
        <v>74</v>
      </c>
      <c r="C65" s="5" t="s">
        <v>90</v>
      </c>
      <c r="D65" t="s">
        <v>81</v>
      </c>
      <c r="E65" t="s">
        <v>16</v>
      </c>
      <c r="F65" t="s">
        <v>16</v>
      </c>
      <c r="G65" t="s">
        <v>91</v>
      </c>
      <c r="H65" t="s">
        <v>11</v>
      </c>
      <c r="I65" t="str">
        <f>_xlfn.XLOOKUP(Tabla1[[#This Row],[Dependencia]],Tabla2[Dependencia],Tabla2[Clasificación],"XXX",0)</f>
        <v>Alcaldías</v>
      </c>
      <c r="J65" t="str">
        <f>_xlfn.XLOOKUP(Tabla1[[#This Row],[Dependencia]],Tabla3[Dependencia],Tabla3[Nivel],"Otros",0)</f>
        <v>Otros</v>
      </c>
    </row>
    <row r="66" spans="1:10" ht="30" x14ac:dyDescent="0.25">
      <c r="A66" s="11">
        <v>46217</v>
      </c>
      <c r="B66" t="s">
        <v>75</v>
      </c>
      <c r="C66" s="5" t="s">
        <v>184</v>
      </c>
      <c r="D66" t="s">
        <v>13</v>
      </c>
      <c r="E66" t="s">
        <v>47</v>
      </c>
      <c r="F66" t="s">
        <v>47</v>
      </c>
      <c r="G66" t="s">
        <v>136</v>
      </c>
      <c r="H66" t="s">
        <v>11</v>
      </c>
      <c r="I66" t="str">
        <f>_xlfn.XLOOKUP(Tabla1[[#This Row],[Dependencia]],Tabla2[Dependencia],Tabla2[Clasificación],"XXX",0)</f>
        <v>Gobierno del estado</v>
      </c>
      <c r="J66" t="str">
        <f>_xlfn.XLOOKUP(Tabla1[[#This Row],[Dependencia]],Tabla3[Dependencia],Tabla3[Nivel],"Otros",0)</f>
        <v>Gabinete</v>
      </c>
    </row>
    <row r="67" spans="1:10" x14ac:dyDescent="0.25">
      <c r="A67" s="11">
        <v>46217</v>
      </c>
      <c r="B67" t="s">
        <v>75</v>
      </c>
      <c r="C67" s="5" t="s">
        <v>185</v>
      </c>
      <c r="D67" t="s">
        <v>12</v>
      </c>
      <c r="E67" t="s">
        <v>24</v>
      </c>
      <c r="F67" t="s">
        <v>24</v>
      </c>
      <c r="G67" t="s">
        <v>100</v>
      </c>
      <c r="H67" t="s">
        <v>11</v>
      </c>
      <c r="I67" t="str">
        <f>_xlfn.XLOOKUP(Tabla1[[#This Row],[Dependencia]],Tabla2[Dependencia],Tabla2[Clasificación],"XXX",0)</f>
        <v>Gobierno del estado</v>
      </c>
      <c r="J67" t="str">
        <f>_xlfn.XLOOKUP(Tabla1[[#This Row],[Dependencia]],Tabla3[Dependencia],Tabla3[Nivel],"Otros",0)</f>
        <v>Gobernador</v>
      </c>
    </row>
    <row r="68" spans="1:10" ht="30" x14ac:dyDescent="0.25">
      <c r="A68" s="11">
        <v>46217</v>
      </c>
      <c r="B68" t="s">
        <v>75</v>
      </c>
      <c r="C68" s="5" t="s">
        <v>186</v>
      </c>
      <c r="D68" t="s">
        <v>12</v>
      </c>
      <c r="E68" t="s">
        <v>14</v>
      </c>
      <c r="F68" t="s">
        <v>14</v>
      </c>
      <c r="G68" t="s">
        <v>132</v>
      </c>
      <c r="H68" t="s">
        <v>11</v>
      </c>
      <c r="I68" t="str">
        <f>_xlfn.XLOOKUP(Tabla1[[#This Row],[Dependencia]],Tabla2[Dependencia],Tabla2[Clasificación],"XXX",0)</f>
        <v>Presidencia de la República</v>
      </c>
      <c r="J68" t="str">
        <f>_xlfn.XLOOKUP(Tabla1[[#This Row],[Dependencia]],Tabla3[Dependencia],Tabla3[Nivel],"Otros",0)</f>
        <v>Otros</v>
      </c>
    </row>
    <row r="69" spans="1:10" x14ac:dyDescent="0.25">
      <c r="A69" s="11">
        <v>46217</v>
      </c>
      <c r="B69" t="s">
        <v>75</v>
      </c>
      <c r="C69" s="5" t="s">
        <v>187</v>
      </c>
      <c r="D69" t="s">
        <v>12</v>
      </c>
      <c r="E69" t="s">
        <v>21</v>
      </c>
      <c r="F69" t="s">
        <v>21</v>
      </c>
      <c r="G69" t="s">
        <v>158</v>
      </c>
      <c r="H69" t="s">
        <v>68</v>
      </c>
      <c r="I69" t="str">
        <f>_xlfn.XLOOKUP(Tabla1[[#This Row],[Dependencia]],Tabla2[Dependencia],Tabla2[Clasificación],"XXX",0)</f>
        <v>Gobierno del estado</v>
      </c>
      <c r="J69" t="str">
        <f>_xlfn.XLOOKUP(Tabla1[[#This Row],[Dependencia]],Tabla3[Dependencia],Tabla3[Nivel],"Otros",0)</f>
        <v>Gabinete</v>
      </c>
    </row>
    <row r="70" spans="1:10" ht="75" x14ac:dyDescent="0.25">
      <c r="A70" s="11">
        <v>46217</v>
      </c>
      <c r="B70" t="s">
        <v>75</v>
      </c>
      <c r="C70" s="5" t="s">
        <v>188</v>
      </c>
      <c r="D70" t="s">
        <v>189</v>
      </c>
      <c r="E70" t="s">
        <v>16</v>
      </c>
      <c r="F70" t="s">
        <v>16</v>
      </c>
      <c r="G70" t="s">
        <v>190</v>
      </c>
      <c r="H70" t="s">
        <v>76</v>
      </c>
      <c r="I70" t="str">
        <f>_xlfn.XLOOKUP(Tabla1[[#This Row],[Dependencia]],Tabla2[Dependencia],Tabla2[Clasificación],"XXX",0)</f>
        <v>Alcaldías</v>
      </c>
      <c r="J70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71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71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2026-07-14T15:12:36Z</dcterms:modified>
</cp:coreProperties>
</file>