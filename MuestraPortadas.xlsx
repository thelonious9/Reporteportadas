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21B59D5C-73C1-4445-92F7-FFAEFAC5097D}"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2" i="1"/>
  <c r="J2" i="1"/>
</calcChain>
</file>

<file path=xl/sharedStrings.xml><?xml version="1.0" encoding="utf-8"?>
<sst xmlns="http://schemas.openxmlformats.org/spreadsheetml/2006/main" count="650" uniqueCount="210">
  <si>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</si>
  <si>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</si>
  <si>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</si>
  <si>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</si>
  <si>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</si>
  <si>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</si>
  <si>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</si>
  <si>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</si>
  <si>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</si>
  <si>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</si>
  <si>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</si>
  <si>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</si>
  <si>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</si>
  <si>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</si>
  <si>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</si>
  <si>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</si>
  <si>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</si>
  <si>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</si>
  <si>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</si>
  <si>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</si>
  <si>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</si>
  <si>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</si>
  <si>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</si>
  <si>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</si>
  <si>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</si>
  <si>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</si>
  <si>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</si>
  <si>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</si>
  <si>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</si>
  <si>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</si>
  <si>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</si>
  <si>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</si>
  <si>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</si>
  <si>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</si>
  <si>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</si>
  <si>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</si>
  <si>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</si>
  <si>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</si>
  <si>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</si>
  <si>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</si>
  <si>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</si>
  <si>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</si>
  <si>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</si>
  <si>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</si>
  <si>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</si>
  <si>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</si>
  <si>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</si>
  <si>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</si>
  <si>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</si>
  <si>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</si>
  <si>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</si>
  <si>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</si>
  <si>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</si>
  <si>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</si>
  <si>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</si>
  <si>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</si>
  <si>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</si>
  <si>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</si>
  <si>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</si>
  <si>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</si>
  <si>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</si>
  <si>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</si>
  <si>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</si>
  <si>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</si>
  <si>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</si>
  <si>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</si>
  <si>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</si>
  <si>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</si>
  <si>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</si>
  <si>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</si>
  <si>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</si>
  <si>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</si>
  <si>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</si>
  <si>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</si>
  <si>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</si>
  <si>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Criterio</t>
  </si>
  <si>
    <t>Zunoticia</t>
  </si>
  <si>
    <t>Nivel</t>
  </si>
  <si>
    <t>Marfeca</t>
  </si>
  <si>
    <t>Gabinete</t>
  </si>
  <si>
    <t>Cintillo</t>
  </si>
  <si>
    <t>Plaza Juárez</t>
  </si>
  <si>
    <t>Deportes</t>
  </si>
  <si>
    <t>Reforma Electoral</t>
  </si>
  <si>
    <t>Temas internacionales</t>
  </si>
  <si>
    <t>Pemex</t>
  </si>
  <si>
    <t>Atención a la ciudadanía</t>
  </si>
  <si>
    <t>Falta de puente</t>
  </si>
  <si>
    <t>PRI</t>
  </si>
  <si>
    <t>Militancia Partidista</t>
  </si>
  <si>
    <t>Multas INE</t>
  </si>
  <si>
    <t>Plan Nacional De Vivienda</t>
  </si>
  <si>
    <t>Publicidad</t>
  </si>
  <si>
    <t>Conoce la pirámide de movilidad</t>
  </si>
  <si>
    <t>Publicidad gubernamental</t>
  </si>
  <si>
    <t>Policía municipal</t>
  </si>
  <si>
    <t>Ejecuciones</t>
  </si>
  <si>
    <t>Sheinmabum, invitada a inaugurar oficinas</t>
  </si>
  <si>
    <t>Visita Sheinbaum</t>
  </si>
  <si>
    <t>Entregarán sólo 2,801 viviendas del Bienestar</t>
  </si>
  <si>
    <t>Consideran innecesario el cercado</t>
  </si>
  <si>
    <t>Sastrería resiste a la moda rápida: Solís</t>
  </si>
  <si>
    <t>Controversia por la iniciativa del Plan B</t>
  </si>
  <si>
    <t>Cierran tres días el mercado Barreteros</t>
  </si>
  <si>
    <t>Parteras buscan ingresar a programa</t>
  </si>
  <si>
    <t>Parteras Tradicionales</t>
  </si>
  <si>
    <t>Respalda Menchaca el Plan B de la reforma electoral</t>
  </si>
  <si>
    <t>Plan B</t>
  </si>
  <si>
    <t>En la ciudad de Pachuca existen pocos inmuebles tan simbólicos como el Reloj Monumental. Basta mencionarlo para que aparezca en...</t>
  </si>
  <si>
    <t>Reloj De Pachuca</t>
  </si>
  <si>
    <t>Se ponen guapos</t>
  </si>
  <si>
    <t>Ruta de la Transformación</t>
  </si>
  <si>
    <t>Reinician transmisiones</t>
  </si>
  <si>
    <t>RTVH</t>
  </si>
  <si>
    <t>Recuperación radiodifusoras</t>
  </si>
  <si>
    <t>Alistan CEAR para inauguración</t>
  </si>
  <si>
    <t>Centro de Alto Rendimiento</t>
  </si>
  <si>
    <t>PRESENTAN SITIO WEB RUMBO A ELECCIONES 2027</t>
  </si>
  <si>
    <t>Elecciones</t>
  </si>
  <si>
    <t>PESH no tiene comités</t>
  </si>
  <si>
    <t>pérdida de registro</t>
  </si>
  <si>
    <t>REMODELACIÓN, ANTES DE 2028: GOBERNADOR</t>
  </si>
  <si>
    <t>El PRI culpa a Julio Valera de multa de $5 millones</t>
  </si>
  <si>
    <t>Multas Partidos</t>
  </si>
  <si>
    <t>Iniciativa antitaurina, estancada en Hidalgo</t>
  </si>
  <si>
    <t>Tauromaquia</t>
  </si>
  <si>
    <t>Pachuca busca vencer maleficio</t>
  </si>
  <si>
    <t>"Un hecho aislado", aparición de mantas</t>
  </si>
  <si>
    <t>Narcomanta</t>
  </si>
  <si>
    <t>Dirigente estatal niega la decadencia del PAN</t>
  </si>
  <si>
    <t>Sube a 3 mil 200 el número de familias que deben reubicarse</t>
  </si>
  <si>
    <t>Reubicación de viviendas</t>
  </si>
  <si>
    <t>Prometen autoridades su entrega para el mes de abril</t>
  </si>
  <si>
    <t>Tendrá el estado 25 nuevos espacios previo al Mundial</t>
  </si>
  <si>
    <t>Inhide</t>
  </si>
  <si>
    <t>Mundial De Futbol</t>
  </si>
  <si>
    <t>Alcalde dice que no le han notificado recomendación</t>
  </si>
  <si>
    <t>Recomendaciones CDHEH</t>
  </si>
  <si>
    <t>Exjefe contraterrorista exhibe a Trump: "Irán no era amenaza"</t>
  </si>
  <si>
    <t>La Refinería cumple hoy medio siglo</t>
  </si>
  <si>
    <t>Conmemoración Aniversario</t>
  </si>
  <si>
    <t>Se encuentra en proceso de reconfiguración para disminuir impacto</t>
  </si>
  <si>
    <t>Refinería</t>
  </si>
  <si>
    <t>Para operar en 2026, el IEEH requiere un alza presupuestal de 28 millones de pesos</t>
  </si>
  <si>
    <t>Presupuesto IEEH</t>
  </si>
  <si>
    <t>Derrama económica</t>
  </si>
  <si>
    <t>Inversión de 25% del PIB es clave, dice en entrevista Eduardo Osuma</t>
  </si>
  <si>
    <t>Un bombero cultiva el oficio de domeñar la lava en Islandia</t>
  </si>
  <si>
    <t>IEEH analiza pedir 28 mdp extra de presupuesto tras recorte</t>
  </si>
  <si>
    <t>Hidalgo recupera dos frecuencias de radio perdidas en 2022</t>
  </si>
  <si>
    <t>Incendio en Dos Bocas deja cinco muertos: Pemex</t>
  </si>
  <si>
    <t>Incendio refinería</t>
  </si>
  <si>
    <t>Avanza control de fuga de petróleo en Santiago Talpacoya</t>
  </si>
  <si>
    <t>PC</t>
  </si>
  <si>
    <t>Fuga de hidrocarburo</t>
  </si>
  <si>
    <t>¿Hay que separar la obra del artista? ¿Hay que dejar de cancelar completamente en todos los aspectos a les agresores? Son preguntas a las que le he dado vueltas una y otra vez. En mi librero y en mis listas de reproducción de música hay muchos artistas, políticxs, académicxs canceladxs. Seguro hay más de los que conozco públicamente, porque tengo claro que ninguna persona está exenta de haber discriminado o violentado a alguien, ni siquiera yo”.</t>
  </si>
  <si>
    <t>Vuelven a encender su transmisión Radio Mezquital y Tlanchinol</t>
  </si>
  <si>
    <t>Recibirá Hidalgo 50 mdp para construir canchas de fútbol en 22 municipios</t>
  </si>
  <si>
    <t>Fortalece gobierno estatal infraestructura en Zempoala con 192 mdp</t>
  </si>
  <si>
    <t>Aumentan a 17 los casos de sarampión en la entidad</t>
  </si>
  <si>
    <t>Sarampión</t>
  </si>
  <si>
    <t>El objetivo del ejercicio del poder es servir a la gente: Julio Menchaca</t>
  </si>
  <si>
    <t>La herencia musical de don Omegar Salazar es un "estilo de vida"</t>
  </si>
  <si>
    <t>Pobladores dirimen sus diferencias a golpes y pedradas</t>
  </si>
  <si>
    <t>Enfrentamiento</t>
  </si>
  <si>
    <t>Acercan servicios estatales a la población de Yahualica</t>
  </si>
  <si>
    <t>Unidades móviles</t>
  </si>
  <si>
    <t>Capacita Salud a más de 5 mil personas para prevenir riesgos sanitarios</t>
  </si>
  <si>
    <t>Copriseh</t>
  </si>
  <si>
    <t>Capacitación sanitaria</t>
  </si>
  <si>
    <t>Effetá</t>
  </si>
  <si>
    <t>Golpeteo de regidores deja a Ajacuba sin inversiones locales y federales: alcaldesa</t>
  </si>
  <si>
    <t>Alcalde</t>
  </si>
  <si>
    <t>Enfrentamiento Político</t>
  </si>
  <si>
    <t>Menchaca revive dos estaciones tras años fuera del aire</t>
  </si>
  <si>
    <t>Recuperación de radiodifusoras</t>
  </si>
  <si>
    <t>Gobernador lleva Rutas de la Transformación a Epazoyucan y Zempoala</t>
  </si>
  <si>
    <t>INE castiga a partidos en Hidalgo con 21 millones</t>
  </si>
  <si>
    <t>Aprueban 22 millones para Cuautepec</t>
  </si>
  <si>
    <t>Deuda Pública</t>
  </si>
  <si>
    <t>Cae presunta banda de robo de autos en Pachuca</t>
  </si>
  <si>
    <t>Detención</t>
  </si>
  <si>
    <t>Activan Comité de Emergencias ante fuertes lluvias</t>
  </si>
  <si>
    <t>Reunión Gabinete De Seguridad</t>
  </si>
  <si>
    <t>Policías de Pachuca asisten a mujer de la tercera edad que se encontraba desorientada</t>
  </si>
  <si>
    <t>IEEH presenta la nueva imagen y funcionalidad de su página web</t>
  </si>
  <si>
    <t>Plataforma tecnológica</t>
  </si>
  <si>
    <t>Menchaca anuncia reinicio de trnasmisiones de Radio Mezquital y la Voz de la Sierra Hidalguense</t>
  </si>
  <si>
    <t>Refinería de Tula cumple 50 años de legado, impacto y futuro</t>
  </si>
  <si>
    <t>Copladem</t>
  </si>
  <si>
    <t>COPLADEM</t>
  </si>
  <si>
    <t>Bomberos de Atitalaquia controlan incendio de llantas</t>
  </si>
  <si>
    <t>Control de incendios</t>
  </si>
  <si>
    <t>Más de 450 personas participan en la primera caminata de luna llena en el Cerro de Gómez</t>
  </si>
  <si>
    <t>Evento turístico</t>
  </si>
  <si>
    <t>Construirán 25 canchas por el Mundial Social en Hidalgo: Conejo Pérez</t>
  </si>
  <si>
    <t>Reinician transmisiones de Radio Mezqutial y la Voz de la Sierra Hidalguense</t>
  </si>
  <si>
    <t>Apoyo para madres trabajadoras en la entidad: conoce fecha</t>
  </si>
  <si>
    <t>Programas del Pueblo</t>
  </si>
  <si>
    <t>Inaugura Jorge Reyes los nuevos murales del Barrio del Arbolito</t>
  </si>
  <si>
    <t>Exalcalde</t>
  </si>
  <si>
    <t>Muralismo</t>
  </si>
  <si>
    <t>Presenta CNDH acción de inconstitucionalidad contra Apan</t>
  </si>
  <si>
    <t>Inconstitucionalidad</t>
  </si>
  <si>
    <t>México impulsa plan b electoral con recorte de privilegios</t>
  </si>
  <si>
    <t>Radio Mezquital y La Voz de la Sierra Hidalguense, al aire</t>
  </si>
  <si>
    <t>La Secretaría de Turismo ha realizado más de mil giras</t>
  </si>
  <si>
    <t>Promoción turística</t>
  </si>
  <si>
    <t>Ejecutaron a balazos a hombre en su casa, frente a su novia</t>
  </si>
  <si>
    <t>Tras el puente los turistas dejan en el estado 260 mdp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</si>
</sst>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1" totalsRowShown="0" headerRowDxfId="5" headerRowBorderDxfId="4">
  <autoFilter ref="A1:J71"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1"/>
  <sheetViews>
    <sheetView tabSelected="1" workbookViewId="0">
      <selection activeCell="C30" sqref="C30"/>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77</v>
      </c>
    </row>
    <row r="2" spans="1:10" x14ac:dyDescent="0.25">
      <c r="A2" s="5">
        <v>46099</v>
      </c>
      <c r="B2" t="s">
        <v>70</v>
      </c>
      <c r="C2" s="6" t="s">
        <v>97</v>
      </c>
      <c r="D2" t="s">
        <v>12</v>
      </c>
      <c r="E2" t="s">
        <v>25</v>
      </c>
      <c r="F2" t="s">
        <v>25</v>
      </c>
      <c r="G2" t="s">
        <v>98</v>
      </c>
      <c r="H2" t="s">
        <v>11</v>
      </c>
      <c r="I2" t="str">
        <f>_xlfn.XLOOKUP(Tabla1[[#This Row],[Dependencia]],Tabla2[Dependencia],Tabla2[Clasificación],"No indexado")</f>
        <v>Gobierno del estado</v>
      </c>
      <c r="J2" t="str">
        <f>_xlfn.XLOOKUP(Tabla1[[#This Row],[Dependencia]],Tabla3[Dependencia],Tabla3[Nivel],"otros",0)</f>
        <v>Gobernador</v>
      </c>
    </row>
    <row r="3" spans="1:10" x14ac:dyDescent="0.25">
      <c r="A3" s="5">
        <v>46099</v>
      </c>
      <c r="B3" t="s">
        <v>70</v>
      </c>
      <c r="C3" s="6" t="s">
        <v>99</v>
      </c>
      <c r="D3" t="s">
        <v>13</v>
      </c>
      <c r="E3" t="s">
        <v>27</v>
      </c>
      <c r="F3" t="s">
        <v>27</v>
      </c>
      <c r="G3" t="s">
        <v>91</v>
      </c>
      <c r="H3" t="s">
        <v>11</v>
      </c>
      <c r="I3" t="str">
        <f>_xlfn.XLOOKUP(Tabla1[[#This Row],[Dependencia]],Tabla2[Dependencia],Tabla2[Clasificación],"No indexado")</f>
        <v>Otros</v>
      </c>
      <c r="J3" t="str">
        <f>_xlfn.XLOOKUP(Tabla1[[#This Row],[Dependencia]],Tabla3[Dependencia],Tabla3[Nivel],"otros",0)</f>
        <v>otros</v>
      </c>
    </row>
    <row r="4" spans="1:10" x14ac:dyDescent="0.25">
      <c r="A4" s="5">
        <v>46099</v>
      </c>
      <c r="B4" t="s">
        <v>70</v>
      </c>
      <c r="C4" s="6" t="s">
        <v>100</v>
      </c>
      <c r="D4" t="s">
        <v>9</v>
      </c>
      <c r="E4" t="s">
        <v>17</v>
      </c>
      <c r="F4" t="s">
        <v>17</v>
      </c>
      <c r="G4" t="s">
        <v>87</v>
      </c>
      <c r="H4" t="s">
        <v>16</v>
      </c>
      <c r="I4" t="str">
        <f>_xlfn.XLOOKUP(Tabla1[[#This Row],[Dependencia]],Tabla2[Dependencia],Tabla2[Clasificación],"No indexado")</f>
        <v>Alcaldías</v>
      </c>
      <c r="J4" t="str">
        <f>_xlfn.XLOOKUP(Tabla1[[#This Row],[Dependencia]],Tabla3[Dependencia],Tabla3[Nivel],"otros",0)</f>
        <v>otros</v>
      </c>
    </row>
    <row r="5" spans="1:10" x14ac:dyDescent="0.25">
      <c r="A5" s="5">
        <v>46099</v>
      </c>
      <c r="B5" t="s">
        <v>70</v>
      </c>
      <c r="C5" s="6" t="s">
        <v>101</v>
      </c>
      <c r="D5" t="s">
        <v>12</v>
      </c>
      <c r="E5" t="s">
        <v>10</v>
      </c>
      <c r="F5" t="s">
        <v>10</v>
      </c>
      <c r="G5" t="s">
        <v>69</v>
      </c>
      <c r="H5" t="s">
        <v>11</v>
      </c>
      <c r="I5" t="str">
        <f>_xlfn.XLOOKUP(Tabla1[[#This Row],[Dependencia]],Tabla2[Dependencia],Tabla2[Clasificación],"No indexado")</f>
        <v>Otros</v>
      </c>
      <c r="J5" t="str">
        <f>_xlfn.XLOOKUP(Tabla1[[#This Row],[Dependencia]],Tabla3[Dependencia],Tabla3[Nivel],"otros",0)</f>
        <v>otros</v>
      </c>
    </row>
    <row r="6" spans="1:10" x14ac:dyDescent="0.25">
      <c r="A6" s="5">
        <v>46099</v>
      </c>
      <c r="B6" t="s">
        <v>70</v>
      </c>
      <c r="C6" s="6" t="s">
        <v>102</v>
      </c>
      <c r="D6" t="s">
        <v>12</v>
      </c>
      <c r="E6" t="s">
        <v>19</v>
      </c>
      <c r="F6" t="s">
        <v>19</v>
      </c>
      <c r="G6" t="s">
        <v>83</v>
      </c>
      <c r="H6" t="s">
        <v>11</v>
      </c>
      <c r="I6" t="str">
        <f>_xlfn.XLOOKUP(Tabla1[[#This Row],[Dependencia]],Tabla2[Dependencia],Tabla2[Clasificación],"No indexado")</f>
        <v>Partidos</v>
      </c>
      <c r="J6" t="str">
        <f>_xlfn.XLOOKUP(Tabla1[[#This Row],[Dependencia]],Tabla3[Dependencia],Tabla3[Nivel],"otros",0)</f>
        <v>otros</v>
      </c>
    </row>
    <row r="7" spans="1:10" x14ac:dyDescent="0.25">
      <c r="A7" s="5">
        <v>46099</v>
      </c>
      <c r="B7" t="s">
        <v>70</v>
      </c>
      <c r="C7" s="6" t="s">
        <v>103</v>
      </c>
      <c r="D7" t="s">
        <v>12</v>
      </c>
      <c r="E7" t="s">
        <v>10</v>
      </c>
      <c r="F7" t="s">
        <v>10</v>
      </c>
      <c r="G7" t="s">
        <v>69</v>
      </c>
      <c r="H7" t="s">
        <v>11</v>
      </c>
      <c r="I7" t="str">
        <f>_xlfn.XLOOKUP(Tabla1[[#This Row],[Dependencia]],Tabla2[Dependencia],Tabla2[Clasificación],"No indexado")</f>
        <v>Otros</v>
      </c>
      <c r="J7" t="str">
        <f>_xlfn.XLOOKUP(Tabla1[[#This Row],[Dependencia]],Tabla3[Dependencia],Tabla3[Nivel],"otros",0)</f>
        <v>otros</v>
      </c>
    </row>
    <row r="8" spans="1:10" x14ac:dyDescent="0.25">
      <c r="A8" s="5">
        <v>46099</v>
      </c>
      <c r="B8" t="s">
        <v>70</v>
      </c>
      <c r="C8" s="6" t="s">
        <v>104</v>
      </c>
      <c r="D8" t="s">
        <v>12</v>
      </c>
      <c r="E8" t="s">
        <v>15</v>
      </c>
      <c r="F8" t="s">
        <v>15</v>
      </c>
      <c r="G8" t="s">
        <v>105</v>
      </c>
      <c r="H8" t="s">
        <v>11</v>
      </c>
      <c r="I8" t="str">
        <f>_xlfn.XLOOKUP(Tabla1[[#This Row],[Dependencia]],Tabla2[Dependencia],Tabla2[Clasificación],"No indexado")</f>
        <v>Gobierno del estado</v>
      </c>
      <c r="J8" t="str">
        <f>_xlfn.XLOOKUP(Tabla1[[#This Row],[Dependencia]],Tabla3[Dependencia],Tabla3[Nivel],"otros",0)</f>
        <v>Gabinete</v>
      </c>
    </row>
    <row r="9" spans="1:10" x14ac:dyDescent="0.25">
      <c r="A9" s="5">
        <v>46099</v>
      </c>
      <c r="B9" t="s">
        <v>71</v>
      </c>
      <c r="C9" s="6" t="s">
        <v>106</v>
      </c>
      <c r="D9" t="s">
        <v>13</v>
      </c>
      <c r="E9" t="s">
        <v>25</v>
      </c>
      <c r="F9" t="s">
        <v>25</v>
      </c>
      <c r="G9" t="s">
        <v>107</v>
      </c>
      <c r="H9" t="s">
        <v>11</v>
      </c>
      <c r="I9" t="str">
        <f>_xlfn.XLOOKUP(Tabla1[[#This Row],[Dependencia]],Tabla2[Dependencia],Tabla2[Clasificación],"No indexado")</f>
        <v>Gobierno del estado</v>
      </c>
      <c r="J9" t="str">
        <f>_xlfn.XLOOKUP(Tabla1[[#This Row],[Dependencia]],Tabla3[Dependencia],Tabla3[Nivel],"otros",0)</f>
        <v>Gobernador</v>
      </c>
    </row>
    <row r="10" spans="1:10" ht="45" x14ac:dyDescent="0.25">
      <c r="A10" s="5">
        <v>46099</v>
      </c>
      <c r="B10" t="s">
        <v>71</v>
      </c>
      <c r="C10" s="6" t="s">
        <v>108</v>
      </c>
      <c r="D10" t="s">
        <v>12</v>
      </c>
      <c r="E10" t="s">
        <v>10</v>
      </c>
      <c r="F10" t="s">
        <v>10</v>
      </c>
      <c r="G10" t="s">
        <v>109</v>
      </c>
      <c r="H10" t="s">
        <v>11</v>
      </c>
      <c r="I10" t="str">
        <f>_xlfn.XLOOKUP(Tabla1[[#This Row],[Dependencia]],Tabla2[Dependencia],Tabla2[Clasificación],"No indexado")</f>
        <v>Otros</v>
      </c>
      <c r="J10" t="str">
        <f>_xlfn.XLOOKUP(Tabla1[[#This Row],[Dependencia]],Tabla3[Dependencia],Tabla3[Nivel],"otros",0)</f>
        <v>otros</v>
      </c>
    </row>
    <row r="11" spans="1:10" x14ac:dyDescent="0.25">
      <c r="A11" s="5">
        <v>46099</v>
      </c>
      <c r="B11" t="s">
        <v>71</v>
      </c>
      <c r="C11" s="6" t="s">
        <v>110</v>
      </c>
      <c r="D11" t="s">
        <v>9</v>
      </c>
      <c r="E11" t="s">
        <v>25</v>
      </c>
      <c r="F11" t="s">
        <v>25</v>
      </c>
      <c r="G11" t="s">
        <v>111</v>
      </c>
      <c r="H11" t="s">
        <v>26</v>
      </c>
      <c r="I11" t="str">
        <f>_xlfn.XLOOKUP(Tabla1[[#This Row],[Dependencia]],Tabla2[Dependencia],Tabla2[Clasificación],"No indexado")</f>
        <v>Gobierno del estado</v>
      </c>
      <c r="J11" t="str">
        <f>_xlfn.XLOOKUP(Tabla1[[#This Row],[Dependencia]],Tabla3[Dependencia],Tabla3[Nivel],"otros",0)</f>
        <v>Gobernador</v>
      </c>
    </row>
    <row r="12" spans="1:10" x14ac:dyDescent="0.25">
      <c r="A12" s="5">
        <v>46099</v>
      </c>
      <c r="B12" t="s">
        <v>71</v>
      </c>
      <c r="C12" s="6" t="s">
        <v>112</v>
      </c>
      <c r="D12" t="s">
        <v>12</v>
      </c>
      <c r="E12" t="s">
        <v>24</v>
      </c>
      <c r="F12" t="s">
        <v>113</v>
      </c>
      <c r="G12" t="s">
        <v>114</v>
      </c>
      <c r="H12" t="s">
        <v>26</v>
      </c>
      <c r="I12" t="str">
        <f>_xlfn.XLOOKUP(Tabla1[[#This Row],[Dependencia]],Tabla2[Dependencia],Tabla2[Clasificación],"No indexado")</f>
        <v>Gobierno del estado</v>
      </c>
      <c r="J12" t="str">
        <f>_xlfn.XLOOKUP(Tabla1[[#This Row],[Dependencia]],Tabla3[Dependencia],Tabla3[Nivel],"otros",0)</f>
        <v>Gabinete</v>
      </c>
    </row>
    <row r="13" spans="1:10" x14ac:dyDescent="0.25">
      <c r="A13" s="5">
        <v>46099</v>
      </c>
      <c r="B13" t="s">
        <v>71</v>
      </c>
      <c r="C13" s="6" t="s">
        <v>115</v>
      </c>
      <c r="D13" t="s">
        <v>12</v>
      </c>
      <c r="E13" t="s">
        <v>25</v>
      </c>
      <c r="F13" t="s">
        <v>25</v>
      </c>
      <c r="G13" t="s">
        <v>116</v>
      </c>
      <c r="H13" t="s">
        <v>11</v>
      </c>
      <c r="I13" t="str">
        <f>_xlfn.XLOOKUP(Tabla1[[#This Row],[Dependencia]],Tabla2[Dependencia],Tabla2[Clasificación],"No indexado")</f>
        <v>Gobierno del estado</v>
      </c>
      <c r="J13" t="str">
        <f>_xlfn.XLOOKUP(Tabla1[[#This Row],[Dependencia]],Tabla3[Dependencia],Tabla3[Nivel],"otros",0)</f>
        <v>Gobernador</v>
      </c>
    </row>
    <row r="14" spans="1:10" x14ac:dyDescent="0.25">
      <c r="A14" s="5">
        <v>46099</v>
      </c>
      <c r="B14" t="s">
        <v>71</v>
      </c>
      <c r="C14" s="6" t="s">
        <v>117</v>
      </c>
      <c r="D14" t="s">
        <v>12</v>
      </c>
      <c r="E14" t="s">
        <v>44</v>
      </c>
      <c r="F14" t="s">
        <v>44</v>
      </c>
      <c r="G14" t="s">
        <v>118</v>
      </c>
      <c r="H14" t="s">
        <v>11</v>
      </c>
      <c r="I14" t="str">
        <f>_xlfn.XLOOKUP(Tabla1[[#This Row],[Dependencia]],Tabla2[Dependencia],Tabla2[Clasificación],"No indexado")</f>
        <v>Otros</v>
      </c>
      <c r="J14" t="str">
        <f>_xlfn.XLOOKUP(Tabla1[[#This Row],[Dependencia]],Tabla3[Dependencia],Tabla3[Nivel],"otros",0)</f>
        <v>otros</v>
      </c>
    </row>
    <row r="15" spans="1:10" x14ac:dyDescent="0.25">
      <c r="A15" s="5">
        <v>46099</v>
      </c>
      <c r="B15" t="s">
        <v>71</v>
      </c>
      <c r="C15" s="6" t="s">
        <v>119</v>
      </c>
      <c r="D15" t="s">
        <v>12</v>
      </c>
      <c r="E15" t="s">
        <v>68</v>
      </c>
      <c r="F15" t="s">
        <v>68</v>
      </c>
      <c r="G15" t="s">
        <v>120</v>
      </c>
      <c r="H15" t="s">
        <v>11</v>
      </c>
      <c r="I15" t="str">
        <f>_xlfn.XLOOKUP(Tabla1[[#This Row],[Dependencia]],Tabla2[Dependencia],Tabla2[Clasificación],"No indexado")</f>
        <v>Partidos</v>
      </c>
      <c r="J15" t="str">
        <f>_xlfn.XLOOKUP(Tabla1[[#This Row],[Dependencia]],Tabla3[Dependencia],Tabla3[Nivel],"otros",0)</f>
        <v>otros</v>
      </c>
    </row>
    <row r="16" spans="1:10" x14ac:dyDescent="0.25">
      <c r="A16" s="5">
        <v>46099</v>
      </c>
      <c r="B16" t="s">
        <v>75</v>
      </c>
      <c r="C16" s="6" t="s">
        <v>121</v>
      </c>
      <c r="D16" t="s">
        <v>12</v>
      </c>
      <c r="E16" t="s">
        <v>25</v>
      </c>
      <c r="F16" t="s">
        <v>25</v>
      </c>
      <c r="G16" t="s">
        <v>109</v>
      </c>
      <c r="H16" t="s">
        <v>11</v>
      </c>
      <c r="I16" t="str">
        <f>_xlfn.XLOOKUP(Tabla1[[#This Row],[Dependencia]],Tabla2[Dependencia],Tabla2[Clasificación],"No indexado")</f>
        <v>Gobierno del estado</v>
      </c>
      <c r="J16" t="str">
        <f>_xlfn.XLOOKUP(Tabla1[[#This Row],[Dependencia]],Tabla3[Dependencia],Tabla3[Nivel],"otros",0)</f>
        <v>Gobernador</v>
      </c>
    </row>
    <row r="17" spans="1:10" x14ac:dyDescent="0.25">
      <c r="A17" s="5">
        <v>46099</v>
      </c>
      <c r="B17" t="s">
        <v>75</v>
      </c>
      <c r="C17" s="6" t="s">
        <v>122</v>
      </c>
      <c r="D17" t="s">
        <v>12</v>
      </c>
      <c r="E17" t="s">
        <v>88</v>
      </c>
      <c r="F17" t="s">
        <v>2</v>
      </c>
      <c r="G17" t="s">
        <v>123</v>
      </c>
      <c r="H17" t="s">
        <v>16</v>
      </c>
      <c r="I17" t="str">
        <f>_xlfn.XLOOKUP(Tabla1[[#This Row],[Dependencia]],Tabla2[Dependencia],Tabla2[Clasificación],"No indexado")</f>
        <v>Partidos</v>
      </c>
      <c r="J17" t="str">
        <f>_xlfn.XLOOKUP(Tabla1[[#This Row],[Dependencia]],Tabla3[Dependencia],Tabla3[Nivel],"otros",0)</f>
        <v>otros</v>
      </c>
    </row>
    <row r="18" spans="1:10" x14ac:dyDescent="0.25">
      <c r="A18" s="5">
        <v>46099</v>
      </c>
      <c r="B18" t="s">
        <v>75</v>
      </c>
      <c r="C18" s="6" t="s">
        <v>124</v>
      </c>
      <c r="D18" t="s">
        <v>13</v>
      </c>
      <c r="E18" t="s">
        <v>37</v>
      </c>
      <c r="F18" t="s">
        <v>37</v>
      </c>
      <c r="G18" t="s">
        <v>125</v>
      </c>
      <c r="H18" t="s">
        <v>16</v>
      </c>
      <c r="I18" t="str">
        <f>_xlfn.XLOOKUP(Tabla1[[#This Row],[Dependencia]],Tabla2[Dependencia],Tabla2[Clasificación],"No indexado")</f>
        <v>Otros</v>
      </c>
      <c r="J18" t="str">
        <f>_xlfn.XLOOKUP(Tabla1[[#This Row],[Dependencia]],Tabla3[Dependencia],Tabla3[Nivel],"otros",0)</f>
        <v>otros</v>
      </c>
    </row>
    <row r="19" spans="1:10" x14ac:dyDescent="0.25">
      <c r="A19" s="5">
        <v>46099</v>
      </c>
      <c r="B19" t="s">
        <v>75</v>
      </c>
      <c r="C19" s="6" t="s">
        <v>126</v>
      </c>
      <c r="D19" t="s">
        <v>12</v>
      </c>
      <c r="E19" t="s">
        <v>10</v>
      </c>
      <c r="F19" t="s">
        <v>10</v>
      </c>
      <c r="G19" t="s">
        <v>82</v>
      </c>
      <c r="H19" t="s">
        <v>11</v>
      </c>
      <c r="I19" t="str">
        <f>_xlfn.XLOOKUP(Tabla1[[#This Row],[Dependencia]],Tabla2[Dependencia],Tabla2[Clasificación],"No indexado")</f>
        <v>Otros</v>
      </c>
      <c r="J19" t="str">
        <f>_xlfn.XLOOKUP(Tabla1[[#This Row],[Dependencia]],Tabla3[Dependencia],Tabla3[Nivel],"otros",0)</f>
        <v>otros</v>
      </c>
    </row>
    <row r="20" spans="1:10" x14ac:dyDescent="0.25">
      <c r="A20" s="5">
        <v>46099</v>
      </c>
      <c r="B20" t="s">
        <v>75</v>
      </c>
      <c r="C20" s="6" t="s">
        <v>127</v>
      </c>
      <c r="D20" t="s">
        <v>9</v>
      </c>
      <c r="E20" t="s">
        <v>25</v>
      </c>
      <c r="F20" t="s">
        <v>25</v>
      </c>
      <c r="G20" t="s">
        <v>128</v>
      </c>
      <c r="H20" t="s">
        <v>11</v>
      </c>
      <c r="I20" t="str">
        <f>_xlfn.XLOOKUP(Tabla1[[#This Row],[Dependencia]],Tabla2[Dependencia],Tabla2[Clasificación],"No indexado")</f>
        <v>Gobierno del estado</v>
      </c>
      <c r="J20" t="str">
        <f>_xlfn.XLOOKUP(Tabla1[[#This Row],[Dependencia]],Tabla3[Dependencia],Tabla3[Nivel],"otros",0)</f>
        <v>Gobernador</v>
      </c>
    </row>
    <row r="21" spans="1:10" x14ac:dyDescent="0.25">
      <c r="A21" s="5">
        <v>46099</v>
      </c>
      <c r="B21" t="s">
        <v>75</v>
      </c>
      <c r="C21" s="6" t="s">
        <v>129</v>
      </c>
      <c r="D21" t="s">
        <v>12</v>
      </c>
      <c r="E21" t="s">
        <v>49</v>
      </c>
      <c r="F21" t="s">
        <v>2</v>
      </c>
      <c r="G21" t="s">
        <v>89</v>
      </c>
      <c r="H21" t="s">
        <v>11</v>
      </c>
      <c r="I21" t="str">
        <f>_xlfn.XLOOKUP(Tabla1[[#This Row],[Dependencia]],Tabla2[Dependencia],Tabla2[Clasificación],"No indexado")</f>
        <v>Partidos</v>
      </c>
      <c r="J21" t="str">
        <f>_xlfn.XLOOKUP(Tabla1[[#This Row],[Dependencia]],Tabla3[Dependencia],Tabla3[Nivel],"otros",0)</f>
        <v>otros</v>
      </c>
    </row>
    <row r="22" spans="1:10" ht="30" x14ac:dyDescent="0.25">
      <c r="A22" s="5">
        <v>46099</v>
      </c>
      <c r="B22" t="s">
        <v>72</v>
      </c>
      <c r="C22" s="6" t="s">
        <v>130</v>
      </c>
      <c r="D22" t="s">
        <v>13</v>
      </c>
      <c r="E22" t="s">
        <v>25</v>
      </c>
      <c r="F22" t="s">
        <v>25</v>
      </c>
      <c r="G22" t="s">
        <v>131</v>
      </c>
      <c r="H22" t="s">
        <v>11</v>
      </c>
      <c r="I22" t="str">
        <f>_xlfn.XLOOKUP(Tabla1[[#This Row],[Dependencia]],Tabla2[Dependencia],Tabla2[Clasificación],"No indexado")</f>
        <v>Gobierno del estado</v>
      </c>
      <c r="J22" t="str">
        <f>_xlfn.XLOOKUP(Tabla1[[#This Row],[Dependencia]],Tabla3[Dependencia],Tabla3[Nivel],"otros",0)</f>
        <v>Gobernador</v>
      </c>
    </row>
    <row r="23" spans="1:10" x14ac:dyDescent="0.25">
      <c r="A23" s="5">
        <v>46099</v>
      </c>
      <c r="B23" t="s">
        <v>72</v>
      </c>
      <c r="C23" s="6" t="s">
        <v>132</v>
      </c>
      <c r="D23" t="s">
        <v>12</v>
      </c>
      <c r="E23" t="s">
        <v>27</v>
      </c>
      <c r="F23" t="s">
        <v>27</v>
      </c>
      <c r="G23" t="s">
        <v>91</v>
      </c>
      <c r="H23" t="s">
        <v>11</v>
      </c>
      <c r="I23" t="str">
        <f>_xlfn.XLOOKUP(Tabla1[[#This Row],[Dependencia]],Tabla2[Dependencia],Tabla2[Clasificación],"No indexado")</f>
        <v>Otros</v>
      </c>
      <c r="J23" t="str">
        <f>_xlfn.XLOOKUP(Tabla1[[#This Row],[Dependencia]],Tabla3[Dependencia],Tabla3[Nivel],"otros",0)</f>
        <v>otros</v>
      </c>
    </row>
    <row r="24" spans="1:10" x14ac:dyDescent="0.25">
      <c r="A24" s="5">
        <v>46099</v>
      </c>
      <c r="B24" t="s">
        <v>72</v>
      </c>
      <c r="C24" s="6" t="s">
        <v>133</v>
      </c>
      <c r="D24" t="s">
        <v>12</v>
      </c>
      <c r="E24" t="s">
        <v>28</v>
      </c>
      <c r="F24" t="s">
        <v>134</v>
      </c>
      <c r="G24" t="s">
        <v>135</v>
      </c>
      <c r="H24" t="s">
        <v>11</v>
      </c>
      <c r="I24" t="str">
        <f>_xlfn.XLOOKUP(Tabla1[[#This Row],[Dependencia]],Tabla2[Dependencia],Tabla2[Clasificación],"No indexado")</f>
        <v>Gobierno del estado</v>
      </c>
      <c r="J24" t="str">
        <f>_xlfn.XLOOKUP(Tabla1[[#This Row],[Dependencia]],Tabla3[Dependencia],Tabla3[Nivel],"otros",0)</f>
        <v>Gabinete</v>
      </c>
    </row>
    <row r="25" spans="1:10" x14ac:dyDescent="0.25">
      <c r="A25" s="5">
        <v>46099</v>
      </c>
      <c r="B25" t="s">
        <v>72</v>
      </c>
      <c r="C25" s="6" t="s">
        <v>136</v>
      </c>
      <c r="D25" t="s">
        <v>12</v>
      </c>
      <c r="E25" t="s">
        <v>17</v>
      </c>
      <c r="F25" t="s">
        <v>17</v>
      </c>
      <c r="G25" t="s">
        <v>137</v>
      </c>
      <c r="H25" t="s">
        <v>16</v>
      </c>
      <c r="I25" t="str">
        <f>_xlfn.XLOOKUP(Tabla1[[#This Row],[Dependencia]],Tabla2[Dependencia],Tabla2[Clasificación],"No indexado")</f>
        <v>Alcaldías</v>
      </c>
      <c r="J25" t="str">
        <f>_xlfn.XLOOKUP(Tabla1[[#This Row],[Dependencia]],Tabla3[Dependencia],Tabla3[Nivel],"otros",0)</f>
        <v>otros</v>
      </c>
    </row>
    <row r="26" spans="1:10" ht="30" x14ac:dyDescent="0.25">
      <c r="A26" s="5">
        <v>46099</v>
      </c>
      <c r="B26" t="s">
        <v>72</v>
      </c>
      <c r="C26" s="6" t="s">
        <v>138</v>
      </c>
      <c r="D26" t="s">
        <v>9</v>
      </c>
      <c r="E26" t="s">
        <v>10</v>
      </c>
      <c r="F26" t="s">
        <v>10</v>
      </c>
      <c r="G26" t="s">
        <v>84</v>
      </c>
      <c r="H26" t="s">
        <v>16</v>
      </c>
      <c r="I26" t="str">
        <f>_xlfn.XLOOKUP(Tabla1[[#This Row],[Dependencia]],Tabla2[Dependencia],Tabla2[Clasificación],"No indexado")</f>
        <v>Otros</v>
      </c>
      <c r="J26" t="str">
        <f>_xlfn.XLOOKUP(Tabla1[[#This Row],[Dependencia]],Tabla3[Dependencia],Tabla3[Nivel],"otros",0)</f>
        <v>otros</v>
      </c>
    </row>
    <row r="27" spans="1:10" x14ac:dyDescent="0.25">
      <c r="A27" s="5">
        <v>46099</v>
      </c>
      <c r="B27" t="s">
        <v>72</v>
      </c>
      <c r="C27" s="6" t="s">
        <v>139</v>
      </c>
      <c r="D27" t="s">
        <v>12</v>
      </c>
      <c r="E27" t="s">
        <v>14</v>
      </c>
      <c r="F27" t="s">
        <v>85</v>
      </c>
      <c r="G27" t="s">
        <v>140</v>
      </c>
      <c r="H27" t="s">
        <v>11</v>
      </c>
      <c r="I27" t="str">
        <f>_xlfn.XLOOKUP(Tabla1[[#This Row],[Dependencia]],Tabla2[Dependencia],Tabla2[Clasificación],"No indexado")</f>
        <v>Presidencia de la República</v>
      </c>
      <c r="J27" t="str">
        <f>_xlfn.XLOOKUP(Tabla1[[#This Row],[Dependencia]],Tabla3[Dependencia],Tabla3[Nivel],"otros",0)</f>
        <v>otros</v>
      </c>
    </row>
    <row r="28" spans="1:10" ht="30" x14ac:dyDescent="0.25">
      <c r="A28" s="5">
        <v>46099</v>
      </c>
      <c r="B28" t="s">
        <v>72</v>
      </c>
      <c r="C28" s="6" t="s">
        <v>141</v>
      </c>
      <c r="D28" t="s">
        <v>12</v>
      </c>
      <c r="E28" t="s">
        <v>14</v>
      </c>
      <c r="F28" t="s">
        <v>85</v>
      </c>
      <c r="G28" t="s">
        <v>142</v>
      </c>
      <c r="H28" t="s">
        <v>11</v>
      </c>
      <c r="I28" t="str">
        <f>_xlfn.XLOOKUP(Tabla1[[#This Row],[Dependencia]],Tabla2[Dependencia],Tabla2[Clasificación],"No indexado")</f>
        <v>Presidencia de la República</v>
      </c>
      <c r="J28" t="str">
        <f>_xlfn.XLOOKUP(Tabla1[[#This Row],[Dependencia]],Tabla3[Dependencia],Tabla3[Nivel],"otros",0)</f>
        <v>otros</v>
      </c>
    </row>
    <row r="29" spans="1:10" ht="30" x14ac:dyDescent="0.25">
      <c r="A29" s="5">
        <v>46099</v>
      </c>
      <c r="B29" t="s">
        <v>72</v>
      </c>
      <c r="C29" s="6" t="s">
        <v>143</v>
      </c>
      <c r="D29" t="s">
        <v>12</v>
      </c>
      <c r="E29" t="s">
        <v>44</v>
      </c>
      <c r="F29" t="s">
        <v>44</v>
      </c>
      <c r="G29" t="s">
        <v>144</v>
      </c>
      <c r="H29" t="s">
        <v>11</v>
      </c>
      <c r="I29" t="str">
        <f>_xlfn.XLOOKUP(Tabla1[[#This Row],[Dependencia]],Tabla2[Dependencia],Tabla2[Clasificación],"No indexado")</f>
        <v>Otros</v>
      </c>
      <c r="J29" t="str">
        <f>_xlfn.XLOOKUP(Tabla1[[#This Row],[Dependencia]],Tabla3[Dependencia],Tabla3[Nivel],"otros",0)</f>
        <v>otros</v>
      </c>
    </row>
    <row r="30" spans="1:10" x14ac:dyDescent="0.25">
      <c r="A30" s="5">
        <v>46099</v>
      </c>
      <c r="B30" t="s">
        <v>72</v>
      </c>
      <c r="C30" s="6" t="s">
        <v>209</v>
      </c>
      <c r="D30" t="s">
        <v>12</v>
      </c>
      <c r="E30" t="s">
        <v>32</v>
      </c>
      <c r="F30" t="s">
        <v>32</v>
      </c>
      <c r="G30" t="s">
        <v>145</v>
      </c>
      <c r="H30" t="s">
        <v>26</v>
      </c>
      <c r="I30" t="str">
        <f>_xlfn.XLOOKUP(Tabla1[[#This Row],[Dependencia]],Tabla2[Dependencia],Tabla2[Clasificación],"No indexado")</f>
        <v>Gobierno del estado</v>
      </c>
      <c r="J30" t="str">
        <f>_xlfn.XLOOKUP(Tabla1[[#This Row],[Dependencia]],Tabla3[Dependencia],Tabla3[Nivel],"otros",0)</f>
        <v>Gabinete</v>
      </c>
    </row>
    <row r="31" spans="1:10" ht="30" x14ac:dyDescent="0.25">
      <c r="A31" s="5">
        <v>46099</v>
      </c>
      <c r="B31" t="s">
        <v>72</v>
      </c>
      <c r="C31" s="6" t="s">
        <v>146</v>
      </c>
      <c r="D31" t="s">
        <v>12</v>
      </c>
      <c r="E31" t="s">
        <v>10</v>
      </c>
      <c r="F31" t="s">
        <v>10</v>
      </c>
      <c r="G31" t="s">
        <v>69</v>
      </c>
      <c r="H31" t="s">
        <v>11</v>
      </c>
      <c r="I31" t="str">
        <f>_xlfn.XLOOKUP(Tabla1[[#This Row],[Dependencia]],Tabla2[Dependencia],Tabla2[Clasificación],"No indexado")</f>
        <v>Otros</v>
      </c>
      <c r="J31" t="str">
        <f>_xlfn.XLOOKUP(Tabla1[[#This Row],[Dependencia]],Tabla3[Dependencia],Tabla3[Nivel],"otros",0)</f>
        <v>otros</v>
      </c>
    </row>
    <row r="32" spans="1:10" ht="30" x14ac:dyDescent="0.25">
      <c r="A32" s="5">
        <v>46099</v>
      </c>
      <c r="B32" t="s">
        <v>72</v>
      </c>
      <c r="C32" s="6" t="s">
        <v>147</v>
      </c>
      <c r="D32" t="s">
        <v>12</v>
      </c>
      <c r="E32" t="s">
        <v>10</v>
      </c>
      <c r="F32" t="s">
        <v>10</v>
      </c>
      <c r="G32" t="s">
        <v>69</v>
      </c>
      <c r="H32" t="s">
        <v>11</v>
      </c>
      <c r="I32" t="str">
        <f>_xlfn.XLOOKUP(Tabla1[[#This Row],[Dependencia]],Tabla2[Dependencia],Tabla2[Clasificación],"No indexado")</f>
        <v>Otros</v>
      </c>
      <c r="J32" t="str">
        <f>_xlfn.XLOOKUP(Tabla1[[#This Row],[Dependencia]],Tabla3[Dependencia],Tabla3[Nivel],"otros",0)</f>
        <v>otros</v>
      </c>
    </row>
    <row r="33" spans="1:10" ht="30" x14ac:dyDescent="0.25">
      <c r="A33" s="5">
        <v>46099</v>
      </c>
      <c r="B33" t="s">
        <v>73</v>
      </c>
      <c r="C33" s="6" t="s">
        <v>148</v>
      </c>
      <c r="D33" t="s">
        <v>12</v>
      </c>
      <c r="E33" t="s">
        <v>44</v>
      </c>
      <c r="F33" t="s">
        <v>44</v>
      </c>
      <c r="G33" t="s">
        <v>144</v>
      </c>
      <c r="H33" t="s">
        <v>11</v>
      </c>
      <c r="I33" t="str">
        <f>_xlfn.XLOOKUP(Tabla1[[#This Row],[Dependencia]],Tabla2[Dependencia],Tabla2[Clasificación],"No indexado")</f>
        <v>Otros</v>
      </c>
      <c r="J33" t="str">
        <f>_xlfn.XLOOKUP(Tabla1[[#This Row],[Dependencia]],Tabla3[Dependencia],Tabla3[Nivel],"otros",0)</f>
        <v>otros</v>
      </c>
    </row>
    <row r="34" spans="1:10" ht="30" x14ac:dyDescent="0.25">
      <c r="A34" s="5">
        <v>46099</v>
      </c>
      <c r="B34" t="s">
        <v>73</v>
      </c>
      <c r="C34" s="6" t="s">
        <v>149</v>
      </c>
      <c r="D34" t="s">
        <v>13</v>
      </c>
      <c r="E34" t="s">
        <v>24</v>
      </c>
      <c r="F34" t="s">
        <v>113</v>
      </c>
      <c r="G34" t="s">
        <v>114</v>
      </c>
      <c r="H34" t="s">
        <v>26</v>
      </c>
      <c r="I34" t="str">
        <f>_xlfn.XLOOKUP(Tabla1[[#This Row],[Dependencia]],Tabla2[Dependencia],Tabla2[Clasificación],"No indexado")</f>
        <v>Gobierno del estado</v>
      </c>
      <c r="J34" t="str">
        <f>_xlfn.XLOOKUP(Tabla1[[#This Row],[Dependencia]],Tabla3[Dependencia],Tabla3[Nivel],"otros",0)</f>
        <v>Gabinete</v>
      </c>
    </row>
    <row r="35" spans="1:10" x14ac:dyDescent="0.25">
      <c r="A35" s="5">
        <v>46099</v>
      </c>
      <c r="B35" t="s">
        <v>73</v>
      </c>
      <c r="C35" s="6" t="s">
        <v>150</v>
      </c>
      <c r="D35" t="s">
        <v>12</v>
      </c>
      <c r="E35" t="s">
        <v>14</v>
      </c>
      <c r="F35" t="s">
        <v>85</v>
      </c>
      <c r="G35" t="s">
        <v>151</v>
      </c>
      <c r="H35" t="s">
        <v>11</v>
      </c>
      <c r="I35" t="str">
        <f>_xlfn.XLOOKUP(Tabla1[[#This Row],[Dependencia]],Tabla2[Dependencia],Tabla2[Clasificación],"No indexado")</f>
        <v>Presidencia de la República</v>
      </c>
      <c r="J35" t="str">
        <f>_xlfn.XLOOKUP(Tabla1[[#This Row],[Dependencia]],Tabla3[Dependencia],Tabla3[Nivel],"otros",0)</f>
        <v>otros</v>
      </c>
    </row>
    <row r="36" spans="1:10" ht="30" x14ac:dyDescent="0.25">
      <c r="A36" s="5">
        <v>46099</v>
      </c>
      <c r="B36" t="s">
        <v>73</v>
      </c>
      <c r="C36" s="6" t="s">
        <v>152</v>
      </c>
      <c r="D36" t="s">
        <v>9</v>
      </c>
      <c r="E36" t="s">
        <v>24</v>
      </c>
      <c r="F36" t="s">
        <v>153</v>
      </c>
      <c r="G36" t="s">
        <v>154</v>
      </c>
      <c r="H36" t="s">
        <v>11</v>
      </c>
      <c r="I36" t="str">
        <f>_xlfn.XLOOKUP(Tabla1[[#This Row],[Dependencia]],Tabla2[Dependencia],Tabla2[Clasificación],"No indexado")</f>
        <v>Gobierno del estado</v>
      </c>
      <c r="J36" t="str">
        <f>_xlfn.XLOOKUP(Tabla1[[#This Row],[Dependencia]],Tabla3[Dependencia],Tabla3[Nivel],"otros",0)</f>
        <v>Gabinete</v>
      </c>
    </row>
    <row r="37" spans="1:10" ht="135" x14ac:dyDescent="0.25">
      <c r="A37" s="5">
        <v>46099</v>
      </c>
      <c r="B37" t="s">
        <v>73</v>
      </c>
      <c r="C37" s="6" t="s">
        <v>155</v>
      </c>
      <c r="D37" t="s">
        <v>12</v>
      </c>
      <c r="E37" t="s">
        <v>10</v>
      </c>
      <c r="F37" t="s">
        <v>10</v>
      </c>
      <c r="G37" t="s">
        <v>69</v>
      </c>
      <c r="H37" t="s">
        <v>11</v>
      </c>
      <c r="I37" t="str">
        <f>_xlfn.XLOOKUP(Tabla1[[#This Row],[Dependencia]],Tabla2[Dependencia],Tabla2[Clasificación],"No indexado")</f>
        <v>Otros</v>
      </c>
      <c r="J37" t="str">
        <f>_xlfn.XLOOKUP(Tabla1[[#This Row],[Dependencia]],Tabla3[Dependencia],Tabla3[Nivel],"otros",0)</f>
        <v>otros</v>
      </c>
    </row>
    <row r="38" spans="1:10" ht="30" x14ac:dyDescent="0.25">
      <c r="A38" s="5">
        <v>46099</v>
      </c>
      <c r="B38" t="s">
        <v>74</v>
      </c>
      <c r="C38" s="6" t="s">
        <v>156</v>
      </c>
      <c r="D38" t="s">
        <v>13</v>
      </c>
      <c r="E38" t="s">
        <v>25</v>
      </c>
      <c r="F38" t="s">
        <v>25</v>
      </c>
      <c r="G38" t="s">
        <v>114</v>
      </c>
      <c r="H38" t="s">
        <v>26</v>
      </c>
      <c r="I38" t="str">
        <f>_xlfn.XLOOKUP(Tabla1[[#This Row],[Dependencia]],Tabla2[Dependencia],Tabla2[Clasificación],"No indexado")</f>
        <v>Gobierno del estado</v>
      </c>
      <c r="J38" t="str">
        <f>_xlfn.XLOOKUP(Tabla1[[#This Row],[Dependencia]],Tabla3[Dependencia],Tabla3[Nivel],"otros",0)</f>
        <v>Gobernador</v>
      </c>
    </row>
    <row r="39" spans="1:10" ht="30" x14ac:dyDescent="0.25">
      <c r="A39" s="5">
        <v>46099</v>
      </c>
      <c r="B39" t="s">
        <v>74</v>
      </c>
      <c r="C39" s="6" t="s">
        <v>157</v>
      </c>
      <c r="D39" t="s">
        <v>12</v>
      </c>
      <c r="E39" t="s">
        <v>28</v>
      </c>
      <c r="F39" t="s">
        <v>134</v>
      </c>
      <c r="G39" t="s">
        <v>135</v>
      </c>
      <c r="H39" t="s">
        <v>11</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46099</v>
      </c>
      <c r="B40" t="s">
        <v>74</v>
      </c>
      <c r="C40" s="6" t="s">
        <v>158</v>
      </c>
      <c r="D40" t="s">
        <v>12</v>
      </c>
      <c r="E40" t="s">
        <v>25</v>
      </c>
      <c r="F40" t="s">
        <v>25</v>
      </c>
      <c r="G40" t="s">
        <v>111</v>
      </c>
      <c r="H40" t="s">
        <v>11</v>
      </c>
      <c r="I40" t="str">
        <f>_xlfn.XLOOKUP(Tabla1[[#This Row],[Dependencia]],Tabla2[Dependencia],Tabla2[Clasificación],"No indexado")</f>
        <v>Gobierno del estado</v>
      </c>
      <c r="J40" t="str">
        <f>_xlfn.XLOOKUP(Tabla1[[#This Row],[Dependencia]],Tabla3[Dependencia],Tabla3[Nivel],"otros",0)</f>
        <v>Gobernador</v>
      </c>
    </row>
    <row r="41" spans="1:10" x14ac:dyDescent="0.25">
      <c r="A41" s="5">
        <v>46099</v>
      </c>
      <c r="B41" t="s">
        <v>74</v>
      </c>
      <c r="C41" s="6" t="s">
        <v>159</v>
      </c>
      <c r="D41" t="s">
        <v>12</v>
      </c>
      <c r="E41" t="s">
        <v>15</v>
      </c>
      <c r="F41" t="s">
        <v>2</v>
      </c>
      <c r="G41" t="s">
        <v>160</v>
      </c>
      <c r="H41" t="s">
        <v>11</v>
      </c>
      <c r="I41" t="str">
        <f>_xlfn.XLOOKUP(Tabla1[[#This Row],[Dependencia]],Tabla2[Dependencia],Tabla2[Clasificación],"No indexado")</f>
        <v>Gobierno del estado</v>
      </c>
      <c r="J41" t="str">
        <f>_xlfn.XLOOKUP(Tabla1[[#This Row],[Dependencia]],Tabla3[Dependencia],Tabla3[Nivel],"otros",0)</f>
        <v>Gabinete</v>
      </c>
    </row>
    <row r="42" spans="1:10" ht="30" x14ac:dyDescent="0.25">
      <c r="A42" s="5">
        <v>46099</v>
      </c>
      <c r="B42" t="s">
        <v>76</v>
      </c>
      <c r="C42" s="6" t="s">
        <v>161</v>
      </c>
      <c r="D42" t="s">
        <v>9</v>
      </c>
      <c r="E42" t="s">
        <v>25</v>
      </c>
      <c r="F42" t="s">
        <v>25</v>
      </c>
      <c r="G42" t="s">
        <v>111</v>
      </c>
      <c r="H42" t="s">
        <v>26</v>
      </c>
      <c r="I42" t="str">
        <f>_xlfn.XLOOKUP(Tabla1[[#This Row],[Dependencia]],Tabla2[Dependencia],Tabla2[Clasificación],"No indexado")</f>
        <v>Gobierno del estado</v>
      </c>
      <c r="J42" t="str">
        <f>_xlfn.XLOOKUP(Tabla1[[#This Row],[Dependencia]],Tabla3[Dependencia],Tabla3[Nivel],"otros",0)</f>
        <v>Gobernador</v>
      </c>
    </row>
    <row r="43" spans="1:10" ht="30" x14ac:dyDescent="0.25">
      <c r="A43" s="5">
        <v>46099</v>
      </c>
      <c r="B43" t="s">
        <v>76</v>
      </c>
      <c r="C43" s="6" t="s">
        <v>162</v>
      </c>
      <c r="D43" t="s">
        <v>12</v>
      </c>
      <c r="E43" t="s">
        <v>10</v>
      </c>
      <c r="F43" t="s">
        <v>10</v>
      </c>
      <c r="G43" t="s">
        <v>69</v>
      </c>
      <c r="H43" t="s">
        <v>11</v>
      </c>
      <c r="I43" t="str">
        <f>_xlfn.XLOOKUP(Tabla1[[#This Row],[Dependencia]],Tabla2[Dependencia],Tabla2[Clasificación],"No indexado")</f>
        <v>Otros</v>
      </c>
      <c r="J43" t="str">
        <f>_xlfn.XLOOKUP(Tabla1[[#This Row],[Dependencia]],Tabla3[Dependencia],Tabla3[Nivel],"otros",0)</f>
        <v>otros</v>
      </c>
    </row>
    <row r="44" spans="1:10" ht="30" x14ac:dyDescent="0.25">
      <c r="A44" s="5">
        <v>46099</v>
      </c>
      <c r="B44" t="s">
        <v>76</v>
      </c>
      <c r="C44" s="6" t="s">
        <v>163</v>
      </c>
      <c r="D44" t="s">
        <v>13</v>
      </c>
      <c r="E44" t="s">
        <v>17</v>
      </c>
      <c r="F44" t="s">
        <v>17</v>
      </c>
      <c r="G44" t="s">
        <v>164</v>
      </c>
      <c r="H44" t="s">
        <v>16</v>
      </c>
      <c r="I44" t="str">
        <f>_xlfn.XLOOKUP(Tabla1[[#This Row],[Dependencia]],Tabla2[Dependencia],Tabla2[Clasificación],"No indexado")</f>
        <v>Alcaldías</v>
      </c>
      <c r="J44" t="str">
        <f>_xlfn.XLOOKUP(Tabla1[[#This Row],[Dependencia]],Tabla3[Dependencia],Tabla3[Nivel],"otros",0)</f>
        <v>otros</v>
      </c>
    </row>
    <row r="45" spans="1:10" ht="30" x14ac:dyDescent="0.25">
      <c r="A45" s="5">
        <v>46099</v>
      </c>
      <c r="B45" t="s">
        <v>76</v>
      </c>
      <c r="C45" s="6" t="s">
        <v>165</v>
      </c>
      <c r="D45" t="s">
        <v>12</v>
      </c>
      <c r="E45" t="s">
        <v>24</v>
      </c>
      <c r="F45" t="s">
        <v>24</v>
      </c>
      <c r="G45" t="s">
        <v>166</v>
      </c>
      <c r="H45" t="s">
        <v>11</v>
      </c>
      <c r="I45" t="str">
        <f>_xlfn.XLOOKUP(Tabla1[[#This Row],[Dependencia]],Tabla2[Dependencia],Tabla2[Clasificación],"No indexado")</f>
        <v>Gobierno del estado</v>
      </c>
      <c r="J45" t="str">
        <f>_xlfn.XLOOKUP(Tabla1[[#This Row],[Dependencia]],Tabla3[Dependencia],Tabla3[Nivel],"otros",0)</f>
        <v>Gabinete</v>
      </c>
    </row>
    <row r="46" spans="1:10" ht="30" x14ac:dyDescent="0.25">
      <c r="A46" s="5">
        <v>46099</v>
      </c>
      <c r="B46" t="s">
        <v>76</v>
      </c>
      <c r="C46" s="6" t="s">
        <v>167</v>
      </c>
      <c r="D46" t="s">
        <v>12</v>
      </c>
      <c r="E46" t="s">
        <v>15</v>
      </c>
      <c r="F46" t="s">
        <v>168</v>
      </c>
      <c r="G46" t="s">
        <v>169</v>
      </c>
      <c r="H46" t="s">
        <v>11</v>
      </c>
      <c r="I46" t="str">
        <f>_xlfn.XLOOKUP(Tabla1[[#This Row],[Dependencia]],Tabla2[Dependencia],Tabla2[Clasificación],"No indexado")</f>
        <v>Gobierno del estado</v>
      </c>
      <c r="J46" t="str">
        <f>_xlfn.XLOOKUP(Tabla1[[#This Row],[Dependencia]],Tabla3[Dependencia],Tabla3[Nivel],"otros",0)</f>
        <v>Gabinete</v>
      </c>
    </row>
    <row r="47" spans="1:10" ht="30" x14ac:dyDescent="0.25">
      <c r="A47" s="5">
        <v>46099</v>
      </c>
      <c r="B47" t="s">
        <v>170</v>
      </c>
      <c r="C47" s="6" t="s">
        <v>171</v>
      </c>
      <c r="D47" t="s">
        <v>13</v>
      </c>
      <c r="E47" t="s">
        <v>17</v>
      </c>
      <c r="F47" t="s">
        <v>172</v>
      </c>
      <c r="G47" t="s">
        <v>173</v>
      </c>
      <c r="H47" t="s">
        <v>11</v>
      </c>
      <c r="I47" t="str">
        <f>_xlfn.XLOOKUP(Tabla1[[#This Row],[Dependencia]],Tabla2[Dependencia],Tabla2[Clasificación],"No indexado")</f>
        <v>Alcaldías</v>
      </c>
      <c r="J47" t="str">
        <f>_xlfn.XLOOKUP(Tabla1[[#This Row],[Dependencia]],Tabla3[Dependencia],Tabla3[Nivel],"otros",0)</f>
        <v>otros</v>
      </c>
    </row>
    <row r="48" spans="1:10" ht="30" x14ac:dyDescent="0.25">
      <c r="A48" s="5">
        <v>46099</v>
      </c>
      <c r="B48" t="s">
        <v>170</v>
      </c>
      <c r="C48" s="6" t="s">
        <v>174</v>
      </c>
      <c r="D48" t="s">
        <v>12</v>
      </c>
      <c r="E48" t="s">
        <v>25</v>
      </c>
      <c r="F48" t="s">
        <v>25</v>
      </c>
      <c r="G48" t="s">
        <v>175</v>
      </c>
      <c r="H48" t="s">
        <v>11</v>
      </c>
      <c r="I48" t="str">
        <f>_xlfn.XLOOKUP(Tabla1[[#This Row],[Dependencia]],Tabla2[Dependencia],Tabla2[Clasificación],"No indexado")</f>
        <v>Gobierno del estado</v>
      </c>
      <c r="J48" t="str">
        <f>_xlfn.XLOOKUP(Tabla1[[#This Row],[Dependencia]],Tabla3[Dependencia],Tabla3[Nivel],"otros",0)</f>
        <v>Gobernador</v>
      </c>
    </row>
    <row r="49" spans="1:10" ht="30" x14ac:dyDescent="0.25">
      <c r="A49" s="5">
        <v>46099</v>
      </c>
      <c r="B49" t="s">
        <v>170</v>
      </c>
      <c r="C49" s="6" t="s">
        <v>176</v>
      </c>
      <c r="D49" t="s">
        <v>12</v>
      </c>
      <c r="E49" t="s">
        <v>25</v>
      </c>
      <c r="F49" t="s">
        <v>25</v>
      </c>
      <c r="G49" t="s">
        <v>111</v>
      </c>
      <c r="H49" t="s">
        <v>11</v>
      </c>
      <c r="I49" t="str">
        <f>_xlfn.XLOOKUP(Tabla1[[#This Row],[Dependencia]],Tabla2[Dependencia],Tabla2[Clasificación],"No indexado")</f>
        <v>Gobierno del estado</v>
      </c>
      <c r="J49" t="str">
        <f>_xlfn.XLOOKUP(Tabla1[[#This Row],[Dependencia]],Tabla3[Dependencia],Tabla3[Nivel],"otros",0)</f>
        <v>Gobernador</v>
      </c>
    </row>
    <row r="50" spans="1:10" x14ac:dyDescent="0.25">
      <c r="A50" s="5">
        <v>46099</v>
      </c>
      <c r="B50" t="s">
        <v>170</v>
      </c>
      <c r="C50" s="6" t="s">
        <v>177</v>
      </c>
      <c r="D50" t="s">
        <v>12</v>
      </c>
      <c r="E50" t="s">
        <v>88</v>
      </c>
      <c r="F50" t="s">
        <v>88</v>
      </c>
      <c r="G50" t="s">
        <v>90</v>
      </c>
      <c r="H50" t="s">
        <v>16</v>
      </c>
      <c r="I50" t="str">
        <f>_xlfn.XLOOKUP(Tabla1[[#This Row],[Dependencia]],Tabla2[Dependencia],Tabla2[Clasificación],"No indexado")</f>
        <v>Partidos</v>
      </c>
      <c r="J50" t="str">
        <f>_xlfn.XLOOKUP(Tabla1[[#This Row],[Dependencia]],Tabla3[Dependencia],Tabla3[Nivel],"otros",0)</f>
        <v>otros</v>
      </c>
    </row>
    <row r="51" spans="1:10" x14ac:dyDescent="0.25">
      <c r="A51" s="5">
        <v>46099</v>
      </c>
      <c r="B51" t="s">
        <v>170</v>
      </c>
      <c r="C51" s="6" t="s">
        <v>178</v>
      </c>
      <c r="D51" t="s">
        <v>12</v>
      </c>
      <c r="E51" t="s">
        <v>17</v>
      </c>
      <c r="F51" t="s">
        <v>17</v>
      </c>
      <c r="G51" t="s">
        <v>179</v>
      </c>
      <c r="H51" t="s">
        <v>11</v>
      </c>
      <c r="I51" t="str">
        <f>_xlfn.XLOOKUP(Tabla1[[#This Row],[Dependencia]],Tabla2[Dependencia],Tabla2[Clasificación],"No indexado")</f>
        <v>Alcaldías</v>
      </c>
      <c r="J51" t="str">
        <f>_xlfn.XLOOKUP(Tabla1[[#This Row],[Dependencia]],Tabla3[Dependencia],Tabla3[Nivel],"otros",0)</f>
        <v>otros</v>
      </c>
    </row>
    <row r="52" spans="1:10" x14ac:dyDescent="0.25">
      <c r="A52" s="5">
        <v>46099</v>
      </c>
      <c r="B52" t="s">
        <v>170</v>
      </c>
      <c r="C52" s="6" t="s">
        <v>180</v>
      </c>
      <c r="D52" t="s">
        <v>12</v>
      </c>
      <c r="E52" t="s">
        <v>23</v>
      </c>
      <c r="F52" t="s">
        <v>23</v>
      </c>
      <c r="G52" t="s">
        <v>181</v>
      </c>
      <c r="H52" t="s">
        <v>11</v>
      </c>
      <c r="I52" t="str">
        <f>_xlfn.XLOOKUP(Tabla1[[#This Row],[Dependencia]],Tabla2[Dependencia],Tabla2[Clasificación],"No indexado")</f>
        <v>Gobierno del estado</v>
      </c>
      <c r="J52" t="str">
        <f>_xlfn.XLOOKUP(Tabla1[[#This Row],[Dependencia]],Tabla3[Dependencia],Tabla3[Nivel],"otros",0)</f>
        <v>Gabinete</v>
      </c>
    </row>
    <row r="53" spans="1:10" x14ac:dyDescent="0.25">
      <c r="A53" s="5">
        <v>46099</v>
      </c>
      <c r="B53" t="s">
        <v>78</v>
      </c>
      <c r="C53" s="6" t="s">
        <v>182</v>
      </c>
      <c r="D53" t="s">
        <v>80</v>
      </c>
      <c r="E53" t="s">
        <v>25</v>
      </c>
      <c r="F53" t="s">
        <v>25</v>
      </c>
      <c r="G53" t="s">
        <v>183</v>
      </c>
      <c r="H53" t="s">
        <v>11</v>
      </c>
      <c r="I53" t="str">
        <f>_xlfn.XLOOKUP(Tabla1[[#This Row],[Dependencia]],Tabla2[Dependencia],Tabla2[Clasificación],"No indexado")</f>
        <v>Gobierno del estado</v>
      </c>
      <c r="J53" t="str">
        <f>_xlfn.XLOOKUP(Tabla1[[#This Row],[Dependencia]],Tabla3[Dependencia],Tabla3[Nivel],"otros",0)</f>
        <v>Gobernador</v>
      </c>
    </row>
    <row r="54" spans="1:10" ht="30" x14ac:dyDescent="0.25">
      <c r="A54" s="5">
        <v>46099</v>
      </c>
      <c r="B54" t="s">
        <v>78</v>
      </c>
      <c r="C54" s="6" t="s">
        <v>184</v>
      </c>
      <c r="D54" t="s">
        <v>12</v>
      </c>
      <c r="E54" t="s">
        <v>17</v>
      </c>
      <c r="F54" t="s">
        <v>95</v>
      </c>
      <c r="G54" t="s">
        <v>86</v>
      </c>
      <c r="H54" t="s">
        <v>11</v>
      </c>
      <c r="I54" t="str">
        <f>_xlfn.XLOOKUP(Tabla1[[#This Row],[Dependencia]],Tabla2[Dependencia],Tabla2[Clasificación],"No indexado")</f>
        <v>Alcaldías</v>
      </c>
      <c r="J54" t="str">
        <f>_xlfn.XLOOKUP(Tabla1[[#This Row],[Dependencia]],Tabla3[Dependencia],Tabla3[Nivel],"otros",0)</f>
        <v>otros</v>
      </c>
    </row>
    <row r="55" spans="1:10" ht="30" x14ac:dyDescent="0.25">
      <c r="A55" s="5">
        <v>46099</v>
      </c>
      <c r="B55" t="s">
        <v>78</v>
      </c>
      <c r="C55" s="6" t="s">
        <v>185</v>
      </c>
      <c r="D55" t="s">
        <v>12</v>
      </c>
      <c r="E55" t="s">
        <v>44</v>
      </c>
      <c r="F55" t="s">
        <v>44</v>
      </c>
      <c r="G55" t="s">
        <v>186</v>
      </c>
      <c r="H55" t="s">
        <v>11</v>
      </c>
      <c r="I55" t="str">
        <f>_xlfn.XLOOKUP(Tabla1[[#This Row],[Dependencia]],Tabla2[Dependencia],Tabla2[Clasificación],"No indexado")</f>
        <v>Otros</v>
      </c>
      <c r="J55" t="str">
        <f>_xlfn.XLOOKUP(Tabla1[[#This Row],[Dependencia]],Tabla3[Dependencia],Tabla3[Nivel],"otros",0)</f>
        <v>otros</v>
      </c>
    </row>
    <row r="56" spans="1:10" ht="30" x14ac:dyDescent="0.25">
      <c r="A56" s="5">
        <v>46099</v>
      </c>
      <c r="B56" t="s">
        <v>78</v>
      </c>
      <c r="C56" s="6" t="s">
        <v>187</v>
      </c>
      <c r="D56" t="s">
        <v>13</v>
      </c>
      <c r="E56" t="s">
        <v>25</v>
      </c>
      <c r="F56" t="s">
        <v>25</v>
      </c>
      <c r="G56" t="s">
        <v>175</v>
      </c>
      <c r="H56" t="s">
        <v>11</v>
      </c>
      <c r="I56" t="str">
        <f>_xlfn.XLOOKUP(Tabla1[[#This Row],[Dependencia]],Tabla2[Dependencia],Tabla2[Clasificación],"No indexado")</f>
        <v>Gobierno del estado</v>
      </c>
      <c r="J56" t="str">
        <f>_xlfn.XLOOKUP(Tabla1[[#This Row],[Dependencia]],Tabla3[Dependencia],Tabla3[Nivel],"otros",0)</f>
        <v>Gobernador</v>
      </c>
    </row>
    <row r="57" spans="1:10" ht="30" x14ac:dyDescent="0.25">
      <c r="A57" s="5">
        <v>46099</v>
      </c>
      <c r="B57" t="s">
        <v>78</v>
      </c>
      <c r="C57" s="6" t="s">
        <v>188</v>
      </c>
      <c r="D57" t="s">
        <v>12</v>
      </c>
      <c r="E57" t="s">
        <v>14</v>
      </c>
      <c r="F57" t="s">
        <v>85</v>
      </c>
      <c r="G57" t="s">
        <v>142</v>
      </c>
      <c r="H57" t="s">
        <v>11</v>
      </c>
      <c r="I57" t="str">
        <f>_xlfn.XLOOKUP(Tabla1[[#This Row],[Dependencia]],Tabla2[Dependencia],Tabla2[Clasificación],"No indexado")</f>
        <v>Presidencia de la República</v>
      </c>
      <c r="J57" t="str">
        <f>_xlfn.XLOOKUP(Tabla1[[#This Row],[Dependencia]],Tabla3[Dependencia],Tabla3[Nivel],"otros",0)</f>
        <v>otros</v>
      </c>
    </row>
    <row r="58" spans="1:10" x14ac:dyDescent="0.25">
      <c r="A58" s="5">
        <v>46099</v>
      </c>
      <c r="B58" t="s">
        <v>78</v>
      </c>
      <c r="C58" s="6" t="s">
        <v>189</v>
      </c>
      <c r="D58" t="s">
        <v>92</v>
      </c>
      <c r="E58" t="s">
        <v>17</v>
      </c>
      <c r="F58" t="s">
        <v>17</v>
      </c>
      <c r="G58" t="s">
        <v>190</v>
      </c>
      <c r="H58" t="s">
        <v>11</v>
      </c>
      <c r="I58" t="str">
        <f>_xlfn.XLOOKUP(Tabla1[[#This Row],[Dependencia]],Tabla2[Dependencia],Tabla2[Clasificación],"No indexado")</f>
        <v>Alcaldías</v>
      </c>
      <c r="J58" t="str">
        <f>_xlfn.XLOOKUP(Tabla1[[#This Row],[Dependencia]],Tabla3[Dependencia],Tabla3[Nivel],"otros",0)</f>
        <v>otros</v>
      </c>
    </row>
    <row r="59" spans="1:10" x14ac:dyDescent="0.25">
      <c r="A59" s="5">
        <v>46099</v>
      </c>
      <c r="B59" t="s">
        <v>78</v>
      </c>
      <c r="C59" s="6" t="s">
        <v>191</v>
      </c>
      <c r="D59" t="s">
        <v>12</v>
      </c>
      <c r="E59" t="s">
        <v>17</v>
      </c>
      <c r="F59" t="s">
        <v>17</v>
      </c>
      <c r="G59" t="s">
        <v>192</v>
      </c>
      <c r="H59" t="s">
        <v>11</v>
      </c>
      <c r="I59" t="str">
        <f>_xlfn.XLOOKUP(Tabla1[[#This Row],[Dependencia]],Tabla2[Dependencia],Tabla2[Clasificación],"No indexado")</f>
        <v>Alcaldías</v>
      </c>
      <c r="J59" t="str">
        <f>_xlfn.XLOOKUP(Tabla1[[#This Row],[Dependencia]],Tabla3[Dependencia],Tabla3[Nivel],"otros",0)</f>
        <v>otros</v>
      </c>
    </row>
    <row r="60" spans="1:10" ht="30" x14ac:dyDescent="0.25">
      <c r="A60" s="5">
        <v>46099</v>
      </c>
      <c r="B60" t="s">
        <v>78</v>
      </c>
      <c r="C60" s="6" t="s">
        <v>193</v>
      </c>
      <c r="D60" t="s">
        <v>12</v>
      </c>
      <c r="E60" t="s">
        <v>17</v>
      </c>
      <c r="F60" t="s">
        <v>17</v>
      </c>
      <c r="G60" t="s">
        <v>194</v>
      </c>
      <c r="H60" t="s">
        <v>11</v>
      </c>
      <c r="I60" t="str">
        <f>_xlfn.XLOOKUP(Tabla1[[#This Row],[Dependencia]],Tabla2[Dependencia],Tabla2[Clasificación],"No indexado")</f>
        <v>Alcaldías</v>
      </c>
      <c r="J60" t="str">
        <f>_xlfn.XLOOKUP(Tabla1[[#This Row],[Dependencia]],Tabla3[Dependencia],Tabla3[Nivel],"otros",0)</f>
        <v>otros</v>
      </c>
    </row>
    <row r="61" spans="1:10" ht="30" x14ac:dyDescent="0.25">
      <c r="A61" s="5">
        <v>46099</v>
      </c>
      <c r="B61" t="s">
        <v>29</v>
      </c>
      <c r="C61" s="6" t="s">
        <v>195</v>
      </c>
      <c r="D61" t="s">
        <v>13</v>
      </c>
      <c r="E61" t="s">
        <v>28</v>
      </c>
      <c r="F61" t="s">
        <v>134</v>
      </c>
      <c r="G61" t="s">
        <v>135</v>
      </c>
      <c r="H61" t="s">
        <v>26</v>
      </c>
      <c r="I61" t="str">
        <f>_xlfn.XLOOKUP(Tabla1[[#This Row],[Dependencia]],Tabla2[Dependencia],Tabla2[Clasificación],"No indexado")</f>
        <v>Gobierno del estado</v>
      </c>
      <c r="J61" t="str">
        <f>_xlfn.XLOOKUP(Tabla1[[#This Row],[Dependencia]],Tabla3[Dependencia],Tabla3[Nivel],"otros",0)</f>
        <v>Gabinete</v>
      </c>
    </row>
    <row r="62" spans="1:10" ht="30" x14ac:dyDescent="0.25">
      <c r="A62" s="5">
        <v>46099</v>
      </c>
      <c r="B62" t="s">
        <v>29</v>
      </c>
      <c r="C62" s="6" t="s">
        <v>196</v>
      </c>
      <c r="D62" t="s">
        <v>12</v>
      </c>
      <c r="E62" t="s">
        <v>25</v>
      </c>
      <c r="F62" t="s">
        <v>25</v>
      </c>
      <c r="G62" t="s">
        <v>175</v>
      </c>
      <c r="H62" t="s">
        <v>11</v>
      </c>
      <c r="I62" t="str">
        <f>_xlfn.XLOOKUP(Tabla1[[#This Row],[Dependencia]],Tabla2[Dependencia],Tabla2[Clasificación],"No indexado")</f>
        <v>Gobierno del estado</v>
      </c>
      <c r="J62" t="str">
        <f>_xlfn.XLOOKUP(Tabla1[[#This Row],[Dependencia]],Tabla3[Dependencia],Tabla3[Nivel],"otros",0)</f>
        <v>Gobernador</v>
      </c>
    </row>
    <row r="63" spans="1:10" ht="30" x14ac:dyDescent="0.25">
      <c r="A63" s="5">
        <v>46099</v>
      </c>
      <c r="B63" t="s">
        <v>29</v>
      </c>
      <c r="C63" s="6" t="s">
        <v>161</v>
      </c>
      <c r="D63" t="s">
        <v>12</v>
      </c>
      <c r="E63" t="s">
        <v>25</v>
      </c>
      <c r="F63" t="s">
        <v>25</v>
      </c>
      <c r="G63" t="s">
        <v>111</v>
      </c>
      <c r="H63" t="s">
        <v>11</v>
      </c>
      <c r="I63" t="str">
        <f>_xlfn.XLOOKUP(Tabla1[[#This Row],[Dependencia]],Tabla2[Dependencia],Tabla2[Clasificación],"No indexado")</f>
        <v>Gobierno del estado</v>
      </c>
      <c r="J63" t="str">
        <f>_xlfn.XLOOKUP(Tabla1[[#This Row],[Dependencia]],Tabla3[Dependencia],Tabla3[Nivel],"otros",0)</f>
        <v>Gobernador</v>
      </c>
    </row>
    <row r="64" spans="1:10" ht="30" x14ac:dyDescent="0.25">
      <c r="A64" s="5">
        <v>46099</v>
      </c>
      <c r="B64" t="s">
        <v>29</v>
      </c>
      <c r="C64" s="6" t="s">
        <v>197</v>
      </c>
      <c r="D64" t="s">
        <v>12</v>
      </c>
      <c r="E64" t="s">
        <v>20</v>
      </c>
      <c r="F64" t="s">
        <v>20</v>
      </c>
      <c r="G64" t="s">
        <v>198</v>
      </c>
      <c r="H64" t="s">
        <v>11</v>
      </c>
      <c r="I64" t="str">
        <f>_xlfn.XLOOKUP(Tabla1[[#This Row],[Dependencia]],Tabla2[Dependencia],Tabla2[Clasificación],"No indexado")</f>
        <v>Gobierno del estado</v>
      </c>
      <c r="J64" t="str">
        <f>_xlfn.XLOOKUP(Tabla1[[#This Row],[Dependencia]],Tabla3[Dependencia],Tabla3[Nivel],"otros",0)</f>
        <v>Gabinete</v>
      </c>
    </row>
    <row r="65" spans="1:10" ht="30" x14ac:dyDescent="0.25">
      <c r="A65" s="5">
        <v>46099</v>
      </c>
      <c r="B65" t="s">
        <v>29</v>
      </c>
      <c r="C65" s="6" t="s">
        <v>199</v>
      </c>
      <c r="D65" t="s">
        <v>12</v>
      </c>
      <c r="E65" t="s">
        <v>17</v>
      </c>
      <c r="F65" t="s">
        <v>200</v>
      </c>
      <c r="G65" t="s">
        <v>201</v>
      </c>
      <c r="H65" t="s">
        <v>11</v>
      </c>
      <c r="I65" t="str">
        <f>_xlfn.XLOOKUP(Tabla1[[#This Row],[Dependencia]],Tabla2[Dependencia],Tabla2[Clasificación],"No indexado")</f>
        <v>Alcaldías</v>
      </c>
      <c r="J65" t="str">
        <f>_xlfn.XLOOKUP(Tabla1[[#This Row],[Dependencia]],Tabla3[Dependencia],Tabla3[Nivel],"otros",0)</f>
        <v>otros</v>
      </c>
    </row>
    <row r="66" spans="1:10" x14ac:dyDescent="0.25">
      <c r="A66" s="5">
        <v>46099</v>
      </c>
      <c r="B66" t="s">
        <v>29</v>
      </c>
      <c r="C66" s="6" t="s">
        <v>93</v>
      </c>
      <c r="D66" t="s">
        <v>92</v>
      </c>
      <c r="E66" t="s">
        <v>17</v>
      </c>
      <c r="F66" t="s">
        <v>17</v>
      </c>
      <c r="G66" t="s">
        <v>94</v>
      </c>
      <c r="H66" t="s">
        <v>11</v>
      </c>
      <c r="I66" t="str">
        <f>_xlfn.XLOOKUP(Tabla1[[#This Row],[Dependencia]],Tabla2[Dependencia],Tabla2[Clasificación],"No indexado")</f>
        <v>Alcaldías</v>
      </c>
      <c r="J66" t="str">
        <f>_xlfn.XLOOKUP(Tabla1[[#This Row],[Dependencia]],Tabla3[Dependencia],Tabla3[Nivel],"otros",0)</f>
        <v>otros</v>
      </c>
    </row>
    <row r="67" spans="1:10" ht="30" x14ac:dyDescent="0.25">
      <c r="A67" s="5">
        <v>46099</v>
      </c>
      <c r="B67" t="s">
        <v>81</v>
      </c>
      <c r="C67" s="6" t="s">
        <v>202</v>
      </c>
      <c r="D67" t="s">
        <v>13</v>
      </c>
      <c r="E67" t="s">
        <v>37</v>
      </c>
      <c r="F67" t="s">
        <v>37</v>
      </c>
      <c r="G67" t="s">
        <v>203</v>
      </c>
      <c r="H67" t="s">
        <v>11</v>
      </c>
      <c r="I67" t="str">
        <f>_xlfn.XLOOKUP(Tabla1[[#This Row],[Dependencia]],Tabla2[Dependencia],Tabla2[Clasificación],"No indexado")</f>
        <v>Otros</v>
      </c>
      <c r="J67" t="str">
        <f>_xlfn.XLOOKUP(Tabla1[[#This Row],[Dependencia]],Tabla3[Dependencia],Tabla3[Nivel],"otros",0)</f>
        <v>otros</v>
      </c>
    </row>
    <row r="68" spans="1:10" ht="30" x14ac:dyDescent="0.25">
      <c r="A68" s="5">
        <v>46099</v>
      </c>
      <c r="B68" t="s">
        <v>81</v>
      </c>
      <c r="C68" s="6" t="s">
        <v>204</v>
      </c>
      <c r="D68" t="s">
        <v>12</v>
      </c>
      <c r="E68" t="s">
        <v>14</v>
      </c>
      <c r="F68" t="s">
        <v>14</v>
      </c>
      <c r="G68" t="s">
        <v>107</v>
      </c>
      <c r="H68" t="s">
        <v>11</v>
      </c>
      <c r="I68" t="str">
        <f>_xlfn.XLOOKUP(Tabla1[[#This Row],[Dependencia]],Tabla2[Dependencia],Tabla2[Clasificación],"No indexado")</f>
        <v>Presidencia de la República</v>
      </c>
      <c r="J68" t="str">
        <f>_xlfn.XLOOKUP(Tabla1[[#This Row],[Dependencia]],Tabla3[Dependencia],Tabla3[Nivel],"otros",0)</f>
        <v>otros</v>
      </c>
    </row>
    <row r="69" spans="1:10" ht="30" x14ac:dyDescent="0.25">
      <c r="A69" s="5">
        <v>46099</v>
      </c>
      <c r="B69" t="s">
        <v>81</v>
      </c>
      <c r="C69" s="6" t="s">
        <v>205</v>
      </c>
      <c r="D69" t="s">
        <v>12</v>
      </c>
      <c r="E69" t="s">
        <v>25</v>
      </c>
      <c r="F69" t="s">
        <v>25</v>
      </c>
      <c r="G69" t="s">
        <v>175</v>
      </c>
      <c r="H69" t="s">
        <v>11</v>
      </c>
      <c r="I69" t="str">
        <f>_xlfn.XLOOKUP(Tabla1[[#This Row],[Dependencia]],Tabla2[Dependencia],Tabla2[Clasificación],"No indexado")</f>
        <v>Gobierno del estado</v>
      </c>
      <c r="J69" t="str">
        <f>_xlfn.XLOOKUP(Tabla1[[#This Row],[Dependencia]],Tabla3[Dependencia],Tabla3[Nivel],"otros",0)</f>
        <v>Gobernador</v>
      </c>
    </row>
    <row r="70" spans="1:10" x14ac:dyDescent="0.25">
      <c r="A70" s="5">
        <v>46099</v>
      </c>
      <c r="B70" t="s">
        <v>81</v>
      </c>
      <c r="C70" s="6" t="s">
        <v>206</v>
      </c>
      <c r="D70" t="s">
        <v>12</v>
      </c>
      <c r="E70" t="s">
        <v>32</v>
      </c>
      <c r="F70" t="s">
        <v>2</v>
      </c>
      <c r="G70" t="s">
        <v>207</v>
      </c>
      <c r="H70" t="s">
        <v>11</v>
      </c>
      <c r="I70" t="str">
        <f>_xlfn.XLOOKUP(Tabla1[[#This Row],[Dependencia]],Tabla2[Dependencia],Tabla2[Clasificación],"No indexado")</f>
        <v>Gobierno del estado</v>
      </c>
      <c r="J70" t="str">
        <f>_xlfn.XLOOKUP(Tabla1[[#This Row],[Dependencia]],Tabla3[Dependencia],Tabla3[Nivel],"otros",0)</f>
        <v>Gabinete</v>
      </c>
    </row>
    <row r="71" spans="1:10" ht="30" x14ac:dyDescent="0.25">
      <c r="A71" s="5">
        <v>46099</v>
      </c>
      <c r="B71" t="s">
        <v>81</v>
      </c>
      <c r="C71" s="6" t="s">
        <v>208</v>
      </c>
      <c r="D71" t="s">
        <v>12</v>
      </c>
      <c r="E71" t="s">
        <v>23</v>
      </c>
      <c r="F71" t="s">
        <v>23</v>
      </c>
      <c r="G71" t="s">
        <v>96</v>
      </c>
      <c r="H71" t="s">
        <v>16</v>
      </c>
      <c r="I71" t="str">
        <f>_xlfn.XLOOKUP(Tabla1[[#This Row],[Dependencia]],Tabla2[Dependencia],Tabla2[Clasificación],"No indexado")</f>
        <v>Gobierno del estado</v>
      </c>
      <c r="J71" t="str">
        <f>_xlfn.XLOOKUP(Tabla1[[#This Row],[Dependencia]],Tabla3[Dependencia],Tabla3[Nivel],"otros",0)</f>
        <v>Gabinete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77</v>
      </c>
    </row>
    <row r="2" spans="1:5" x14ac:dyDescent="0.25">
      <c r="A2" t="s">
        <v>65</v>
      </c>
      <c r="B2" t="s">
        <v>66</v>
      </c>
      <c r="D2" s="10" t="s">
        <v>20</v>
      </c>
      <c r="E2" t="s">
        <v>79</v>
      </c>
    </row>
    <row r="3" spans="1:5" x14ac:dyDescent="0.25">
      <c r="A3" t="s">
        <v>17</v>
      </c>
      <c r="B3" t="s">
        <v>34</v>
      </c>
      <c r="D3" s="9" t="s">
        <v>36</v>
      </c>
      <c r="E3" t="s">
        <v>79</v>
      </c>
    </row>
    <row r="4" spans="1:5" x14ac:dyDescent="0.25">
      <c r="A4" t="s">
        <v>20</v>
      </c>
      <c r="B4" t="s">
        <v>35</v>
      </c>
      <c r="D4" s="9" t="s">
        <v>38</v>
      </c>
      <c r="E4" t="s">
        <v>79</v>
      </c>
    </row>
    <row r="5" spans="1:5" x14ac:dyDescent="0.25">
      <c r="A5" t="s">
        <v>64</v>
      </c>
      <c r="B5" t="s">
        <v>10</v>
      </c>
      <c r="D5" s="10" t="s">
        <v>31</v>
      </c>
      <c r="E5" t="s">
        <v>79</v>
      </c>
    </row>
    <row r="6" spans="1:5" x14ac:dyDescent="0.25">
      <c r="A6" t="s">
        <v>36</v>
      </c>
      <c r="B6" t="s">
        <v>35</v>
      </c>
      <c r="D6" s="10" t="s">
        <v>39</v>
      </c>
      <c r="E6" t="s">
        <v>79</v>
      </c>
    </row>
    <row r="7" spans="1:5" x14ac:dyDescent="0.25">
      <c r="A7" t="s">
        <v>37</v>
      </c>
      <c r="B7" t="s">
        <v>10</v>
      </c>
      <c r="D7" s="9" t="s">
        <v>40</v>
      </c>
      <c r="E7" t="s">
        <v>79</v>
      </c>
    </row>
    <row r="8" spans="1:5" x14ac:dyDescent="0.25">
      <c r="A8" t="s">
        <v>38</v>
      </c>
      <c r="B8" t="s">
        <v>35</v>
      </c>
      <c r="D8" s="9" t="s">
        <v>40</v>
      </c>
      <c r="E8" t="s">
        <v>79</v>
      </c>
    </row>
    <row r="9" spans="1:5" x14ac:dyDescent="0.25">
      <c r="A9" t="s">
        <v>31</v>
      </c>
      <c r="B9" t="s">
        <v>35</v>
      </c>
      <c r="D9" s="9" t="s">
        <v>41</v>
      </c>
      <c r="E9" t="s">
        <v>79</v>
      </c>
    </row>
    <row r="10" spans="1:5" x14ac:dyDescent="0.25">
      <c r="A10" t="s">
        <v>27</v>
      </c>
      <c r="B10" t="s">
        <v>10</v>
      </c>
      <c r="D10" s="10" t="s">
        <v>25</v>
      </c>
      <c r="E10" t="s">
        <v>25</v>
      </c>
    </row>
    <row r="11" spans="1:5" x14ac:dyDescent="0.25">
      <c r="A11" t="s">
        <v>39</v>
      </c>
      <c r="B11" t="s">
        <v>35</v>
      </c>
      <c r="D11" s="9" t="s">
        <v>42</v>
      </c>
      <c r="E11" t="s">
        <v>79</v>
      </c>
    </row>
    <row r="12" spans="1:5" x14ac:dyDescent="0.25">
      <c r="A12" t="s">
        <v>40</v>
      </c>
      <c r="B12" t="s">
        <v>35</v>
      </c>
      <c r="D12" s="10" t="s">
        <v>43</v>
      </c>
      <c r="E12" t="s">
        <v>79</v>
      </c>
    </row>
    <row r="13" spans="1:5" x14ac:dyDescent="0.25">
      <c r="A13" t="s">
        <v>40</v>
      </c>
      <c r="B13" t="s">
        <v>35</v>
      </c>
      <c r="D13" s="10" t="s">
        <v>43</v>
      </c>
      <c r="E13" t="s">
        <v>79</v>
      </c>
    </row>
    <row r="14" spans="1:5" x14ac:dyDescent="0.25">
      <c r="A14" t="s">
        <v>67</v>
      </c>
      <c r="B14" t="s">
        <v>48</v>
      </c>
      <c r="D14" s="9" t="s">
        <v>22</v>
      </c>
      <c r="E14" t="s">
        <v>79</v>
      </c>
    </row>
    <row r="15" spans="1:5" x14ac:dyDescent="0.25">
      <c r="A15" t="s">
        <v>41</v>
      </c>
      <c r="B15" t="s">
        <v>35</v>
      </c>
      <c r="D15" s="10" t="s">
        <v>18</v>
      </c>
      <c r="E15" t="s">
        <v>79</v>
      </c>
    </row>
    <row r="16" spans="1:5" x14ac:dyDescent="0.25">
      <c r="A16" t="s">
        <v>25</v>
      </c>
      <c r="B16" t="s">
        <v>35</v>
      </c>
      <c r="D16" s="9" t="s">
        <v>51</v>
      </c>
      <c r="E16" t="s">
        <v>79</v>
      </c>
    </row>
    <row r="17" spans="1:5" x14ac:dyDescent="0.25">
      <c r="A17" t="s">
        <v>42</v>
      </c>
      <c r="B17" t="s">
        <v>35</v>
      </c>
      <c r="D17" s="9" t="s">
        <v>57</v>
      </c>
      <c r="E17" t="s">
        <v>79</v>
      </c>
    </row>
    <row r="18" spans="1:5" x14ac:dyDescent="0.25">
      <c r="A18" t="s">
        <v>43</v>
      </c>
      <c r="B18" t="s">
        <v>35</v>
      </c>
      <c r="D18" s="9" t="s">
        <v>58</v>
      </c>
      <c r="E18" t="s">
        <v>79</v>
      </c>
    </row>
    <row r="19" spans="1:5" x14ac:dyDescent="0.25">
      <c r="A19" t="s">
        <v>44</v>
      </c>
      <c r="B19" t="s">
        <v>10</v>
      </c>
      <c r="D19" s="9" t="s">
        <v>24</v>
      </c>
      <c r="E19" t="s">
        <v>79</v>
      </c>
    </row>
    <row r="20" spans="1:5" x14ac:dyDescent="0.25">
      <c r="A20" t="s">
        <v>45</v>
      </c>
      <c r="B20" t="s">
        <v>46</v>
      </c>
      <c r="D20" s="10" t="s">
        <v>21</v>
      </c>
      <c r="E20" t="s">
        <v>79</v>
      </c>
    </row>
    <row r="21" spans="1:5" x14ac:dyDescent="0.25">
      <c r="A21" t="s">
        <v>47</v>
      </c>
      <c r="B21" t="s">
        <v>48</v>
      </c>
      <c r="D21" s="9" t="s">
        <v>30</v>
      </c>
      <c r="E21" t="s">
        <v>79</v>
      </c>
    </row>
    <row r="22" spans="1:5" x14ac:dyDescent="0.25">
      <c r="A22" t="s">
        <v>19</v>
      </c>
      <c r="B22" t="s">
        <v>48</v>
      </c>
      <c r="D22" s="10" t="s">
        <v>28</v>
      </c>
      <c r="E22" t="s">
        <v>79</v>
      </c>
    </row>
    <row r="23" spans="1:5" x14ac:dyDescent="0.25">
      <c r="A23" t="s">
        <v>22</v>
      </c>
      <c r="B23" t="s">
        <v>35</v>
      </c>
      <c r="D23" s="9" t="s">
        <v>59</v>
      </c>
      <c r="E23" t="s">
        <v>79</v>
      </c>
    </row>
    <row r="24" spans="1:5" x14ac:dyDescent="0.25">
      <c r="A24" t="s">
        <v>10</v>
      </c>
      <c r="B24" t="s">
        <v>10</v>
      </c>
      <c r="D24" s="9" t="s">
        <v>15</v>
      </c>
      <c r="E24" t="s">
        <v>79</v>
      </c>
    </row>
    <row r="25" spans="1:5" x14ac:dyDescent="0.25">
      <c r="A25" t="s">
        <v>49</v>
      </c>
      <c r="B25" t="s">
        <v>48</v>
      </c>
      <c r="D25" s="10" t="s">
        <v>23</v>
      </c>
      <c r="E25" t="s">
        <v>79</v>
      </c>
    </row>
    <row r="26" spans="1:5" x14ac:dyDescent="0.25">
      <c r="A26" t="s">
        <v>50</v>
      </c>
      <c r="B26" t="s">
        <v>48</v>
      </c>
      <c r="D26" s="9" t="s">
        <v>60</v>
      </c>
      <c r="E26" t="s">
        <v>79</v>
      </c>
    </row>
    <row r="27" spans="1:5" x14ac:dyDescent="0.25">
      <c r="A27" t="s">
        <v>68</v>
      </c>
      <c r="B27" t="s">
        <v>48</v>
      </c>
      <c r="D27" s="11" t="s">
        <v>32</v>
      </c>
      <c r="E27" t="s">
        <v>79</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2026-03-18T18:56:37Z</dcterms:modified>
</cp:coreProperties>
</file>