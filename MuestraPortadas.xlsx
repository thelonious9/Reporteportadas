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8A691086-5CF9-4456-9154-844F35BD118A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</calcChain>
</file>

<file path=xl/sharedStrings.xml><?xml version="1.0" encoding="utf-8"?>
<sst xmlns="http://schemas.openxmlformats.org/spreadsheetml/2006/main" count="615" uniqueCount="198">
  <si>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</si>
  <si>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</si>
  <si>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</si>
  <si>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</si>
  <si>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</si>
  <si>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</si>
  <si>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</si>
  <si>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</si>
  <si>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</si>
  <si>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</si>
  <si>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</si>
  <si>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</si>
  <si>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</si>
  <si>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</si>
  <si>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</si>
  <si>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</si>
  <si>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</si>
  <si>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</si>
  <si>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</si>
  <si>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</si>
  <si>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</si>
  <si>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</si>
  <si>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</si>
  <si>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</si>
  <si>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</si>
  <si>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</si>
  <si>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</si>
  <si>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</si>
  <si>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</si>
  <si>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</si>
  <si>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</si>
  <si>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</si>
  <si>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</si>
  <si>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</si>
  <si>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</si>
  <si>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</si>
  <si>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</si>
  <si>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</si>
  <si>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</si>
  <si>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</si>
  <si>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</si>
  <si>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</si>
  <si>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</si>
  <si>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</si>
  <si>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</si>
  <si>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</si>
  <si>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</si>
  <si>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</si>
  <si>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</si>
  <si>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</si>
  <si>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</si>
  <si>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</si>
  <si>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</si>
  <si>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</si>
  <si>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</si>
  <si>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</si>
  <si>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</si>
  <si>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</si>
  <si>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</si>
  <si>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</si>
  <si>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</si>
  <si>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</si>
  <si>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</si>
  <si>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</si>
  <si>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</si>
  <si>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</si>
  <si>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</si>
  <si>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</si>
  <si>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</si>
  <si>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</si>
  <si>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</si>
  <si>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</si>
  <si>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Temas varios</t>
  </si>
  <si>
    <t>Deportes</t>
  </si>
  <si>
    <t>Criterio</t>
  </si>
  <si>
    <t>Positiva</t>
  </si>
  <si>
    <t>Effetá</t>
  </si>
  <si>
    <t>Pachuca Brilla</t>
  </si>
  <si>
    <t>Plaza Juárez</t>
  </si>
  <si>
    <t>Policía municipal</t>
  </si>
  <si>
    <t>Síntesis</t>
  </si>
  <si>
    <t>Sipdus</t>
  </si>
  <si>
    <t>Temas internacionales</t>
  </si>
  <si>
    <t>Zunoticia</t>
  </si>
  <si>
    <t>Marfeca</t>
  </si>
  <si>
    <t>Universidades</t>
  </si>
  <si>
    <t>Protesta sindical</t>
  </si>
  <si>
    <t>Milenio Hidalgo</t>
  </si>
  <si>
    <t>Identificación de cadáveres</t>
  </si>
  <si>
    <t>Alcalde</t>
  </si>
  <si>
    <t>Proyectos Federales</t>
  </si>
  <si>
    <t>Rescate Animal</t>
  </si>
  <si>
    <t>COn resultados, cuarto informe de Menchaca</t>
  </si>
  <si>
    <t>Informe De Gobierno</t>
  </si>
  <si>
    <t>Mujeres indígenas siguen alzando la voz</t>
  </si>
  <si>
    <t>Trabajo remunerato toma fuerza en Hidalgo</t>
  </si>
  <si>
    <t>Generación De Empleo</t>
  </si>
  <si>
    <t>Tres días sin respuesta de autoridades</t>
  </si>
  <si>
    <t>Fuga de agua provoca un socavón en Tlahuelilpan</t>
  </si>
  <si>
    <t>Pemex</t>
  </si>
  <si>
    <t>Socavón</t>
  </si>
  <si>
    <t>Falta de agua pausa plan de vivienda del Bienestar en Pachuca</t>
  </si>
  <si>
    <t>Caasim</t>
  </si>
  <si>
    <t>Plan Nacional De Vivienda</t>
  </si>
  <si>
    <t>Gobernador rinde hoy su cuarto informe de gobierno</t>
  </si>
  <si>
    <t>Sin clases, 3 mil alumnos en la Huasteca</t>
  </si>
  <si>
    <t>Regresan las protestas a San Salvador... ahora por la inseguridad</t>
  </si>
  <si>
    <t>Inseguridad</t>
  </si>
  <si>
    <t>Última llamada</t>
  </si>
  <si>
    <t>Paradela, al rescate</t>
  </si>
  <si>
    <t>Rendirá Menchaca su cuarto informe de actividades</t>
  </si>
  <si>
    <t>PRI advierte riesgo para mujeres con reforma electoral para el próximo año</t>
  </si>
  <si>
    <t>PRI</t>
  </si>
  <si>
    <t>Reforma Electoral</t>
  </si>
  <si>
    <t>El balance de la administración del gobernador: El Ejecutivo estatal ha destinado recursos para mejorar el transporte y vías de comunicación, pero aún enfrenta retos</t>
  </si>
  <si>
    <t>Edil trabajará en iniciativa para prevenir retenciones</t>
  </si>
  <si>
    <t>Retención alcalde</t>
  </si>
  <si>
    <t>Solicitan la libertad para dos detenidos</t>
  </si>
  <si>
    <t>Exigen liberación de persona</t>
  </si>
  <si>
    <t>Federación y empresas aceleran la creación de empleo e inversión</t>
  </si>
  <si>
    <t>Incorporan en Tulancingo las necesidades indígenas</t>
  </si>
  <si>
    <t>Plan Municipal de Desarrollo</t>
  </si>
  <si>
    <t>Ofrecen en Tizayuca más de 25 mil consultas</t>
  </si>
  <si>
    <t>Atención médica</t>
  </si>
  <si>
    <t>Obras para dotar de agua suman más de $630 millones</t>
  </si>
  <si>
    <t>Infraestructura Hidráulica</t>
  </si>
  <si>
    <t>Operan delincuentes con túneles, cierra 10 la SSPH</t>
  </si>
  <si>
    <t>Huachitúnel</t>
  </si>
  <si>
    <t>Aniversario. Cumple 50 años el Heroico Colegio Militar</t>
  </si>
  <si>
    <t>Ejército</t>
  </si>
  <si>
    <t>Conmemoración Aniversario</t>
  </si>
  <si>
    <t>Feminismo: todo comenzó con la rebelde Gloria Steinem</t>
  </si>
  <si>
    <t>Protesta Claudia Sheinbaum por entrega de migrantes mexicanos a Centroamérica</t>
  </si>
  <si>
    <t>Glosa del informe: Hay ""gobernabilidad"" con base en el respeto y el diálogo</t>
  </si>
  <si>
    <t>El Semefo realiza 2 mil 400 necropsias al año; muertes no violentas son las más comunes</t>
  </si>
  <si>
    <t>Todo listo para el cuarto informe de Julio Menchaca este viernes</t>
  </si>
  <si>
    <t>Sader asegura que sí se apoyó a productores de Eloxochitlán</t>
  </si>
  <si>
    <t>Apoyo por catástrofes agropecuarias</t>
  </si>
  <si>
    <t>Mayor vigilancia y fiscalización sin nuevos impuestos: CSP</t>
  </si>
  <si>
    <t>Fiscalización</t>
  </si>
  <si>
    <t>Destinan inversión histórica de 25 mmdp para infraestructura</t>
  </si>
  <si>
    <t>En política no hay lealtades y los intereses se combinan con la ambición de quienes tienen un  cargo y quieren más, y en su ruta por lograr sus objetivos pasan por encima de quien sea.</t>
  </si>
  <si>
    <t>Todo listo para el cuarto informe del gobernador Julio Menchaca</t>
  </si>
  <si>
    <t>Analizan conexión del Tren México-Pachuca con estaciones en Matilde y Bicentenario del STM</t>
  </si>
  <si>
    <t>Tren AIFA</t>
  </si>
  <si>
    <t>Exigen liberación de dos representantes ejidales de Zimapán</t>
  </si>
  <si>
    <t>Pago de prestaciones, principal conflicto laboral de adultos mayores</t>
  </si>
  <si>
    <t>CCLEH</t>
  </si>
  <si>
    <t>Conciliación Laboral</t>
  </si>
  <si>
    <t>Gobierno de Hidalgo suma 3 mil obras con inversión superior a 25 mil mdp</t>
  </si>
  <si>
    <t>Todo está listo para el cuarto informe del gobernador Julio Menchaca</t>
  </si>
  <si>
    <t>Las redes sociales no son niñeras: Eda Vite</t>
  </si>
  <si>
    <t>Regulación de dispositivos electrónicos</t>
  </si>
  <si>
    <t>UTHH al borde de la huelga</t>
  </si>
  <si>
    <t>Reparten en Huejutla folletos con ""logros"" del segundo año de Sheinbaum</t>
  </si>
  <si>
    <t>Informe Sheinbaum</t>
  </si>
  <si>
    <t>Proyecto de viviendas para Huautla podría reasignarse a otro municipio</t>
  </si>
  <si>
    <t>Invitan al festival Somos la resistencia</t>
  </si>
  <si>
    <t>Festival Cultural</t>
  </si>
  <si>
    <t>Hidalgo, potencia en marcha</t>
  </si>
  <si>
    <t>SEPH busca limitar uso de celulares en primarias de Hidalgo</t>
  </si>
  <si>
    <t>Cintillo</t>
  </si>
  <si>
    <t>Básica</t>
  </si>
  <si>
    <t>Jornada Estatal de Cataratas 2026 devuelve la visión y autonomía a 399 hidalguenses</t>
  </si>
  <si>
    <t>Jornada de cirugías</t>
  </si>
  <si>
    <t>Hidalgo avanza con resultados: todo listo para el 4° informe de Julio Menchaca</t>
  </si>
  <si>
    <t>Tere Olivares entrega camión Vactor</t>
  </si>
  <si>
    <t>Entrega De Equipo</t>
  </si>
  <si>
    <t>Inicia Ajacuba pavimentación asfáltica</t>
  </si>
  <si>
    <t>Pavimentación</t>
  </si>
  <si>
    <t>Impulsa Menchaca inversión histórica de más de 25 mil mdp para infraestructura en Hidalgo</t>
  </si>
  <si>
    <t>CECyTEH moderniza su oferta educativa con ocho carreras técnicas para el ciclo escolar</t>
  </si>
  <si>
    <t>Media superior</t>
  </si>
  <si>
    <t>Oferta educativa</t>
  </si>
  <si>
    <t>Julio Menchaca impulsa nueva generación de servidores y servidoras públicas en Hidalgo</t>
  </si>
  <si>
    <t>Academia para la Transformación</t>
  </si>
  <si>
    <t>Detienen en Pachuca a hombre con orden de aprehebsión vigente por narcomenudeo</t>
  </si>
  <si>
    <t>Combate Al Narcomenudeo</t>
  </si>
  <si>
    <t>Disminución a la carencia por rezago eductativo</t>
  </si>
  <si>
    <t>Publicidad</t>
  </si>
  <si>
    <t>Julio Menchaca rinde su cuarto informe de gobierno este viernes</t>
  </si>
  <si>
    <t>Tuzos enfrentan a Juárez en la frontera buscando triunfo</t>
  </si>
  <si>
    <t>Cuatro detenidos por presunto robo a transporte en la México-Pachuca</t>
  </si>
  <si>
    <t>Combate a la delincuencia</t>
  </si>
  <si>
    <t>Avanzan trabajos del Tren México-Pachuca en la zona metropolitana</t>
  </si>
  <si>
    <t>SICT</t>
  </si>
  <si>
    <t>Rescatan a perrito encerrado en auto por horas</t>
  </si>
  <si>
    <t>Bienestar para madres trabajadoras</t>
  </si>
  <si>
    <t>Más tecnología más cobertura</t>
  </si>
  <si>
    <t>Videovigilancia</t>
  </si>
  <si>
    <t>Inicia la consolidación de la transformación y el desarrollo: Julio Menchaca</t>
  </si>
  <si>
    <t>Sheinbaum protesta por la deportación de 2 mil 900 mexicanos</t>
  </si>
  <si>
    <t>Deportaciones</t>
  </si>
  <si>
    <t>Cumplió sindicato 72 horas de protesta laboral</t>
  </si>
  <si>
    <t>El SUTSMP elegirá mañana a su nueva dirigencia</t>
  </si>
  <si>
    <t>SUTSMP</t>
  </si>
  <si>
    <t>Hay expectación por saber por  dónde va a marchar el estado en  los años que quedan de gobierno  de Julio Menchaca, en aspectos  sensibles como Seguridad  y Desarrollo Económico.  Hoy la atención de  los hidalguenses se  concentrará en el Cuarto  Informe de Gobierno.</t>
  </si>
  <si>
    <t>Editorial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</si>
</sst>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6" totalsRowShown="0" headerRowDxfId="5" headerRowBorderDxfId="4">
  <autoFilter ref="A1:J66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6"/>
  <sheetViews>
    <sheetView tabSelected="1" workbookViewId="0">
      <selection activeCell="A2" sqref="A2:H66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46269</v>
      </c>
      <c r="B2" t="s">
        <v>67</v>
      </c>
      <c r="C2" s="5" t="s">
        <v>92</v>
      </c>
      <c r="D2" t="s">
        <v>12</v>
      </c>
      <c r="E2" t="s">
        <v>24</v>
      </c>
      <c r="F2" t="s">
        <v>24</v>
      </c>
      <c r="G2" t="s">
        <v>93</v>
      </c>
      <c r="H2" t="s">
        <v>75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Gobernador</v>
      </c>
    </row>
    <row r="3" spans="1:10" x14ac:dyDescent="0.25">
      <c r="A3" s="11">
        <v>46269</v>
      </c>
      <c r="B3" t="s">
        <v>67</v>
      </c>
      <c r="C3" s="5" t="s">
        <v>94</v>
      </c>
      <c r="D3" t="s">
        <v>12</v>
      </c>
      <c r="E3" t="s">
        <v>10</v>
      </c>
      <c r="F3" t="s">
        <v>10</v>
      </c>
      <c r="G3" t="s">
        <v>72</v>
      </c>
      <c r="H3" t="s">
        <v>11</v>
      </c>
      <c r="I3" t="str">
        <f>_xlfn.XLOOKUP(Tabla1[[#This Row],[Dependencia]],Tabla2[Dependencia],Tabla2[Clasificación],"XXX",0)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46269</v>
      </c>
      <c r="B4" t="s">
        <v>67</v>
      </c>
      <c r="C4" s="5" t="s">
        <v>95</v>
      </c>
      <c r="D4" t="s">
        <v>13</v>
      </c>
      <c r="E4" t="s">
        <v>56</v>
      </c>
      <c r="F4" t="s">
        <v>56</v>
      </c>
      <c r="G4" t="s">
        <v>96</v>
      </c>
      <c r="H4" t="s">
        <v>75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11">
        <v>46269</v>
      </c>
      <c r="B5" t="s">
        <v>67</v>
      </c>
      <c r="C5" s="5" t="s">
        <v>97</v>
      </c>
      <c r="D5" t="s">
        <v>12</v>
      </c>
      <c r="E5" t="s">
        <v>26</v>
      </c>
      <c r="F5" t="s">
        <v>85</v>
      </c>
      <c r="G5" t="s">
        <v>86</v>
      </c>
      <c r="H5" t="s">
        <v>70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11">
        <v>46269</v>
      </c>
      <c r="B6" t="s">
        <v>67</v>
      </c>
      <c r="C6" s="5" t="s">
        <v>98</v>
      </c>
      <c r="D6" t="s">
        <v>9</v>
      </c>
      <c r="E6" t="s">
        <v>14</v>
      </c>
      <c r="F6" t="s">
        <v>99</v>
      </c>
      <c r="G6" t="s">
        <v>100</v>
      </c>
      <c r="H6" t="s">
        <v>70</v>
      </c>
      <c r="I6" t="str">
        <f>_xlfn.XLOOKUP(Tabla1[[#This Row],[Dependencia]],Tabla2[Dependencia],Tabla2[Clasificación],"XXX",0)</f>
        <v>Presidencia de la República</v>
      </c>
      <c r="J6" t="str">
        <f>_xlfn.XLOOKUP(Tabla1[[#This Row],[Dependencia]],Tabla3[Dependencia],Tabla3[Nivel],"Otros",0)</f>
        <v>Otros</v>
      </c>
    </row>
    <row r="7" spans="1:10" ht="30" x14ac:dyDescent="0.25">
      <c r="A7" s="11">
        <v>46269</v>
      </c>
      <c r="B7" t="s">
        <v>71</v>
      </c>
      <c r="C7" s="5" t="s">
        <v>101</v>
      </c>
      <c r="D7" t="s">
        <v>13</v>
      </c>
      <c r="E7" t="s">
        <v>81</v>
      </c>
      <c r="F7" t="s">
        <v>102</v>
      </c>
      <c r="G7" t="s">
        <v>103</v>
      </c>
      <c r="H7" t="s">
        <v>70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11">
        <v>46269</v>
      </c>
      <c r="B8" t="s">
        <v>71</v>
      </c>
      <c r="C8" s="5" t="s">
        <v>104</v>
      </c>
      <c r="D8" t="s">
        <v>12</v>
      </c>
      <c r="E8" t="s">
        <v>24</v>
      </c>
      <c r="F8" t="s">
        <v>24</v>
      </c>
      <c r="G8" t="s">
        <v>93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25">
      <c r="A9" s="11">
        <v>46269</v>
      </c>
      <c r="B9" t="s">
        <v>71</v>
      </c>
      <c r="C9" s="5" t="s">
        <v>105</v>
      </c>
      <c r="D9" t="s">
        <v>12</v>
      </c>
      <c r="E9" t="s">
        <v>26</v>
      </c>
      <c r="F9" t="s">
        <v>85</v>
      </c>
      <c r="G9" t="s">
        <v>86</v>
      </c>
      <c r="H9" t="s">
        <v>70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ht="30" x14ac:dyDescent="0.25">
      <c r="A10" s="11">
        <v>46269</v>
      </c>
      <c r="B10" t="s">
        <v>71</v>
      </c>
      <c r="C10" s="5" t="s">
        <v>106</v>
      </c>
      <c r="D10" t="s">
        <v>9</v>
      </c>
      <c r="E10" t="s">
        <v>16</v>
      </c>
      <c r="F10" t="s">
        <v>89</v>
      </c>
      <c r="G10" t="s">
        <v>107</v>
      </c>
      <c r="H10" t="s">
        <v>11</v>
      </c>
      <c r="I10" t="str">
        <f>_xlfn.XLOOKUP(Tabla1[[#This Row],[Dependencia]],Tabla2[Dependencia],Tabla2[Clasificación],"XXX",0)</f>
        <v>Alcaldías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46269</v>
      </c>
      <c r="B11" t="s">
        <v>74</v>
      </c>
      <c r="C11" s="5" t="s">
        <v>108</v>
      </c>
      <c r="D11" t="s">
        <v>12</v>
      </c>
      <c r="E11" t="s">
        <v>10</v>
      </c>
      <c r="F11" t="s">
        <v>10</v>
      </c>
      <c r="G11" t="s">
        <v>73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46269</v>
      </c>
      <c r="B12" t="s">
        <v>74</v>
      </c>
      <c r="C12" s="5" t="s">
        <v>109</v>
      </c>
      <c r="D12" t="s">
        <v>12</v>
      </c>
      <c r="E12" t="s">
        <v>10</v>
      </c>
      <c r="F12" t="s">
        <v>10</v>
      </c>
      <c r="G12" t="s">
        <v>73</v>
      </c>
      <c r="H12" t="s">
        <v>11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46269</v>
      </c>
      <c r="B13" t="s">
        <v>74</v>
      </c>
      <c r="C13" s="5" t="s">
        <v>110</v>
      </c>
      <c r="D13" t="s">
        <v>12</v>
      </c>
      <c r="E13" t="s">
        <v>24</v>
      </c>
      <c r="F13" t="s">
        <v>24</v>
      </c>
      <c r="G13" t="s">
        <v>93</v>
      </c>
      <c r="H13" t="s">
        <v>11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Gobernador</v>
      </c>
    </row>
    <row r="14" spans="1:10" ht="30" x14ac:dyDescent="0.25">
      <c r="A14" s="11">
        <v>46269</v>
      </c>
      <c r="B14" t="s">
        <v>74</v>
      </c>
      <c r="C14" s="5" t="s">
        <v>111</v>
      </c>
      <c r="D14" t="s">
        <v>12</v>
      </c>
      <c r="E14" t="s">
        <v>112</v>
      </c>
      <c r="F14" t="s">
        <v>2</v>
      </c>
      <c r="G14" t="s">
        <v>113</v>
      </c>
      <c r="H14" t="s">
        <v>11</v>
      </c>
      <c r="I14" t="str">
        <f>_xlfn.XLOOKUP(Tabla1[[#This Row],[Dependencia]],Tabla2[Dependencia],Tabla2[Clasificación],"XXX",0)</f>
        <v>Partidos</v>
      </c>
      <c r="J14" t="str">
        <f>_xlfn.XLOOKUP(Tabla1[[#This Row],[Dependencia]],Tabla3[Dependencia],Tabla3[Nivel],"Otros",0)</f>
        <v>Otros</v>
      </c>
    </row>
    <row r="15" spans="1:10" ht="60" x14ac:dyDescent="0.25">
      <c r="A15" s="11">
        <v>46269</v>
      </c>
      <c r="B15" t="s">
        <v>74</v>
      </c>
      <c r="C15" s="5" t="s">
        <v>114</v>
      </c>
      <c r="D15" t="s">
        <v>13</v>
      </c>
      <c r="E15" t="s">
        <v>24</v>
      </c>
      <c r="F15" t="s">
        <v>24</v>
      </c>
      <c r="G15" t="s">
        <v>93</v>
      </c>
      <c r="H15" t="s">
        <v>11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Gobernador</v>
      </c>
    </row>
    <row r="16" spans="1:10" x14ac:dyDescent="0.25">
      <c r="A16" s="11">
        <v>46269</v>
      </c>
      <c r="B16" t="s">
        <v>74</v>
      </c>
      <c r="C16" s="5" t="s">
        <v>115</v>
      </c>
      <c r="D16" t="s">
        <v>12</v>
      </c>
      <c r="E16" t="s">
        <v>16</v>
      </c>
      <c r="F16" t="s">
        <v>89</v>
      </c>
      <c r="G16" t="s">
        <v>116</v>
      </c>
      <c r="H16" t="s">
        <v>11</v>
      </c>
      <c r="I16" t="str">
        <f>_xlfn.XLOOKUP(Tabla1[[#This Row],[Dependencia]],Tabla2[Dependencia],Tabla2[Clasificación],"XXX",0)</f>
        <v>Alcaldías</v>
      </c>
      <c r="J16" t="str">
        <f>_xlfn.XLOOKUP(Tabla1[[#This Row],[Dependencia]],Tabla3[Dependencia],Tabla3[Nivel],"Otros",0)</f>
        <v>Otros</v>
      </c>
    </row>
    <row r="17" spans="1:10" x14ac:dyDescent="0.25">
      <c r="A17" s="11">
        <v>46269</v>
      </c>
      <c r="B17" t="s">
        <v>74</v>
      </c>
      <c r="C17" s="5" t="s">
        <v>117</v>
      </c>
      <c r="D17" t="s">
        <v>12</v>
      </c>
      <c r="E17" t="s">
        <v>17</v>
      </c>
      <c r="F17" t="s">
        <v>17</v>
      </c>
      <c r="G17" t="s">
        <v>118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11">
        <v>46269</v>
      </c>
      <c r="B18" t="s">
        <v>87</v>
      </c>
      <c r="C18" s="5" t="s">
        <v>119</v>
      </c>
      <c r="D18" t="s">
        <v>13</v>
      </c>
      <c r="E18" t="s">
        <v>14</v>
      </c>
      <c r="F18" t="s">
        <v>14</v>
      </c>
      <c r="G18" t="s">
        <v>90</v>
      </c>
      <c r="H18" t="s">
        <v>75</v>
      </c>
      <c r="I18" t="str">
        <f>_xlfn.XLOOKUP(Tabla1[[#This Row],[Dependencia]],Tabla2[Dependencia],Tabla2[Clasificación],"XXX",0)</f>
        <v>Presidencia de la República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46269</v>
      </c>
      <c r="B19" t="s">
        <v>87</v>
      </c>
      <c r="C19" s="5" t="s">
        <v>120</v>
      </c>
      <c r="D19" t="s">
        <v>12</v>
      </c>
      <c r="E19" t="s">
        <v>16</v>
      </c>
      <c r="F19" t="s">
        <v>16</v>
      </c>
      <c r="G19" t="s">
        <v>121</v>
      </c>
      <c r="H19" t="s">
        <v>11</v>
      </c>
      <c r="I19" t="str">
        <f>_xlfn.XLOOKUP(Tabla1[[#This Row],[Dependencia]],Tabla2[Dependencia],Tabla2[Clasificación],"XXX",0)</f>
        <v>Alcaldías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46269</v>
      </c>
      <c r="B20" t="s">
        <v>87</v>
      </c>
      <c r="C20" s="5" t="s">
        <v>122</v>
      </c>
      <c r="D20" t="s">
        <v>12</v>
      </c>
      <c r="E20" t="s">
        <v>16</v>
      </c>
      <c r="F20" t="s">
        <v>16</v>
      </c>
      <c r="G20" t="s">
        <v>123</v>
      </c>
      <c r="H20" t="s">
        <v>11</v>
      </c>
      <c r="I20" t="str">
        <f>_xlfn.XLOOKUP(Tabla1[[#This Row],[Dependencia]],Tabla2[Dependencia],Tabla2[Clasificación],"XXX",0)</f>
        <v>Alcaldías</v>
      </c>
      <c r="J20" t="str">
        <f>_xlfn.XLOOKUP(Tabla1[[#This Row],[Dependencia]],Tabla3[Dependencia],Tabla3[Nivel],"Otros",0)</f>
        <v>Otros</v>
      </c>
    </row>
    <row r="21" spans="1:10" x14ac:dyDescent="0.25">
      <c r="A21" s="11">
        <v>46269</v>
      </c>
      <c r="B21" t="s">
        <v>87</v>
      </c>
      <c r="C21" s="5" t="s">
        <v>124</v>
      </c>
      <c r="D21" t="s">
        <v>12</v>
      </c>
      <c r="E21" t="s">
        <v>81</v>
      </c>
      <c r="F21" t="s">
        <v>102</v>
      </c>
      <c r="G21" t="s">
        <v>125</v>
      </c>
      <c r="H21" t="s">
        <v>75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11">
        <v>46269</v>
      </c>
      <c r="B22" t="s">
        <v>87</v>
      </c>
      <c r="C22" s="5" t="s">
        <v>126</v>
      </c>
      <c r="D22" t="s">
        <v>12</v>
      </c>
      <c r="E22" t="s">
        <v>22</v>
      </c>
      <c r="F22" t="s">
        <v>22</v>
      </c>
      <c r="G22" t="s">
        <v>127</v>
      </c>
      <c r="H22" t="s">
        <v>75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11">
        <v>46269</v>
      </c>
      <c r="B23" t="s">
        <v>87</v>
      </c>
      <c r="C23" s="5" t="s">
        <v>128</v>
      </c>
      <c r="D23" t="s">
        <v>9</v>
      </c>
      <c r="E23" t="s">
        <v>14</v>
      </c>
      <c r="F23" t="s">
        <v>129</v>
      </c>
      <c r="G23" t="s">
        <v>130</v>
      </c>
      <c r="H23" t="s">
        <v>11</v>
      </c>
      <c r="I23" t="str">
        <f>_xlfn.XLOOKUP(Tabla1[[#This Row],[Dependencia]],Tabla2[Dependencia],Tabla2[Clasificación],"XXX",0)</f>
        <v>Presidencia de la República</v>
      </c>
      <c r="J23" t="str">
        <f>_xlfn.XLOOKUP(Tabla1[[#This Row],[Dependencia]],Tabla3[Dependencia],Tabla3[Nivel],"Otros",0)</f>
        <v>Otros</v>
      </c>
    </row>
    <row r="24" spans="1:10" ht="30" x14ac:dyDescent="0.25">
      <c r="A24" s="11">
        <v>46269</v>
      </c>
      <c r="B24" t="s">
        <v>87</v>
      </c>
      <c r="C24" s="5" t="s">
        <v>131</v>
      </c>
      <c r="D24" t="s">
        <v>12</v>
      </c>
      <c r="E24" t="s">
        <v>10</v>
      </c>
      <c r="F24" t="s">
        <v>10</v>
      </c>
      <c r="G24" t="s">
        <v>72</v>
      </c>
      <c r="H24" t="s">
        <v>11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ht="30" x14ac:dyDescent="0.25">
      <c r="A25" s="11">
        <v>46269</v>
      </c>
      <c r="B25" t="s">
        <v>87</v>
      </c>
      <c r="C25" s="5" t="s">
        <v>132</v>
      </c>
      <c r="D25" t="s">
        <v>12</v>
      </c>
      <c r="E25" t="s">
        <v>14</v>
      </c>
      <c r="F25" t="s">
        <v>14</v>
      </c>
      <c r="G25" t="s">
        <v>82</v>
      </c>
      <c r="H25" t="s">
        <v>11</v>
      </c>
      <c r="I25" t="str">
        <f>_xlfn.XLOOKUP(Tabla1[[#This Row],[Dependencia]],Tabla2[Dependencia],Tabla2[Clasificación],"XXX",0)</f>
        <v>Presidencia de la República</v>
      </c>
      <c r="J25" t="str">
        <f>_xlfn.XLOOKUP(Tabla1[[#This Row],[Dependencia]],Tabla3[Dependencia],Tabla3[Nivel],"Otros",0)</f>
        <v>Otros</v>
      </c>
    </row>
    <row r="26" spans="1:10" ht="30" x14ac:dyDescent="0.25">
      <c r="A26" s="11">
        <v>46269</v>
      </c>
      <c r="B26" t="s">
        <v>87</v>
      </c>
      <c r="C26" s="5" t="s">
        <v>133</v>
      </c>
      <c r="D26" t="s">
        <v>12</v>
      </c>
      <c r="E26" t="s">
        <v>24</v>
      </c>
      <c r="F26" t="s">
        <v>24</v>
      </c>
      <c r="G26" t="s">
        <v>93</v>
      </c>
      <c r="H26" t="s">
        <v>75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Gobernador</v>
      </c>
    </row>
    <row r="27" spans="1:10" ht="30" x14ac:dyDescent="0.25">
      <c r="A27" s="11">
        <v>46269</v>
      </c>
      <c r="B27" t="s">
        <v>87</v>
      </c>
      <c r="C27" s="5" t="s">
        <v>134</v>
      </c>
      <c r="D27" t="s">
        <v>12</v>
      </c>
      <c r="E27" t="s">
        <v>17</v>
      </c>
      <c r="F27" t="s">
        <v>17</v>
      </c>
      <c r="G27" t="s">
        <v>88</v>
      </c>
      <c r="H27" t="s">
        <v>11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Gabinete</v>
      </c>
    </row>
    <row r="28" spans="1:10" ht="30" x14ac:dyDescent="0.25">
      <c r="A28" s="11">
        <v>46269</v>
      </c>
      <c r="B28" t="s">
        <v>68</v>
      </c>
      <c r="C28" s="5" t="s">
        <v>135</v>
      </c>
      <c r="D28" t="s">
        <v>9</v>
      </c>
      <c r="E28" t="s">
        <v>24</v>
      </c>
      <c r="F28" t="s">
        <v>24</v>
      </c>
      <c r="G28" t="s">
        <v>93</v>
      </c>
      <c r="H28" t="s">
        <v>75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Gobernador</v>
      </c>
    </row>
    <row r="29" spans="1:10" ht="30" x14ac:dyDescent="0.25">
      <c r="A29" s="11">
        <v>46269</v>
      </c>
      <c r="B29" t="s">
        <v>68</v>
      </c>
      <c r="C29" s="5" t="s">
        <v>136</v>
      </c>
      <c r="D29" t="s">
        <v>12</v>
      </c>
      <c r="E29" t="s">
        <v>53</v>
      </c>
      <c r="F29" t="s">
        <v>53</v>
      </c>
      <c r="G29" t="s">
        <v>137</v>
      </c>
      <c r="H29" t="s">
        <v>11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ht="30" x14ac:dyDescent="0.25">
      <c r="A30" s="11">
        <v>46269</v>
      </c>
      <c r="B30" t="s">
        <v>68</v>
      </c>
      <c r="C30" s="5" t="s">
        <v>138</v>
      </c>
      <c r="D30" t="s">
        <v>12</v>
      </c>
      <c r="E30" t="s">
        <v>14</v>
      </c>
      <c r="F30" t="s">
        <v>14</v>
      </c>
      <c r="G30" t="s">
        <v>139</v>
      </c>
      <c r="H30" t="s">
        <v>11</v>
      </c>
      <c r="I30" t="str">
        <f>_xlfn.XLOOKUP(Tabla1[[#This Row],[Dependencia]],Tabla2[Dependencia],Tabla2[Clasificación],"XXX",0)</f>
        <v>Presidencia de la República</v>
      </c>
      <c r="J30" t="str">
        <f>_xlfn.XLOOKUP(Tabla1[[#This Row],[Dependencia]],Tabla3[Dependencia],Tabla3[Nivel],"Otros",0)</f>
        <v>Otros</v>
      </c>
    </row>
    <row r="31" spans="1:10" ht="30" x14ac:dyDescent="0.25">
      <c r="A31" s="11">
        <v>46269</v>
      </c>
      <c r="B31" t="s">
        <v>68</v>
      </c>
      <c r="C31" s="5" t="s">
        <v>140</v>
      </c>
      <c r="D31" t="s">
        <v>13</v>
      </c>
      <c r="E31" t="s">
        <v>24</v>
      </c>
      <c r="F31" t="s">
        <v>24</v>
      </c>
      <c r="G31" t="s">
        <v>93</v>
      </c>
      <c r="H31" t="s">
        <v>75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Gobernador</v>
      </c>
    </row>
    <row r="32" spans="1:10" ht="60" x14ac:dyDescent="0.25">
      <c r="A32" s="11">
        <v>46269</v>
      </c>
      <c r="B32" t="s">
        <v>68</v>
      </c>
      <c r="C32" s="5" t="s">
        <v>141</v>
      </c>
      <c r="D32" t="s">
        <v>12</v>
      </c>
      <c r="E32" t="s">
        <v>10</v>
      </c>
      <c r="F32" t="s">
        <v>10</v>
      </c>
      <c r="G32" t="s">
        <v>72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46269</v>
      </c>
      <c r="B33" t="s">
        <v>80</v>
      </c>
      <c r="C33" s="5" t="s">
        <v>142</v>
      </c>
      <c r="D33" t="s">
        <v>13</v>
      </c>
      <c r="E33" t="s">
        <v>24</v>
      </c>
      <c r="F33" t="s">
        <v>24</v>
      </c>
      <c r="G33" t="s">
        <v>93</v>
      </c>
      <c r="H33" t="s">
        <v>75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Gobernador</v>
      </c>
    </row>
    <row r="34" spans="1:10" ht="30" x14ac:dyDescent="0.25">
      <c r="A34" s="11">
        <v>46269</v>
      </c>
      <c r="B34" t="s">
        <v>80</v>
      </c>
      <c r="C34" s="5" t="s">
        <v>143</v>
      </c>
      <c r="D34" t="s">
        <v>12</v>
      </c>
      <c r="E34" t="s">
        <v>47</v>
      </c>
      <c r="F34" t="s">
        <v>47</v>
      </c>
      <c r="G34" t="s">
        <v>144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11">
        <v>46269</v>
      </c>
      <c r="B35" t="s">
        <v>80</v>
      </c>
      <c r="C35" s="5" t="s">
        <v>145</v>
      </c>
      <c r="D35" t="s">
        <v>12</v>
      </c>
      <c r="E35" t="s">
        <v>17</v>
      </c>
      <c r="F35" t="s">
        <v>17</v>
      </c>
      <c r="G35" t="s">
        <v>118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46269</v>
      </c>
      <c r="B36" t="s">
        <v>80</v>
      </c>
      <c r="C36" s="5" t="s">
        <v>146</v>
      </c>
      <c r="D36" t="s">
        <v>12</v>
      </c>
      <c r="E36" t="s">
        <v>56</v>
      </c>
      <c r="F36" t="s">
        <v>147</v>
      </c>
      <c r="G36" t="s">
        <v>148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11">
        <v>46269</v>
      </c>
      <c r="B37" t="s">
        <v>80</v>
      </c>
      <c r="C37" s="5" t="s">
        <v>149</v>
      </c>
      <c r="D37" t="s">
        <v>12</v>
      </c>
      <c r="E37" t="s">
        <v>24</v>
      </c>
      <c r="F37" t="s">
        <v>24</v>
      </c>
      <c r="G37" t="s">
        <v>93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Gobernador</v>
      </c>
    </row>
    <row r="38" spans="1:10" ht="30" x14ac:dyDescent="0.25">
      <c r="A38" s="11">
        <v>46269</v>
      </c>
      <c r="B38" t="s">
        <v>83</v>
      </c>
      <c r="C38" s="5" t="s">
        <v>150</v>
      </c>
      <c r="D38" t="s">
        <v>9</v>
      </c>
      <c r="E38" t="s">
        <v>24</v>
      </c>
      <c r="F38" t="s">
        <v>24</v>
      </c>
      <c r="G38" t="s">
        <v>93</v>
      </c>
      <c r="H38" t="s">
        <v>75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Gobernador</v>
      </c>
    </row>
    <row r="39" spans="1:10" x14ac:dyDescent="0.25">
      <c r="A39" s="11">
        <v>46269</v>
      </c>
      <c r="B39" t="s">
        <v>83</v>
      </c>
      <c r="C39" s="5" t="s">
        <v>151</v>
      </c>
      <c r="D39" t="s">
        <v>12</v>
      </c>
      <c r="E39" t="s">
        <v>36</v>
      </c>
      <c r="F39" t="s">
        <v>2</v>
      </c>
      <c r="G39" t="s">
        <v>152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25">
      <c r="A40" s="11">
        <v>46269</v>
      </c>
      <c r="B40" t="s">
        <v>83</v>
      </c>
      <c r="C40" s="5" t="s">
        <v>153</v>
      </c>
      <c r="D40" t="s">
        <v>13</v>
      </c>
      <c r="E40" t="s">
        <v>26</v>
      </c>
      <c r="F40" t="s">
        <v>85</v>
      </c>
      <c r="G40" t="s">
        <v>86</v>
      </c>
      <c r="H40" t="s">
        <v>70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11">
        <v>46269</v>
      </c>
      <c r="B41" t="s">
        <v>83</v>
      </c>
      <c r="C41" s="5" t="s">
        <v>154</v>
      </c>
      <c r="D41" t="s">
        <v>12</v>
      </c>
      <c r="E41" t="s">
        <v>14</v>
      </c>
      <c r="F41" t="s">
        <v>14</v>
      </c>
      <c r="G41" t="s">
        <v>155</v>
      </c>
      <c r="H41" t="s">
        <v>11</v>
      </c>
      <c r="I41" t="str">
        <f>_xlfn.XLOOKUP(Tabla1[[#This Row],[Dependencia]],Tabla2[Dependencia],Tabla2[Clasificación],"XXX",0)</f>
        <v>Presidencia de la República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46269</v>
      </c>
      <c r="B42" t="s">
        <v>83</v>
      </c>
      <c r="C42" s="5" t="s">
        <v>156</v>
      </c>
      <c r="D42" t="s">
        <v>12</v>
      </c>
      <c r="E42" t="s">
        <v>25</v>
      </c>
      <c r="F42" t="s">
        <v>25</v>
      </c>
      <c r="G42" t="s">
        <v>103</v>
      </c>
      <c r="H42" t="s">
        <v>11</v>
      </c>
      <c r="I42" t="str">
        <f>_xlfn.XLOOKUP(Tabla1[[#This Row],[Dependencia]],Tabla2[Dependencia],Tabla2[Clasificación],"XXX",0)</f>
        <v>Otros</v>
      </c>
      <c r="J42" t="str">
        <f>_xlfn.XLOOKUP(Tabla1[[#This Row],[Dependencia]],Tabla3[Dependencia],Tabla3[Nivel],"Otros",0)</f>
        <v>Otros</v>
      </c>
    </row>
    <row r="43" spans="1:10" x14ac:dyDescent="0.25">
      <c r="A43" s="11">
        <v>46269</v>
      </c>
      <c r="B43" t="s">
        <v>83</v>
      </c>
      <c r="C43" s="5" t="s">
        <v>157</v>
      </c>
      <c r="D43" t="s">
        <v>12</v>
      </c>
      <c r="E43" t="s">
        <v>10</v>
      </c>
      <c r="F43" t="s">
        <v>10</v>
      </c>
      <c r="G43" t="s">
        <v>158</v>
      </c>
      <c r="H43" t="s">
        <v>11</v>
      </c>
      <c r="I43" t="str">
        <f>_xlfn.XLOOKUP(Tabla1[[#This Row],[Dependencia]],Tabla2[Dependencia],Tabla2[Clasificación],"XXX",0)</f>
        <v>Otros</v>
      </c>
      <c r="J43" t="str">
        <f>_xlfn.XLOOKUP(Tabla1[[#This Row],[Dependencia]],Tabla3[Dependencia],Tabla3[Nivel],"Otros",0)</f>
        <v>Otros</v>
      </c>
    </row>
    <row r="44" spans="1:10" x14ac:dyDescent="0.25">
      <c r="A44" s="11">
        <v>46269</v>
      </c>
      <c r="B44" t="s">
        <v>76</v>
      </c>
      <c r="C44" s="5" t="s">
        <v>159</v>
      </c>
      <c r="D44" t="s">
        <v>13</v>
      </c>
      <c r="E44" t="s">
        <v>24</v>
      </c>
      <c r="F44" t="s">
        <v>24</v>
      </c>
      <c r="G44" t="s">
        <v>93</v>
      </c>
      <c r="H44" t="s">
        <v>75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Gobernador</v>
      </c>
    </row>
    <row r="45" spans="1:10" ht="30" x14ac:dyDescent="0.25">
      <c r="A45" s="11">
        <v>46269</v>
      </c>
      <c r="B45" t="s">
        <v>84</v>
      </c>
      <c r="C45" s="5" t="s">
        <v>160</v>
      </c>
      <c r="D45" t="s">
        <v>161</v>
      </c>
      <c r="E45" t="s">
        <v>26</v>
      </c>
      <c r="F45" t="s">
        <v>162</v>
      </c>
      <c r="G45" t="s">
        <v>152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ht="30" x14ac:dyDescent="0.25">
      <c r="A46" s="11">
        <v>46269</v>
      </c>
      <c r="B46" t="s">
        <v>84</v>
      </c>
      <c r="C46" s="5" t="s">
        <v>163</v>
      </c>
      <c r="D46" t="s">
        <v>12</v>
      </c>
      <c r="E46" t="s">
        <v>36</v>
      </c>
      <c r="F46" t="s">
        <v>36</v>
      </c>
      <c r="G46" t="s">
        <v>164</v>
      </c>
      <c r="H46" t="s">
        <v>75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11">
        <v>46269</v>
      </c>
      <c r="B47" t="s">
        <v>84</v>
      </c>
      <c r="C47" s="5" t="s">
        <v>165</v>
      </c>
      <c r="D47" t="s">
        <v>13</v>
      </c>
      <c r="E47" t="s">
        <v>24</v>
      </c>
      <c r="F47" t="s">
        <v>24</v>
      </c>
      <c r="G47" t="s">
        <v>93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Gobernador</v>
      </c>
    </row>
    <row r="48" spans="1:10" x14ac:dyDescent="0.25">
      <c r="A48" s="11">
        <v>46269</v>
      </c>
      <c r="B48" t="s">
        <v>84</v>
      </c>
      <c r="C48" s="5" t="s">
        <v>166</v>
      </c>
      <c r="D48" t="s">
        <v>12</v>
      </c>
      <c r="E48" t="s">
        <v>16</v>
      </c>
      <c r="F48" t="s">
        <v>89</v>
      </c>
      <c r="G48" t="s">
        <v>167</v>
      </c>
      <c r="H48" t="s">
        <v>11</v>
      </c>
      <c r="I48" t="str">
        <f>_xlfn.XLOOKUP(Tabla1[[#This Row],[Dependencia]],Tabla2[Dependencia],Tabla2[Clasificación],"XXX",0)</f>
        <v>Alcaldías</v>
      </c>
      <c r="J48" t="str">
        <f>_xlfn.XLOOKUP(Tabla1[[#This Row],[Dependencia]],Tabla3[Dependencia],Tabla3[Nivel],"Otros",0)</f>
        <v>Otros</v>
      </c>
    </row>
    <row r="49" spans="1:10" x14ac:dyDescent="0.25">
      <c r="A49" s="11">
        <v>46269</v>
      </c>
      <c r="B49" t="s">
        <v>84</v>
      </c>
      <c r="C49" s="5" t="s">
        <v>168</v>
      </c>
      <c r="D49" t="s">
        <v>12</v>
      </c>
      <c r="E49" t="s">
        <v>16</v>
      </c>
      <c r="F49" t="s">
        <v>16</v>
      </c>
      <c r="G49" t="s">
        <v>169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46269</v>
      </c>
      <c r="B50" t="s">
        <v>84</v>
      </c>
      <c r="C50" s="5" t="s">
        <v>170</v>
      </c>
      <c r="D50" t="s">
        <v>12</v>
      </c>
      <c r="E50" t="s">
        <v>24</v>
      </c>
      <c r="F50" t="s">
        <v>24</v>
      </c>
      <c r="G50" t="s">
        <v>93</v>
      </c>
      <c r="H50" t="s">
        <v>75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Gobernador</v>
      </c>
    </row>
    <row r="51" spans="1:10" ht="30" x14ac:dyDescent="0.25">
      <c r="A51" s="11">
        <v>46269</v>
      </c>
      <c r="B51" t="s">
        <v>84</v>
      </c>
      <c r="C51" s="5" t="s">
        <v>171</v>
      </c>
      <c r="D51" t="s">
        <v>12</v>
      </c>
      <c r="E51" t="s">
        <v>26</v>
      </c>
      <c r="F51" t="s">
        <v>172</v>
      </c>
      <c r="G51" t="s">
        <v>173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11">
        <v>46269</v>
      </c>
      <c r="B52" t="s">
        <v>84</v>
      </c>
      <c r="C52" s="5" t="s">
        <v>174</v>
      </c>
      <c r="D52" t="s">
        <v>12</v>
      </c>
      <c r="E52" t="s">
        <v>24</v>
      </c>
      <c r="F52" t="s">
        <v>24</v>
      </c>
      <c r="G52" t="s">
        <v>175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Gobernador</v>
      </c>
    </row>
    <row r="53" spans="1:10" ht="30" x14ac:dyDescent="0.25">
      <c r="A53" s="11">
        <v>46269</v>
      </c>
      <c r="B53" t="s">
        <v>84</v>
      </c>
      <c r="C53" s="5" t="s">
        <v>176</v>
      </c>
      <c r="D53" t="s">
        <v>12</v>
      </c>
      <c r="E53" t="s">
        <v>16</v>
      </c>
      <c r="F53" t="s">
        <v>79</v>
      </c>
      <c r="G53" t="s">
        <v>177</v>
      </c>
      <c r="H53" t="s">
        <v>11</v>
      </c>
      <c r="I53" t="str">
        <f>_xlfn.XLOOKUP(Tabla1[[#This Row],[Dependencia]],Tabla2[Dependencia],Tabla2[Clasificación],"XXX",0)</f>
        <v>Alcaldías</v>
      </c>
      <c r="J53" t="str">
        <f>_xlfn.XLOOKUP(Tabla1[[#This Row],[Dependencia]],Tabla3[Dependencia],Tabla3[Nivel],"Otros",0)</f>
        <v>Otros</v>
      </c>
    </row>
    <row r="54" spans="1:10" x14ac:dyDescent="0.25">
      <c r="A54" s="11">
        <v>46269</v>
      </c>
      <c r="B54" t="s">
        <v>84</v>
      </c>
      <c r="C54" s="5" t="s">
        <v>178</v>
      </c>
      <c r="D54" t="s">
        <v>179</v>
      </c>
      <c r="E54" t="s">
        <v>38</v>
      </c>
      <c r="F54" t="s">
        <v>38</v>
      </c>
      <c r="G54" t="s">
        <v>93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11">
        <v>46269</v>
      </c>
      <c r="B55" t="s">
        <v>77</v>
      </c>
      <c r="C55" s="5" t="s">
        <v>180</v>
      </c>
      <c r="D55" t="s">
        <v>13</v>
      </c>
      <c r="E55" t="s">
        <v>24</v>
      </c>
      <c r="F55" t="s">
        <v>24</v>
      </c>
      <c r="G55" t="s">
        <v>93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Gobernador</v>
      </c>
    </row>
    <row r="56" spans="1:10" ht="30" x14ac:dyDescent="0.25">
      <c r="A56" s="11">
        <v>46269</v>
      </c>
      <c r="B56" t="s">
        <v>77</v>
      </c>
      <c r="C56" s="5" t="s">
        <v>181</v>
      </c>
      <c r="D56" t="s">
        <v>12</v>
      </c>
      <c r="E56" t="s">
        <v>10</v>
      </c>
      <c r="F56" t="s">
        <v>10</v>
      </c>
      <c r="G56" t="s">
        <v>73</v>
      </c>
      <c r="H56" t="s">
        <v>11</v>
      </c>
      <c r="I56" t="str">
        <f>_xlfn.XLOOKUP(Tabla1[[#This Row],[Dependencia]],Tabla2[Dependencia],Tabla2[Clasificación],"XXX",0)</f>
        <v>Otros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46269</v>
      </c>
      <c r="B57" t="s">
        <v>77</v>
      </c>
      <c r="C57" s="5" t="s">
        <v>182</v>
      </c>
      <c r="D57" t="s">
        <v>12</v>
      </c>
      <c r="E57" t="s">
        <v>22</v>
      </c>
      <c r="F57" t="s">
        <v>22</v>
      </c>
      <c r="G57" t="s">
        <v>183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ht="30" x14ac:dyDescent="0.25">
      <c r="A58" s="11">
        <v>46269</v>
      </c>
      <c r="B58" t="s">
        <v>77</v>
      </c>
      <c r="C58" s="5" t="s">
        <v>184</v>
      </c>
      <c r="D58" t="s">
        <v>12</v>
      </c>
      <c r="E58" t="s">
        <v>14</v>
      </c>
      <c r="F58" t="s">
        <v>185</v>
      </c>
      <c r="G58" t="s">
        <v>144</v>
      </c>
      <c r="H58" t="s">
        <v>11</v>
      </c>
      <c r="I58" t="str">
        <f>_xlfn.XLOOKUP(Tabla1[[#This Row],[Dependencia]],Tabla2[Dependencia],Tabla2[Clasificación],"XXX",0)</f>
        <v>Presidencia de la República</v>
      </c>
      <c r="J58" t="str">
        <f>_xlfn.XLOOKUP(Tabla1[[#This Row],[Dependencia]],Tabla3[Dependencia],Tabla3[Nivel],"Otros",0)</f>
        <v>Otros</v>
      </c>
    </row>
    <row r="59" spans="1:10" x14ac:dyDescent="0.25">
      <c r="A59" s="11">
        <v>46269</v>
      </c>
      <c r="B59" t="s">
        <v>77</v>
      </c>
      <c r="C59" s="5" t="s">
        <v>186</v>
      </c>
      <c r="D59" t="s">
        <v>12</v>
      </c>
      <c r="E59" t="s">
        <v>16</v>
      </c>
      <c r="F59" t="s">
        <v>79</v>
      </c>
      <c r="G59" t="s">
        <v>91</v>
      </c>
      <c r="H59" t="s">
        <v>11</v>
      </c>
      <c r="I59" t="str">
        <f>_xlfn.XLOOKUP(Tabla1[[#This Row],[Dependencia]],Tabla2[Dependencia],Tabla2[Clasificación],"XXX",0)</f>
        <v>Alcaldías</v>
      </c>
      <c r="J59" t="str">
        <f>_xlfn.XLOOKUP(Tabla1[[#This Row],[Dependencia]],Tabla3[Dependencia],Tabla3[Nivel],"Otros",0)</f>
        <v>Otros</v>
      </c>
    </row>
    <row r="60" spans="1:10" x14ac:dyDescent="0.25">
      <c r="A60" s="11">
        <v>46269</v>
      </c>
      <c r="B60" t="s">
        <v>77</v>
      </c>
      <c r="C60" s="5" t="s">
        <v>187</v>
      </c>
      <c r="D60" t="s">
        <v>179</v>
      </c>
      <c r="E60" t="s">
        <v>38</v>
      </c>
      <c r="F60" t="s">
        <v>38</v>
      </c>
      <c r="G60" t="s">
        <v>93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25">
      <c r="A61" s="11">
        <v>46269</v>
      </c>
      <c r="B61" t="s">
        <v>77</v>
      </c>
      <c r="C61" s="5" t="s">
        <v>188</v>
      </c>
      <c r="D61" t="s">
        <v>179</v>
      </c>
      <c r="E61" t="s">
        <v>16</v>
      </c>
      <c r="F61" t="s">
        <v>79</v>
      </c>
      <c r="G61" t="s">
        <v>189</v>
      </c>
      <c r="H61" t="s">
        <v>11</v>
      </c>
      <c r="I61" t="str">
        <f>_xlfn.XLOOKUP(Tabla1[[#This Row],[Dependencia]],Tabla2[Dependencia],Tabla2[Clasificación],"XXX",0)</f>
        <v>Alcaldías</v>
      </c>
      <c r="J61" t="str">
        <f>_xlfn.XLOOKUP(Tabla1[[#This Row],[Dependencia]],Tabla3[Dependencia],Tabla3[Nivel],"Otros",0)</f>
        <v>Otros</v>
      </c>
    </row>
    <row r="62" spans="1:10" ht="30" x14ac:dyDescent="0.25">
      <c r="A62" s="11">
        <v>46269</v>
      </c>
      <c r="B62" t="s">
        <v>78</v>
      </c>
      <c r="C62" s="5" t="s">
        <v>190</v>
      </c>
      <c r="D62" t="s">
        <v>13</v>
      </c>
      <c r="E62" t="s">
        <v>24</v>
      </c>
      <c r="F62" t="s">
        <v>24</v>
      </c>
      <c r="G62" t="s">
        <v>93</v>
      </c>
      <c r="H62" t="s">
        <v>75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Gobernador</v>
      </c>
    </row>
    <row r="63" spans="1:10" ht="30" x14ac:dyDescent="0.25">
      <c r="A63" s="11">
        <v>46269</v>
      </c>
      <c r="B63" t="s">
        <v>78</v>
      </c>
      <c r="C63" s="5" t="s">
        <v>191</v>
      </c>
      <c r="D63" t="s">
        <v>12</v>
      </c>
      <c r="E63" t="s">
        <v>14</v>
      </c>
      <c r="F63" t="s">
        <v>14</v>
      </c>
      <c r="G63" t="s">
        <v>192</v>
      </c>
      <c r="H63" t="s">
        <v>11</v>
      </c>
      <c r="I63" t="str">
        <f>_xlfn.XLOOKUP(Tabla1[[#This Row],[Dependencia]],Tabla2[Dependencia],Tabla2[Clasificación],"XXX",0)</f>
        <v>Presidencia de la República</v>
      </c>
      <c r="J63" t="str">
        <f>_xlfn.XLOOKUP(Tabla1[[#This Row],[Dependencia]],Tabla3[Dependencia],Tabla3[Nivel],"Otros",0)</f>
        <v>Otros</v>
      </c>
    </row>
    <row r="64" spans="1:10" x14ac:dyDescent="0.25">
      <c r="A64" s="11">
        <v>46269</v>
      </c>
      <c r="B64" t="s">
        <v>78</v>
      </c>
      <c r="C64" s="5" t="s">
        <v>193</v>
      </c>
      <c r="D64" t="s">
        <v>12</v>
      </c>
      <c r="E64" t="s">
        <v>26</v>
      </c>
      <c r="F64" t="s">
        <v>85</v>
      </c>
      <c r="G64" t="s">
        <v>86</v>
      </c>
      <c r="H64" t="s">
        <v>70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25">
      <c r="A65" s="11">
        <v>46269</v>
      </c>
      <c r="B65" t="s">
        <v>78</v>
      </c>
      <c r="C65" s="5" t="s">
        <v>194</v>
      </c>
      <c r="D65" t="s">
        <v>12</v>
      </c>
      <c r="E65" t="s">
        <v>16</v>
      </c>
      <c r="F65" t="s">
        <v>16</v>
      </c>
      <c r="G65" t="s">
        <v>195</v>
      </c>
      <c r="H65" t="s">
        <v>11</v>
      </c>
      <c r="I65" t="str">
        <f>_xlfn.XLOOKUP(Tabla1[[#This Row],[Dependencia]],Tabla2[Dependencia],Tabla2[Clasificación],"XXX",0)</f>
        <v>Alcaldías</v>
      </c>
      <c r="J65" t="str">
        <f>_xlfn.XLOOKUP(Tabla1[[#This Row],[Dependencia]],Tabla3[Dependencia],Tabla3[Nivel],"Otros",0)</f>
        <v>Otros</v>
      </c>
    </row>
    <row r="66" spans="1:10" ht="90" x14ac:dyDescent="0.25">
      <c r="A66" s="11">
        <v>46269</v>
      </c>
      <c r="B66" t="s">
        <v>78</v>
      </c>
      <c r="C66" s="5" t="s">
        <v>196</v>
      </c>
      <c r="D66" t="s">
        <v>197</v>
      </c>
      <c r="E66" t="s">
        <v>24</v>
      </c>
      <c r="F66" t="s">
        <v>24</v>
      </c>
      <c r="G66" t="s">
        <v>93</v>
      </c>
      <c r="H66" t="s">
        <v>75</v>
      </c>
      <c r="I66" t="str">
        <f>_xlfn.XLOOKUP(Tabla1[[#This Row],[Dependencia]],Tabla2[Dependencia],Tabla2[Clasificación],"XXX",0)</f>
        <v>Gobierno del estado</v>
      </c>
      <c r="J66" t="str">
        <f>_xlfn.XLOOKUP(Tabla1[[#This Row],[Dependencia]],Tabla3[Dependencia],Tabla3[Nivel],"Otros",0)</f>
        <v>Gobernador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69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69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2026-09-04T14:53:41Z</dcterms:modified>
</cp:coreProperties>
</file>