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D516C631-5C41-450D-A3FD-88152FCC19C2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</calcChain>
</file>

<file path=xl/sharedStrings.xml><?xml version="1.0" encoding="utf-8"?>
<sst xmlns="http://schemas.openxmlformats.org/spreadsheetml/2006/main" count="589" uniqueCount="185">
  <si>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</si>
  <si>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</si>
  <si>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</si>
  <si>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</si>
  <si>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</si>
  <si>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</si>
  <si>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</si>
  <si>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</si>
  <si>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</si>
  <si>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</si>
  <si>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</si>
  <si>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</si>
  <si>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</si>
  <si>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</si>
  <si>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</si>
  <si>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</si>
  <si>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</si>
  <si>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</si>
  <si>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</si>
  <si>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</si>
  <si>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</si>
  <si>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</si>
  <si>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</si>
  <si>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</si>
  <si>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</si>
  <si>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</si>
  <si>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</si>
  <si>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</si>
  <si>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</si>
  <si>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</si>
  <si>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</si>
  <si>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</si>
  <si>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</si>
  <si>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</si>
  <si>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</si>
  <si>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</si>
  <si>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</si>
  <si>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</si>
  <si>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</si>
  <si>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</si>
  <si>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</si>
  <si>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</si>
  <si>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</si>
  <si>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</si>
  <si>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</si>
  <si>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</si>
  <si>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</si>
  <si>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</si>
  <si>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</si>
  <si>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</si>
  <si>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</si>
  <si>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</si>
  <si>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</si>
  <si>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</si>
  <si>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</si>
  <si>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</si>
  <si>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</si>
  <si>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</si>
  <si>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</si>
  <si>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</si>
  <si>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</si>
  <si>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</si>
  <si>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</si>
  <si>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</si>
  <si>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</si>
  <si>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</si>
  <si>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</si>
  <si>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</si>
  <si>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</si>
  <si>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</si>
  <si>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</si>
  <si>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</si>
  <si>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</si>
  <si>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</si>
  <si>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</si>
  <si>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</si>
  <si>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Alcalde</t>
  </si>
  <si>
    <t>PAZ</t>
  </si>
  <si>
    <t>Pachuca Brilla</t>
  </si>
  <si>
    <t>Feria Pachuca</t>
  </si>
  <si>
    <t>Plaza Juárez</t>
  </si>
  <si>
    <t>Temas varios</t>
  </si>
  <si>
    <t>La Jornada Hidalgo</t>
  </si>
  <si>
    <t>Publicidad</t>
  </si>
  <si>
    <t>El Sol de Hidalgo</t>
  </si>
  <si>
    <t>Sipdus</t>
  </si>
  <si>
    <t>Tren AIFA</t>
  </si>
  <si>
    <t>Xantolo</t>
  </si>
  <si>
    <t>ASEH</t>
  </si>
  <si>
    <t>Órgano Interno de Control</t>
  </si>
  <si>
    <t>Dinámica demográfica</t>
  </si>
  <si>
    <t>Más de cuatro mil divorcios en 2025</t>
  </si>
  <si>
    <t>Piden mejorar condiciones de trabajo</t>
  </si>
  <si>
    <t>IMSS</t>
  </si>
  <si>
    <t>Protesta sindical</t>
  </si>
  <si>
    <t>La Cruz Azul alista producción en Tula</t>
  </si>
  <si>
    <t>Cruz Azul</t>
  </si>
  <si>
    <t>Finaliza huelga del Montepío</t>
  </si>
  <si>
    <t>Presentan Xantolo 2026</t>
  </si>
  <si>
    <t>Pulque eleva su valor</t>
  </si>
  <si>
    <t>Aprueba el IEEH tope de gastos para las precampañas locales</t>
  </si>
  <si>
    <t>Avala Congreso estatal iniciativa de nacionalidad única para Presidente y gobernadores</t>
  </si>
  <si>
    <t>Doble nacionalidad</t>
  </si>
  <si>
    <t>Van 1.5 millones de vacunas contra influenza y Covid-19</t>
  </si>
  <si>
    <t>Vacunación</t>
  </si>
  <si>
    <t>Abre Morena registros para diputaciones</t>
  </si>
  <si>
    <t>Elecciones</t>
  </si>
  <si>
    <t>Destina Semarnat $75 millones para sanear la presa Endhó</t>
  </si>
  <si>
    <t>Medio ambiente</t>
  </si>
  <si>
    <t>Presa Endhó</t>
  </si>
  <si>
    <t>Invitan a 4 días de vivir la fiesta del Xantolo</t>
  </si>
  <si>
    <t>Tuzos perfilan futuro olímpico</t>
  </si>
  <si>
    <t>Listo para su último baile</t>
  </si>
  <si>
    <t>Expropian 98 inmuebles para Tren AIFA-Pachuca</t>
  </si>
  <si>
    <t>Sedena</t>
  </si>
  <si>
    <t>Reconstrucción del bulevar las Torres tiene un avance de 52%</t>
  </si>
  <si>
    <t>Rehabilitación Vial</t>
  </si>
  <si>
    <t>Preparan un Mijkailjuitl con memoria y tradición</t>
  </si>
  <si>
    <t>Protestan contra acuerdo salarial</t>
  </si>
  <si>
    <t>INE Hidalgo prevé la instalación de 4 mil 400 casillas para la próxima jornada</t>
  </si>
  <si>
    <t>Cuesta a hidalguenses más de $120 mil cada resolución del TEEH</t>
  </si>
  <si>
    <t>Resolución de juicio</t>
  </si>
  <si>
    <t>Revisa ASEH recursos en medio de crisis por el OIC</t>
  </si>
  <si>
    <t>Arranca Morena registro; al estado corresponden siete defensores distritales</t>
  </si>
  <si>
    <t>Xantolo: una tradición y espectáculo</t>
  </si>
  <si>
    <t>Captan en imágenes las expresiones culturales</t>
  </si>
  <si>
    <t>Concurso de fotografía</t>
  </si>
  <si>
    <t>Cuenta el estado con más de cinco mil policías</t>
  </si>
  <si>
    <t>Tasa de policías</t>
  </si>
  <si>
    <t>Segob activará el rastreo de personas desaparecidas con 32 centros de mando</t>
  </si>
  <si>
    <t>Gobernación</t>
  </si>
  <si>
    <t>Personas desaparecidas</t>
  </si>
  <si>
    <t>Unidad antisecuestro de la PGJEH consigue sentencias récord</t>
  </si>
  <si>
    <t>UECS</t>
  </si>
  <si>
    <t>Combate Al Secuestro</t>
  </si>
  <si>
    <t>Exportaciones caen 18.7% en segundo trimestre: Mientras en 2025 la entidad obtuvo 811 mil 441 dólares, en 2026 decreció a 659 mil 328</t>
  </si>
  <si>
    <t>Exportaciones</t>
  </si>
  <si>
    <t>Partidos piden piso parejo al arranque del proceso federal</t>
  </si>
  <si>
    <t>Tizayuca cuadruplicó su población; “urge ajustar presupuesto”</t>
  </si>
  <si>
    <t>Envíos al exterior de crudo de Pemex se desploma 45%</t>
  </si>
  <si>
    <t>Pemex</t>
  </si>
  <si>
    <t>Hidalgo necesita planear pensando en dónde vive hoy la gente y en dónde vivirá mañana, no en dónde vivía hace diez años. De lo contrario, el crecimiento seguirá siendo sinónimo de rezago</t>
  </si>
  <si>
    <t>Ordenamiento Territorial</t>
  </si>
  <si>
    <t>Más de 2.5 millones de hidalguenses podrán votar en las elecciones federales de 2027</t>
  </si>
  <si>
    <t>Dota DIFH de reequipamiento a espacios de alimentación para personas vulnerables</t>
  </si>
  <si>
    <t>Espacios de alimentación</t>
  </si>
  <si>
    <t>Invierten 75 mdp en Presa Endhó; Semarnat asegura reducción de 47% del mosco Culex</t>
  </si>
  <si>
    <t>Exigen trabajadores del IMSS Hidalgo insumos y mejores condiciones laborales</t>
  </si>
  <si>
    <t>Cerca de 2.5 millones de hidalguenses podrán votar en 2027</t>
  </si>
  <si>
    <t>Miradas de Hidalgo</t>
  </si>
  <si>
    <t>Freno a doble nacionalidad</t>
  </si>
  <si>
    <t>Rescate de ríos</t>
  </si>
  <si>
    <t>Plan Hídrico</t>
  </si>
  <si>
    <t>INE arranca organización de elección federal en Hidalgo</t>
  </si>
  <si>
    <t>Pachuca tendrá tope de 1.4 millones para precampañas</t>
  </si>
  <si>
    <t>Marfeca</t>
  </si>
  <si>
    <t>Primeros días de feria Pachuca deja 38 detenidos en alcoholímetro</t>
  </si>
  <si>
    <t>Cintillo</t>
  </si>
  <si>
    <t>Capturando Hidalgo 2026 premia con 132  mil pesos trabajo fotográfico de culturas vivas</t>
  </si>
  <si>
    <t>La SCJN falla a favor de La Cruz Azul y protege de forma definitiva su patrimonio</t>
  </si>
  <si>
    <t>Continúa Jorge Reyes impulsando en Pachuca las jornadas gratuitas de esterilización y vacunación antirrábica</t>
  </si>
  <si>
    <t>Campaña de esterilización</t>
  </si>
  <si>
    <t>Arranca jornada de esterilización gratuita</t>
  </si>
  <si>
    <t>Con Claudia Sandoval, Atitalaquia planea y transforma con el corazón por su gente</t>
  </si>
  <si>
    <t>Tlahuelilpan recibe equipamiento del DIFH para Espacios de Alimentación</t>
  </si>
  <si>
    <t>Emprendimiento que florece</t>
  </si>
  <si>
    <t>Apoyo a emprendedores</t>
  </si>
  <si>
    <t>Xantolo 2026: preparan cuatro días de fiesta en Huejutla</t>
  </si>
  <si>
    <t>Beneficia SEPH con apoyos e infraestructura a estudiantes de San Felipe Orizatlán</t>
  </si>
  <si>
    <t>Entrega de infraestructura escolar</t>
  </si>
  <si>
    <t>Continúa Jorge Reyes impulsando jornadas gratuitas de esterilización y vacunación antirrábica</t>
  </si>
  <si>
    <t>Personal del IMSS pide igualdad salarial; se manifiestan en Madero</t>
  </si>
  <si>
    <t>Óscar Maydon y Víctor Mendívil prendieron la Feria de Pachuca</t>
  </si>
  <si>
    <t>OEEH</t>
  </si>
  <si>
    <t>Haz una parada diferente</t>
  </si>
  <si>
    <t>Recuerda: la detección temprana salva vidas</t>
  </si>
  <si>
    <t>Prevención cáncer de mama</t>
  </si>
  <si>
    <t>Colectiva arrolla a adulta mayor y choca</t>
  </si>
  <si>
    <t>STCH</t>
  </si>
  <si>
    <t>Accidente transporte público</t>
  </si>
  <si>
    <t>Prohíben la doble nacionalidad para Presidente</t>
  </si>
  <si>
    <t>EE.UU. tiende las redes contra funcionarios mexicanos ligados con los narcos de Sinaloa; muchos seguro ya no comen ni duermen por la preocupación</t>
  </si>
  <si>
    <t>Editorial</t>
  </si>
  <si>
    <t>Intervención extranjera</t>
  </si>
  <si>
    <t>Gobernador pide reforzar seguridad en Feria San Francisco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</si>
</sst>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workbookViewId="0">
      <selection activeCell="A2" sqref="A2:H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46296</v>
      </c>
      <c r="B2" t="s">
        <v>84</v>
      </c>
      <c r="C2" s="5" t="s">
        <v>91</v>
      </c>
      <c r="D2" t="s">
        <v>12</v>
      </c>
      <c r="E2" t="s">
        <v>14</v>
      </c>
      <c r="F2" t="s">
        <v>14</v>
      </c>
      <c r="G2" t="s">
        <v>90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46296</v>
      </c>
      <c r="B3" t="s">
        <v>84</v>
      </c>
      <c r="C3" s="5" t="s">
        <v>92</v>
      </c>
      <c r="D3" t="s">
        <v>9</v>
      </c>
      <c r="E3" t="s">
        <v>14</v>
      </c>
      <c r="F3" t="s">
        <v>93</v>
      </c>
      <c r="G3" t="s">
        <v>94</v>
      </c>
      <c r="H3" t="s">
        <v>68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46296</v>
      </c>
      <c r="B4" t="s">
        <v>84</v>
      </c>
      <c r="C4" s="5" t="s">
        <v>95</v>
      </c>
      <c r="D4" t="s">
        <v>13</v>
      </c>
      <c r="E4" t="s">
        <v>24</v>
      </c>
      <c r="F4" t="s">
        <v>24</v>
      </c>
      <c r="G4" t="s">
        <v>96</v>
      </c>
      <c r="H4" t="s">
        <v>72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25">
      <c r="A5" s="11">
        <v>46296</v>
      </c>
      <c r="B5" t="s">
        <v>84</v>
      </c>
      <c r="C5" s="5" t="s">
        <v>97</v>
      </c>
      <c r="D5" t="s">
        <v>12</v>
      </c>
      <c r="E5" t="s">
        <v>14</v>
      </c>
      <c r="F5" t="s">
        <v>14</v>
      </c>
      <c r="G5" t="s">
        <v>94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46296</v>
      </c>
      <c r="B6" t="s">
        <v>84</v>
      </c>
      <c r="C6" s="5" t="s">
        <v>98</v>
      </c>
      <c r="D6" t="s">
        <v>12</v>
      </c>
      <c r="E6" t="s">
        <v>28</v>
      </c>
      <c r="F6" t="s">
        <v>28</v>
      </c>
      <c r="G6" t="s">
        <v>87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46296</v>
      </c>
      <c r="B7" t="s">
        <v>84</v>
      </c>
      <c r="C7" s="5" t="s">
        <v>99</v>
      </c>
      <c r="D7" t="s">
        <v>12</v>
      </c>
      <c r="E7" t="s">
        <v>10</v>
      </c>
      <c r="F7" t="s">
        <v>10</v>
      </c>
      <c r="G7" t="s">
        <v>81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46296</v>
      </c>
      <c r="B8" t="s">
        <v>69</v>
      </c>
      <c r="C8" s="5" t="s">
        <v>100</v>
      </c>
      <c r="D8" t="s">
        <v>13</v>
      </c>
      <c r="E8" t="s">
        <v>40</v>
      </c>
      <c r="F8" t="s">
        <v>40</v>
      </c>
      <c r="G8" t="s">
        <v>42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11">
        <v>46296</v>
      </c>
      <c r="B9" t="s">
        <v>69</v>
      </c>
      <c r="C9" s="5" t="s">
        <v>101</v>
      </c>
      <c r="D9" t="s">
        <v>12</v>
      </c>
      <c r="E9" t="s">
        <v>33</v>
      </c>
      <c r="F9" t="s">
        <v>33</v>
      </c>
      <c r="G9" t="s">
        <v>102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ht="30" x14ac:dyDescent="0.25">
      <c r="A10" s="11">
        <v>46296</v>
      </c>
      <c r="B10" t="s">
        <v>69</v>
      </c>
      <c r="C10" s="5" t="s">
        <v>103</v>
      </c>
      <c r="D10" t="s">
        <v>12</v>
      </c>
      <c r="E10" t="s">
        <v>15</v>
      </c>
      <c r="F10" t="s">
        <v>2</v>
      </c>
      <c r="G10" t="s">
        <v>104</v>
      </c>
      <c r="H10" t="s">
        <v>72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46296</v>
      </c>
      <c r="B11" t="s">
        <v>69</v>
      </c>
      <c r="C11" s="5" t="s">
        <v>105</v>
      </c>
      <c r="D11" t="s">
        <v>12</v>
      </c>
      <c r="E11" t="s">
        <v>18</v>
      </c>
      <c r="F11" t="s">
        <v>18</v>
      </c>
      <c r="G11" t="s">
        <v>106</v>
      </c>
      <c r="H11" t="s">
        <v>11</v>
      </c>
      <c r="I11" t="str">
        <f>_xlfn.XLOOKUP(Tabla1[[#This Row],[Dependencia]],Tabla2[Dependencia],Tabla2[Clasificación],"XXX",0)</f>
        <v>Partidos</v>
      </c>
      <c r="J11" t="str">
        <f>_xlfn.XLOOKUP(Tabla1[[#This Row],[Dependencia]],Tabla3[Dependencia],Tabla3[Nivel],"Otros",0)</f>
        <v>Otros</v>
      </c>
    </row>
    <row r="12" spans="1:10" ht="30" x14ac:dyDescent="0.25">
      <c r="A12" s="11">
        <v>46296</v>
      </c>
      <c r="B12" t="s">
        <v>69</v>
      </c>
      <c r="C12" s="5" t="s">
        <v>107</v>
      </c>
      <c r="D12" t="s">
        <v>12</v>
      </c>
      <c r="E12" t="s">
        <v>14</v>
      </c>
      <c r="F12" t="s">
        <v>108</v>
      </c>
      <c r="G12" t="s">
        <v>109</v>
      </c>
      <c r="H12" t="s">
        <v>72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46296</v>
      </c>
      <c r="B13" t="s">
        <v>69</v>
      </c>
      <c r="C13" s="5" t="s">
        <v>110</v>
      </c>
      <c r="D13" t="s">
        <v>9</v>
      </c>
      <c r="E13" t="s">
        <v>28</v>
      </c>
      <c r="F13" t="s">
        <v>28</v>
      </c>
      <c r="G13" t="s">
        <v>87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46296</v>
      </c>
      <c r="B14" t="s">
        <v>71</v>
      </c>
      <c r="C14" s="5" t="s">
        <v>111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46296</v>
      </c>
      <c r="B15" t="s">
        <v>71</v>
      </c>
      <c r="C15" s="5" t="s">
        <v>112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46296</v>
      </c>
      <c r="B16" t="s">
        <v>71</v>
      </c>
      <c r="C16" s="5" t="s">
        <v>113</v>
      </c>
      <c r="D16" t="s">
        <v>13</v>
      </c>
      <c r="E16" t="s">
        <v>14</v>
      </c>
      <c r="F16" t="s">
        <v>114</v>
      </c>
      <c r="G16" t="s">
        <v>86</v>
      </c>
      <c r="H16" t="s">
        <v>11</v>
      </c>
      <c r="I16" t="str">
        <f>_xlfn.XLOOKUP(Tabla1[[#This Row],[Dependencia]],Tabla2[Dependencia],Tabla2[Clasificación],"XXX",0)</f>
        <v>Presidencia de la República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46296</v>
      </c>
      <c r="B17" t="s">
        <v>71</v>
      </c>
      <c r="C17" s="5" t="s">
        <v>115</v>
      </c>
      <c r="D17" t="s">
        <v>12</v>
      </c>
      <c r="E17" t="s">
        <v>85</v>
      </c>
      <c r="F17" t="s">
        <v>85</v>
      </c>
      <c r="G17" t="s">
        <v>116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46296</v>
      </c>
      <c r="B18" t="s">
        <v>71</v>
      </c>
      <c r="C18" s="5" t="s">
        <v>117</v>
      </c>
      <c r="D18" t="s">
        <v>9</v>
      </c>
      <c r="E18" t="s">
        <v>10</v>
      </c>
      <c r="F18" t="s">
        <v>10</v>
      </c>
      <c r="G18" t="s">
        <v>87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46296</v>
      </c>
      <c r="B19" t="s">
        <v>71</v>
      </c>
      <c r="C19" s="5" t="s">
        <v>118</v>
      </c>
      <c r="D19" t="s">
        <v>12</v>
      </c>
      <c r="E19" t="s">
        <v>14</v>
      </c>
      <c r="F19" t="s">
        <v>93</v>
      </c>
      <c r="G19" t="s">
        <v>94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46296</v>
      </c>
      <c r="B20" t="s">
        <v>71</v>
      </c>
      <c r="C20" s="5" t="s">
        <v>119</v>
      </c>
      <c r="D20" t="s">
        <v>12</v>
      </c>
      <c r="E20" t="s">
        <v>10</v>
      </c>
      <c r="F20" t="s">
        <v>10</v>
      </c>
      <c r="G20" t="s">
        <v>42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46296</v>
      </c>
      <c r="B21" t="s">
        <v>75</v>
      </c>
      <c r="C21" s="5" t="s">
        <v>120</v>
      </c>
      <c r="D21" t="s">
        <v>13</v>
      </c>
      <c r="E21" t="s">
        <v>57</v>
      </c>
      <c r="F21" t="s">
        <v>57</v>
      </c>
      <c r="G21" t="s">
        <v>121</v>
      </c>
      <c r="H21" t="s">
        <v>68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46296</v>
      </c>
      <c r="B22" t="s">
        <v>75</v>
      </c>
      <c r="C22" s="5" t="s">
        <v>122</v>
      </c>
      <c r="D22" t="s">
        <v>12</v>
      </c>
      <c r="E22" t="s">
        <v>33</v>
      </c>
      <c r="F22" t="s">
        <v>88</v>
      </c>
      <c r="G22" t="s">
        <v>89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46296</v>
      </c>
      <c r="B23" t="s">
        <v>75</v>
      </c>
      <c r="C23" s="5" t="s">
        <v>123</v>
      </c>
      <c r="D23" t="s">
        <v>12</v>
      </c>
      <c r="E23" t="s">
        <v>18</v>
      </c>
      <c r="F23" t="s">
        <v>18</v>
      </c>
      <c r="G23" t="s">
        <v>42</v>
      </c>
      <c r="H23" t="s">
        <v>11</v>
      </c>
      <c r="I23" t="str">
        <f>_xlfn.XLOOKUP(Tabla1[[#This Row],[Dependencia]],Tabla2[Dependencia],Tabla2[Clasificación],"XXX",0)</f>
        <v>Partidos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46296</v>
      </c>
      <c r="B24" t="s">
        <v>75</v>
      </c>
      <c r="C24" s="5" t="s">
        <v>124</v>
      </c>
      <c r="D24" t="s">
        <v>12</v>
      </c>
      <c r="E24" t="s">
        <v>16</v>
      </c>
      <c r="F24" t="s">
        <v>16</v>
      </c>
      <c r="G24" t="s">
        <v>87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46296</v>
      </c>
      <c r="B25" t="s">
        <v>75</v>
      </c>
      <c r="C25" s="5" t="s">
        <v>125</v>
      </c>
      <c r="D25" t="s">
        <v>9</v>
      </c>
      <c r="E25" t="s">
        <v>28</v>
      </c>
      <c r="F25" t="s">
        <v>28</v>
      </c>
      <c r="G25" t="s">
        <v>126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46296</v>
      </c>
      <c r="B26" t="s">
        <v>75</v>
      </c>
      <c r="C26" s="5" t="s">
        <v>127</v>
      </c>
      <c r="D26" t="s">
        <v>12</v>
      </c>
      <c r="E26" t="s">
        <v>22</v>
      </c>
      <c r="F26" t="s">
        <v>22</v>
      </c>
      <c r="G26" t="s">
        <v>128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11">
        <v>46296</v>
      </c>
      <c r="B27" t="s">
        <v>75</v>
      </c>
      <c r="C27" s="5" t="s">
        <v>129</v>
      </c>
      <c r="D27" t="s">
        <v>12</v>
      </c>
      <c r="E27" t="s">
        <v>14</v>
      </c>
      <c r="F27" t="s">
        <v>130</v>
      </c>
      <c r="G27" t="s">
        <v>131</v>
      </c>
      <c r="H27" t="s">
        <v>72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46296</v>
      </c>
      <c r="B28" t="s">
        <v>75</v>
      </c>
      <c r="C28" s="5" t="s">
        <v>132</v>
      </c>
      <c r="D28" t="s">
        <v>12</v>
      </c>
      <c r="E28" t="s">
        <v>17</v>
      </c>
      <c r="F28" t="s">
        <v>133</v>
      </c>
      <c r="G28" t="s">
        <v>134</v>
      </c>
      <c r="H28" t="s">
        <v>72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45" x14ac:dyDescent="0.25">
      <c r="A29" s="11">
        <v>46296</v>
      </c>
      <c r="B29" t="s">
        <v>82</v>
      </c>
      <c r="C29" s="5" t="s">
        <v>135</v>
      </c>
      <c r="D29" t="s">
        <v>12</v>
      </c>
      <c r="E29" t="s">
        <v>54</v>
      </c>
      <c r="F29" t="s">
        <v>54</v>
      </c>
      <c r="G29" t="s">
        <v>136</v>
      </c>
      <c r="H29" t="s">
        <v>68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46296</v>
      </c>
      <c r="B30" t="s">
        <v>82</v>
      </c>
      <c r="C30" s="5" t="s">
        <v>137</v>
      </c>
      <c r="D30" t="s">
        <v>12</v>
      </c>
      <c r="E30" t="s">
        <v>10</v>
      </c>
      <c r="F30" t="s">
        <v>10</v>
      </c>
      <c r="G30" t="s">
        <v>42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46296</v>
      </c>
      <c r="B31" t="s">
        <v>82</v>
      </c>
      <c r="C31" s="5" t="s">
        <v>138</v>
      </c>
      <c r="D31" t="s">
        <v>9</v>
      </c>
      <c r="E31" t="s">
        <v>16</v>
      </c>
      <c r="F31" t="s">
        <v>76</v>
      </c>
      <c r="G31" t="s">
        <v>90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46296</v>
      </c>
      <c r="B32" t="s">
        <v>82</v>
      </c>
      <c r="C32" s="5" t="s">
        <v>139</v>
      </c>
      <c r="D32" t="s">
        <v>12</v>
      </c>
      <c r="E32" t="s">
        <v>14</v>
      </c>
      <c r="F32" t="s">
        <v>140</v>
      </c>
      <c r="G32" t="s">
        <v>136</v>
      </c>
      <c r="H32" t="s">
        <v>68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60" x14ac:dyDescent="0.25">
      <c r="A33" s="11">
        <v>46296</v>
      </c>
      <c r="B33" t="s">
        <v>82</v>
      </c>
      <c r="C33" s="5" t="s">
        <v>141</v>
      </c>
      <c r="D33" t="s">
        <v>12</v>
      </c>
      <c r="E33" t="s">
        <v>38</v>
      </c>
      <c r="F33" t="s">
        <v>38</v>
      </c>
      <c r="G33" t="s">
        <v>142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11">
        <v>46296</v>
      </c>
      <c r="B34" t="s">
        <v>74</v>
      </c>
      <c r="C34" s="5" t="s">
        <v>143</v>
      </c>
      <c r="D34" t="s">
        <v>13</v>
      </c>
      <c r="E34" t="s">
        <v>10</v>
      </c>
      <c r="F34" t="s">
        <v>10</v>
      </c>
      <c r="G34" t="s">
        <v>42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46296</v>
      </c>
      <c r="B35" t="s">
        <v>74</v>
      </c>
      <c r="C35" s="5" t="s">
        <v>144</v>
      </c>
      <c r="D35" t="s">
        <v>12</v>
      </c>
      <c r="E35" t="s">
        <v>36</v>
      </c>
      <c r="F35" t="s">
        <v>2</v>
      </c>
      <c r="G35" t="s">
        <v>145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46296</v>
      </c>
      <c r="B36" t="s">
        <v>74</v>
      </c>
      <c r="C36" s="5" t="s">
        <v>146</v>
      </c>
      <c r="D36" t="s">
        <v>12</v>
      </c>
      <c r="E36" t="s">
        <v>14</v>
      </c>
      <c r="F36" t="s">
        <v>108</v>
      </c>
      <c r="G36" t="s">
        <v>109</v>
      </c>
      <c r="H36" t="s">
        <v>72</v>
      </c>
      <c r="I36" t="str">
        <f>_xlfn.XLOOKUP(Tabla1[[#This Row],[Dependencia]],Tabla2[Dependencia],Tabla2[Clasificación],"XXX",0)</f>
        <v>Presidencia de la República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46296</v>
      </c>
      <c r="B37" t="s">
        <v>74</v>
      </c>
      <c r="C37" s="5" t="s">
        <v>147</v>
      </c>
      <c r="D37" t="s">
        <v>12</v>
      </c>
      <c r="E37" t="s">
        <v>14</v>
      </c>
      <c r="F37" t="s">
        <v>93</v>
      </c>
      <c r="G37" t="s">
        <v>94</v>
      </c>
      <c r="H37" t="s">
        <v>68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46296</v>
      </c>
      <c r="B38" t="s">
        <v>73</v>
      </c>
      <c r="C38" s="5" t="s">
        <v>148</v>
      </c>
      <c r="D38" t="s">
        <v>13</v>
      </c>
      <c r="E38" t="s">
        <v>10</v>
      </c>
      <c r="F38" t="s">
        <v>10</v>
      </c>
      <c r="G38" t="s">
        <v>42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46296</v>
      </c>
      <c r="B39" t="s">
        <v>73</v>
      </c>
      <c r="C39" s="5" t="s">
        <v>149</v>
      </c>
      <c r="D39" t="s">
        <v>9</v>
      </c>
      <c r="E39" t="s">
        <v>28</v>
      </c>
      <c r="F39" t="s">
        <v>28</v>
      </c>
      <c r="G39" t="s">
        <v>126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46296</v>
      </c>
      <c r="B40" t="s">
        <v>73</v>
      </c>
      <c r="C40" s="5" t="s">
        <v>150</v>
      </c>
      <c r="D40" t="s">
        <v>12</v>
      </c>
      <c r="E40" t="s">
        <v>33</v>
      </c>
      <c r="F40" t="s">
        <v>33</v>
      </c>
      <c r="G40" t="s">
        <v>102</v>
      </c>
      <c r="H40" t="s">
        <v>72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46296</v>
      </c>
      <c r="B41" t="s">
        <v>73</v>
      </c>
      <c r="C41" s="5" t="s">
        <v>151</v>
      </c>
      <c r="D41" t="s">
        <v>12</v>
      </c>
      <c r="E41" t="s">
        <v>14</v>
      </c>
      <c r="F41" t="s">
        <v>14</v>
      </c>
      <c r="G41" t="s">
        <v>152</v>
      </c>
      <c r="H41" t="s">
        <v>11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46296</v>
      </c>
      <c r="B42" t="s">
        <v>73</v>
      </c>
      <c r="C42" s="5" t="s">
        <v>153</v>
      </c>
      <c r="D42" t="s">
        <v>12</v>
      </c>
      <c r="E42" t="s">
        <v>10</v>
      </c>
      <c r="F42" t="s">
        <v>10</v>
      </c>
      <c r="G42" t="s">
        <v>42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46296</v>
      </c>
      <c r="B43" t="s">
        <v>73</v>
      </c>
      <c r="C43" s="5" t="s">
        <v>154</v>
      </c>
      <c r="D43" t="s">
        <v>12</v>
      </c>
      <c r="E43" t="s">
        <v>40</v>
      </c>
      <c r="F43" t="s">
        <v>40</v>
      </c>
      <c r="G43" t="s">
        <v>42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46296</v>
      </c>
      <c r="B44" t="s">
        <v>155</v>
      </c>
      <c r="C44" s="5" t="s">
        <v>156</v>
      </c>
      <c r="D44" t="s">
        <v>157</v>
      </c>
      <c r="E44" t="s">
        <v>16</v>
      </c>
      <c r="F44" t="s">
        <v>16</v>
      </c>
      <c r="G44" t="s">
        <v>79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46296</v>
      </c>
      <c r="B45" t="s">
        <v>155</v>
      </c>
      <c r="C45" s="5" t="s">
        <v>158</v>
      </c>
      <c r="D45" t="s">
        <v>12</v>
      </c>
      <c r="E45" t="s">
        <v>28</v>
      </c>
      <c r="F45" t="s">
        <v>28</v>
      </c>
      <c r="G45" t="s">
        <v>126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46296</v>
      </c>
      <c r="B46" t="s">
        <v>155</v>
      </c>
      <c r="C46" s="5" t="s">
        <v>159</v>
      </c>
      <c r="D46" t="s">
        <v>13</v>
      </c>
      <c r="E46" t="s">
        <v>10</v>
      </c>
      <c r="F46" t="s">
        <v>10</v>
      </c>
      <c r="G46" t="s">
        <v>96</v>
      </c>
      <c r="H46" t="s">
        <v>72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45" x14ac:dyDescent="0.25">
      <c r="A47" s="11">
        <v>46296</v>
      </c>
      <c r="B47" t="s">
        <v>155</v>
      </c>
      <c r="C47" s="5" t="s">
        <v>160</v>
      </c>
      <c r="D47" t="s">
        <v>12</v>
      </c>
      <c r="E47" t="s">
        <v>16</v>
      </c>
      <c r="F47" t="s">
        <v>76</v>
      </c>
      <c r="G47" t="s">
        <v>161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46296</v>
      </c>
      <c r="B48" t="s">
        <v>155</v>
      </c>
      <c r="C48" s="5" t="s">
        <v>162</v>
      </c>
      <c r="D48" t="s">
        <v>12</v>
      </c>
      <c r="E48" t="s">
        <v>16</v>
      </c>
      <c r="F48" t="s">
        <v>16</v>
      </c>
      <c r="G48" t="s">
        <v>161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46296</v>
      </c>
      <c r="B49" t="s">
        <v>155</v>
      </c>
      <c r="C49" s="5" t="s">
        <v>163</v>
      </c>
      <c r="D49" t="s">
        <v>12</v>
      </c>
      <c r="E49" t="s">
        <v>16</v>
      </c>
      <c r="F49" t="s">
        <v>16</v>
      </c>
      <c r="G49" t="s">
        <v>81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46296</v>
      </c>
      <c r="B50" t="s">
        <v>155</v>
      </c>
      <c r="C50" s="5" t="s">
        <v>164</v>
      </c>
      <c r="D50" t="s">
        <v>12</v>
      </c>
      <c r="E50" t="s">
        <v>36</v>
      </c>
      <c r="F50" t="s">
        <v>2</v>
      </c>
      <c r="G50" t="s">
        <v>145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11">
        <v>46296</v>
      </c>
      <c r="B51" t="s">
        <v>155</v>
      </c>
      <c r="C51" s="5" t="s">
        <v>165</v>
      </c>
      <c r="D51" t="s">
        <v>83</v>
      </c>
      <c r="E51" t="s">
        <v>53</v>
      </c>
      <c r="F51" t="s">
        <v>53</v>
      </c>
      <c r="G51" t="s">
        <v>166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46296</v>
      </c>
      <c r="B52" t="s">
        <v>78</v>
      </c>
      <c r="C52" s="5" t="s">
        <v>167</v>
      </c>
      <c r="D52" t="s">
        <v>13</v>
      </c>
      <c r="E52" t="s">
        <v>28</v>
      </c>
      <c r="F52" t="s">
        <v>28</v>
      </c>
      <c r="G52" t="s">
        <v>87</v>
      </c>
      <c r="H52" t="s">
        <v>72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46296</v>
      </c>
      <c r="B53" t="s">
        <v>78</v>
      </c>
      <c r="C53" s="5" t="s">
        <v>168</v>
      </c>
      <c r="D53" t="s">
        <v>12</v>
      </c>
      <c r="E53" t="s">
        <v>26</v>
      </c>
      <c r="F53" t="s">
        <v>2</v>
      </c>
      <c r="G53" t="s">
        <v>169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46296</v>
      </c>
      <c r="B54" t="s">
        <v>78</v>
      </c>
      <c r="C54" s="5" t="s">
        <v>170</v>
      </c>
      <c r="D54" t="s">
        <v>12</v>
      </c>
      <c r="E54" t="s">
        <v>16</v>
      </c>
      <c r="F54" t="s">
        <v>76</v>
      </c>
      <c r="G54" t="s">
        <v>161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46296</v>
      </c>
      <c r="B55" t="s">
        <v>78</v>
      </c>
      <c r="C55" s="5" t="s">
        <v>171</v>
      </c>
      <c r="D55" t="s">
        <v>12</v>
      </c>
      <c r="E55" t="s">
        <v>14</v>
      </c>
      <c r="F55" t="s">
        <v>93</v>
      </c>
      <c r="G55" t="s">
        <v>94</v>
      </c>
      <c r="H55" t="s">
        <v>68</v>
      </c>
      <c r="I55" t="str">
        <f>_xlfn.XLOOKUP(Tabla1[[#This Row],[Dependencia]],Tabla2[Dependencia],Tabla2[Clasificación],"XXX",0)</f>
        <v>Presidencia de la República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46296</v>
      </c>
      <c r="B56" t="s">
        <v>78</v>
      </c>
      <c r="C56" s="5" t="s">
        <v>172</v>
      </c>
      <c r="D56" t="s">
        <v>12</v>
      </c>
      <c r="E56" t="s">
        <v>29</v>
      </c>
      <c r="F56" t="s">
        <v>173</v>
      </c>
      <c r="G56" t="s">
        <v>79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46296</v>
      </c>
      <c r="B57" t="s">
        <v>78</v>
      </c>
      <c r="C57" s="5" t="s">
        <v>174</v>
      </c>
      <c r="D57" t="s">
        <v>83</v>
      </c>
      <c r="E57" t="s">
        <v>19</v>
      </c>
      <c r="F57" t="s">
        <v>19</v>
      </c>
      <c r="G57" t="s">
        <v>79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11">
        <v>46296</v>
      </c>
      <c r="B58" t="s">
        <v>78</v>
      </c>
      <c r="C58" s="5" t="s">
        <v>175</v>
      </c>
      <c r="D58" t="s">
        <v>83</v>
      </c>
      <c r="E58" t="s">
        <v>16</v>
      </c>
      <c r="F58" t="s">
        <v>16</v>
      </c>
      <c r="G58" t="s">
        <v>176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46296</v>
      </c>
      <c r="B59" t="s">
        <v>80</v>
      </c>
      <c r="C59" s="5" t="s">
        <v>177</v>
      </c>
      <c r="D59" t="s">
        <v>13</v>
      </c>
      <c r="E59" t="s">
        <v>27</v>
      </c>
      <c r="F59" t="s">
        <v>178</v>
      </c>
      <c r="G59" t="s">
        <v>179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46296</v>
      </c>
      <c r="B60" t="s">
        <v>80</v>
      </c>
      <c r="C60" s="5" t="s">
        <v>180</v>
      </c>
      <c r="D60" t="s">
        <v>12</v>
      </c>
      <c r="E60" t="s">
        <v>14</v>
      </c>
      <c r="F60" t="s">
        <v>14</v>
      </c>
      <c r="G60" t="s">
        <v>102</v>
      </c>
      <c r="H60" t="s">
        <v>72</v>
      </c>
      <c r="I60" t="str">
        <f>_xlfn.XLOOKUP(Tabla1[[#This Row],[Dependencia]],Tabla2[Dependencia],Tabla2[Clasificación],"XXX",0)</f>
        <v>Presidencia de la República</v>
      </c>
      <c r="J60" t="str">
        <f>_xlfn.XLOOKUP(Tabla1[[#This Row],[Dependencia]],Tabla3[Dependencia],Tabla3[Nivel],"Otros",0)</f>
        <v>Otros</v>
      </c>
    </row>
    <row r="61" spans="1:10" ht="45" x14ac:dyDescent="0.25">
      <c r="A61" s="11">
        <v>46296</v>
      </c>
      <c r="B61" t="s">
        <v>80</v>
      </c>
      <c r="C61" s="5" t="s">
        <v>181</v>
      </c>
      <c r="D61" t="s">
        <v>182</v>
      </c>
      <c r="E61" t="s">
        <v>10</v>
      </c>
      <c r="F61" t="s">
        <v>10</v>
      </c>
      <c r="G61" t="s">
        <v>183</v>
      </c>
      <c r="H61" t="s">
        <v>68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46296</v>
      </c>
      <c r="B62" t="s">
        <v>80</v>
      </c>
      <c r="C62" s="5" t="s">
        <v>184</v>
      </c>
      <c r="D62" t="s">
        <v>12</v>
      </c>
      <c r="E62" t="s">
        <v>24</v>
      </c>
      <c r="F62" t="s">
        <v>24</v>
      </c>
      <c r="G62" t="s">
        <v>79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77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2026-10-01T14:37:24Z</dcterms:modified>
</cp:coreProperties>
</file>