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8BD68777-3C9A-4575-B706-2BDA3E10E3D9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</calcChain>
</file>

<file path=xl/sharedStrings.xml><?xml version="1.0" encoding="utf-8"?>
<sst xmlns="http://schemas.openxmlformats.org/spreadsheetml/2006/main" count="610" uniqueCount="194">
  <si>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</si>
  <si>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</si>
  <si>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</si>
  <si>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</si>
  <si>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</si>
  <si>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</si>
  <si>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</si>
  <si>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</si>
  <si>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</si>
  <si>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</si>
  <si>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</si>
  <si>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</si>
  <si>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</si>
  <si>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</si>
  <si>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</si>
  <si>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</si>
  <si>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</si>
  <si>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</si>
  <si>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</si>
  <si>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</si>
  <si>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</si>
  <si>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</si>
  <si>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</si>
  <si>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</si>
  <si>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</si>
  <si>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</si>
  <si>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</si>
  <si>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</si>
  <si>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</si>
  <si>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</si>
  <si>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</si>
  <si>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</si>
  <si>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</si>
  <si>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</si>
  <si>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</si>
  <si>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</si>
  <si>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</si>
  <si>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</si>
  <si>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</si>
  <si>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</si>
  <si>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</si>
  <si>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</si>
  <si>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</si>
  <si>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</si>
  <si>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</si>
  <si>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</si>
  <si>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</si>
  <si>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</si>
  <si>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</si>
  <si>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</si>
  <si>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</si>
  <si>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</si>
  <si>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</si>
  <si>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</si>
  <si>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</si>
  <si>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</si>
  <si>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</si>
  <si>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</si>
  <si>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</si>
  <si>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</si>
  <si>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</si>
  <si>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</si>
  <si>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</si>
  <si>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</si>
  <si>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</si>
  <si>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</si>
  <si>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</si>
  <si>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</si>
  <si>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</si>
  <si>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</si>
  <si>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</si>
  <si>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</si>
  <si>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</si>
  <si>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</si>
  <si>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</si>
  <si>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</si>
  <si>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PAZ</t>
  </si>
  <si>
    <t>Plaza Juárez</t>
  </si>
  <si>
    <t>Temas varios</t>
  </si>
  <si>
    <t>La Jornada Hidalgo</t>
  </si>
  <si>
    <t>Publicidad</t>
  </si>
  <si>
    <t>El Sol de Hidalgo</t>
  </si>
  <si>
    <t>Marfeca</t>
  </si>
  <si>
    <t>Cintillo</t>
  </si>
  <si>
    <t>Prevención cáncer de mama</t>
  </si>
  <si>
    <t>Policía municipal</t>
  </si>
  <si>
    <t>Alerta Meteorológica</t>
  </si>
  <si>
    <t>Afectaciones Por Lluvias</t>
  </si>
  <si>
    <t>PC</t>
  </si>
  <si>
    <t>Temas internacionales</t>
  </si>
  <si>
    <t>Protesta sindical</t>
  </si>
  <si>
    <t>Suspensión De Clases</t>
  </si>
  <si>
    <t>SICT</t>
  </si>
  <si>
    <t>Bachillerato Nacional</t>
  </si>
  <si>
    <t>Cruz Azul</t>
  </si>
  <si>
    <t>Reunión con sindicato</t>
  </si>
  <si>
    <t>Protestan trabajadores de Educación Especial</t>
  </si>
  <si>
    <t>Suman 50 comunidades aisladas por las lluvias</t>
  </si>
  <si>
    <t>Colapso de puente</t>
  </si>
  <si>
    <t>Reactivan la planta Cruz Azul en Hidalgo</t>
  </si>
  <si>
    <t>El 26% de cigarros en México es ilegal</t>
  </si>
  <si>
    <t>Contrabando</t>
  </si>
  <si>
    <t>Aprueban nuevo modelo de transparencia</t>
  </si>
  <si>
    <t>Transparencia</t>
  </si>
  <si>
    <t>Desplazan a veladoras tradicionales</t>
  </si>
  <si>
    <t>Día De Muertos</t>
  </si>
  <si>
    <t>Suspenden 177 escuelas las clases presenciales</t>
  </si>
  <si>
    <t>Confirman una desbandada de subsecretarios por elecciones</t>
  </si>
  <si>
    <t>Llega nuevo jefe de la GN</t>
  </si>
  <si>
    <t>GN</t>
  </si>
  <si>
    <t>Nombramientos</t>
  </si>
  <si>
    <t>Huehuetla: inicia el éxodo forzado</t>
  </si>
  <si>
    <t>Reubicación de viviendas</t>
  </si>
  <si>
    <t>A dos años de multihomicidio, familia espera justicia; mañana la audiencia.</t>
  </si>
  <si>
    <t>Sentencia multihomicida</t>
  </si>
  <si>
    <t>SEPH reporta dos escuelas con daños por las precipitaciones</t>
  </si>
  <si>
    <t>Congreso quita candados a los alcaldes para firmar contratos</t>
  </si>
  <si>
    <t>Reforma De Ley</t>
  </si>
  <si>
    <t>Es ""ilegal"" supuesto anuncio de Uber: JMS</t>
  </si>
  <si>
    <t>Apps de transporte</t>
  </si>
  <si>
    <t>El pararrayos de la liga MX</t>
  </si>
  <si>
    <t>Toma protesta comandante de la Guardia Nacional</t>
  </si>
  <si>
    <t>Toma de protesta</t>
  </si>
  <si>
    <t>Abigail trasciende fronteras</t>
  </si>
  <si>
    <t>Giovani González alza la mano por Huichapan</t>
  </si>
  <si>
    <t>Sucesión alcaldía</t>
  </si>
  <si>
    <t>Lluvias dejan aisladas más de 30 poblaciones y se reporta un deceso</t>
  </si>
  <si>
    <t>Operaciones de la Cruz Azul están al 100%</t>
  </si>
  <si>
    <t>Por mal clima suspenden clases en 177 escuelas</t>
  </si>
  <si>
    <t>Reciben en la entidad a Raúl Meneses, al frente de la GN</t>
  </si>
  <si>
    <t>Atienden casos de violencia</t>
  </si>
  <si>
    <t>Violencia familiar</t>
  </si>
  <si>
    <t>Achacan a Iván, el Tanque, huachicol, extorsión, lavado de dinero, narcotráfico</t>
  </si>
  <si>
    <t>Crimen Organizado</t>
  </si>
  <si>
    <t>México alerta a Ucrania de ""voluntarios"" de cárteles</t>
  </si>
  <si>
    <t>Elecciones anticipadas en España en medio de crisis política y escándalos</t>
  </si>
  <si>
    <t>Hay dos líneas de investigación por crimen contra sacerdote: PGJEH</t>
  </si>
  <si>
    <t>Homicidio de sacerdote</t>
  </si>
  <si>
    <t>Hidalgo sube 12.4% en graduaciones en el nivel bachillerato</t>
  </si>
  <si>
    <t>Media superior</t>
  </si>
  <si>
    <t>Eficiencia terminal</t>
  </si>
  <si>
    <t>Congreso avala que ediles firmen convenios sin autorización del cabildo</t>
  </si>
  <si>
    <t>Presume Harfuch detención de El Tanque</t>
  </si>
  <si>
    <t>Seguridad Ciudadana</t>
  </si>
  <si>
    <t>Combate a la delincuencia</t>
  </si>
  <si>
    <t>El secretario Natividad Castrejón detalló avances en todos los niveles y atribuyó los resultados al trabajo conjunto de padres de  familia, alumnos, maestros y autoridades. Resaltó que 5 mil 926 jóvenes más terminaron la prepa en tres años.</t>
  </si>
  <si>
    <t>Cuando supe de la (…) decapitación simbólica del exmandatario, no pude más que  sentir alegría. No es absolutamente comparable a la devastación y el dolor que él y  su gabinete causaron en este país. Déjense de ridiculeces y de llorarle a una estatua:  FeCalH está intacto”.</t>
  </si>
  <si>
    <t>Uber no puede operar en Hidalgo; su llegada sería ilegal</t>
  </si>
  <si>
    <t>Aumenta infraestructura educativa en Hidalgo con Bachillerato Nacional ""Margarita Maza""</t>
  </si>
  <si>
    <t>Alcaldes podrán celebrar contratos sin autorización del Cabildo</t>
  </si>
  <si>
    <t>Persiste batalla legal del SNTE para recuperar 123 mdp del caso Mirna García</t>
  </si>
  <si>
    <t>Cerca de esclarecer crimen de sacerdote</t>
  </si>
  <si>
    <t>Mosquitos de presa Endhó llaegan a la cámara de diputados</t>
  </si>
  <si>
    <t>Medio ambiente</t>
  </si>
  <si>
    <t>Mosco Culex</t>
  </si>
  <si>
    <t>Lluvias dejan sin clases presenciales a 177 escuelas</t>
  </si>
  <si>
    <t>¿Van juntos en 2027?</t>
  </si>
  <si>
    <t>Alianzas Electorales</t>
  </si>
  <si>
    <t>Quitan freno a alcaldes</t>
  </si>
  <si>
    <t>¿Uber llegará a Pachuca?</t>
  </si>
  <si>
    <t>Uber no puede operar en Hidalgo; ley no permite su llegada: Menchaca</t>
  </si>
  <si>
    <t>Ecología de Ajacuba rescata ejemplar de Águila Harris</t>
  </si>
  <si>
    <t>Rescate Animal</t>
  </si>
  <si>
    <t>Tlaxcoapan, sede de entrega regional de apoyos para fortalecer al campo hidalguense</t>
  </si>
  <si>
    <t>Impulso al agro</t>
  </si>
  <si>
    <t>DIFH fortalece la protección de niñas, niños y adolescentes con el Modelo de Gestión de Casos</t>
  </si>
  <si>
    <t>Protección del menor</t>
  </si>
  <si>
    <t>Julio Menchaca respalda llegada de Raúl Meneses, nuevo coordinador estatal de la GN</t>
  </si>
  <si>
    <t>Coloca Natividad Castrejón primera piedra del Bachillerato Nacional ""Margarita Maza"" en Mineral de la Reforma</t>
  </si>
  <si>
    <t>Said Vargas acompaña el encuentro de la Organización V para fortalecer estructuras sindicales</t>
  </si>
  <si>
    <t>Notariado hidaluense se prepara para la entrada en vigor de la nueva Ley del Notariado</t>
  </si>
  <si>
    <t>Notarías</t>
  </si>
  <si>
    <t>Registro el Estado Familiar expide actas certificadas en el estado de Hidalgo y de otras entidades federativas</t>
  </si>
  <si>
    <t>Onésimo Serrano queda al frente de Planeación tras renuncia de Miguel Tello</t>
  </si>
  <si>
    <t>Pachuca Brilla</t>
  </si>
  <si>
    <t>Se mantienen lluvia y bajas temperaturas en Hidalgo</t>
  </si>
  <si>
    <t>SSPH detienen en Huasca a dos personas con 45 billetes falsos</t>
  </si>
  <si>
    <t>Detienen a dos hombres por presunto robo de medidor de agua en Pachuca</t>
  </si>
  <si>
    <t>Detención</t>
  </si>
  <si>
    <t>Coloca Natividad Castrejón primera piedra del Bachillerato Nacional Margarita Maza en La Reforma</t>
  </si>
  <si>
    <t>Julio Menchaca respalda llegada de nuevo coordinador estatal de la Guardia Nacional</t>
  </si>
  <si>
    <t>Tradición que sorprende</t>
  </si>
  <si>
    <t>Feria Pachuca</t>
  </si>
  <si>
    <t>Recuerda: la detección temprana salva vidas</t>
  </si>
  <si>
    <t>Ediles podrán celebrar contratos sin autorización del cabildo</t>
  </si>
  <si>
    <t>Nuevo titular de la Guardia Nacional en Hidalgo</t>
  </si>
  <si>
    <t>Volvió a perder México, ahora frente a Chile</t>
  </si>
  <si>
    <t>Amenazan con bloquear Boulevard Colosio</t>
  </si>
  <si>
    <t>Sipdus</t>
  </si>
  <si>
    <t>Caasim</t>
  </si>
  <si>
    <t>Abasto de agua</t>
  </si>
  <si>
    <t>Logra cuautepequense medalla de bronce</t>
  </si>
  <si>
    <t>Inhide</t>
  </si>
  <si>
    <t>Paranacionales Conade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</si>
</sst>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alignment horizontal="general" vertical="bottom" textRotation="0" wrapText="1" indent="0" justifyLastLine="0" shrinkToFit="0" readingOrder="0"/>
    </dxf>
    <dxf>
      <numFmt numFmtId="164" formatCode="d/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5" headerRowBorderDxfId="4">
  <autoFilter ref="A1:J65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1"/>
    <tableColumn id="2" xr3:uid="{03A139BE-A997-45E6-81E6-5F7467162FC5}" name="Medio"/>
    <tableColumn id="3" xr3:uid="{4CA37DD5-010E-43EE-907D-87C1845DB2AB}" name="Titular" dataDxfId="0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tabSelected="1" workbookViewId="0">
      <selection activeCell="D14" sqref="D14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46302</v>
      </c>
      <c r="B2" t="s">
        <v>81</v>
      </c>
      <c r="C2" s="5" t="s">
        <v>96</v>
      </c>
      <c r="D2" t="s">
        <v>12</v>
      </c>
      <c r="E2" t="s">
        <v>26</v>
      </c>
      <c r="F2" t="s">
        <v>26</v>
      </c>
      <c r="G2" t="s">
        <v>90</v>
      </c>
      <c r="H2" t="s">
        <v>68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Gabinete</v>
      </c>
    </row>
    <row r="3" spans="1:10" x14ac:dyDescent="0.25">
      <c r="A3" s="11">
        <v>46302</v>
      </c>
      <c r="B3" t="s">
        <v>81</v>
      </c>
      <c r="C3" s="5" t="s">
        <v>97</v>
      </c>
      <c r="D3" t="s">
        <v>12</v>
      </c>
      <c r="E3" t="s">
        <v>14</v>
      </c>
      <c r="F3" t="s">
        <v>92</v>
      </c>
      <c r="G3" t="s">
        <v>98</v>
      </c>
      <c r="H3" t="s">
        <v>68</v>
      </c>
      <c r="I3" t="str">
        <f>_xlfn.XLOOKUP(Tabla1[[#This Row],[Dependencia]],Tabla2[Dependencia],Tabla2[Clasificación],"XXX",0)</f>
        <v>Presidencia de la República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46302</v>
      </c>
      <c r="B4" t="s">
        <v>81</v>
      </c>
      <c r="C4" s="5" t="s">
        <v>99</v>
      </c>
      <c r="D4" t="s">
        <v>13</v>
      </c>
      <c r="E4" t="s">
        <v>10</v>
      </c>
      <c r="F4" t="s">
        <v>10</v>
      </c>
      <c r="G4" t="s">
        <v>94</v>
      </c>
      <c r="H4" t="s">
        <v>72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46302</v>
      </c>
      <c r="B5" t="s">
        <v>81</v>
      </c>
      <c r="C5" s="5" t="s">
        <v>100</v>
      </c>
      <c r="D5" t="s">
        <v>12</v>
      </c>
      <c r="E5" t="s">
        <v>10</v>
      </c>
      <c r="F5" t="s">
        <v>10</v>
      </c>
      <c r="G5" t="s">
        <v>101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46302</v>
      </c>
      <c r="B6" t="s">
        <v>81</v>
      </c>
      <c r="C6" s="5" t="s">
        <v>102</v>
      </c>
      <c r="D6" t="s">
        <v>12</v>
      </c>
      <c r="E6" t="s">
        <v>33</v>
      </c>
      <c r="F6" t="s">
        <v>33</v>
      </c>
      <c r="G6" t="s">
        <v>103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46302</v>
      </c>
      <c r="B7" t="s">
        <v>81</v>
      </c>
      <c r="C7" s="5" t="s">
        <v>104</v>
      </c>
      <c r="D7" t="s">
        <v>9</v>
      </c>
      <c r="E7" t="s">
        <v>10</v>
      </c>
      <c r="F7" t="s">
        <v>10</v>
      </c>
      <c r="G7" t="s">
        <v>105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46302</v>
      </c>
      <c r="B8" t="s">
        <v>69</v>
      </c>
      <c r="C8" s="5" t="s">
        <v>106</v>
      </c>
      <c r="D8" t="s">
        <v>13</v>
      </c>
      <c r="E8" t="s">
        <v>26</v>
      </c>
      <c r="F8" t="s">
        <v>26</v>
      </c>
      <c r="G8" t="s">
        <v>91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ht="30" x14ac:dyDescent="0.25">
      <c r="A9" s="11">
        <v>46302</v>
      </c>
      <c r="B9" t="s">
        <v>69</v>
      </c>
      <c r="C9" s="5" t="s">
        <v>107</v>
      </c>
      <c r="D9" t="s">
        <v>12</v>
      </c>
      <c r="E9" t="s">
        <v>24</v>
      </c>
      <c r="F9" t="s">
        <v>24</v>
      </c>
      <c r="G9" t="s">
        <v>61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11">
        <v>46302</v>
      </c>
      <c r="B10" t="s">
        <v>69</v>
      </c>
      <c r="C10" s="5" t="s">
        <v>108</v>
      </c>
      <c r="D10" t="s">
        <v>12</v>
      </c>
      <c r="E10" t="s">
        <v>14</v>
      </c>
      <c r="F10" t="s">
        <v>109</v>
      </c>
      <c r="G10" t="s">
        <v>110</v>
      </c>
      <c r="H10" t="s">
        <v>11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46302</v>
      </c>
      <c r="B11" t="s">
        <v>69</v>
      </c>
      <c r="C11" s="5" t="s">
        <v>111</v>
      </c>
      <c r="D11" t="s">
        <v>9</v>
      </c>
      <c r="E11" t="s">
        <v>35</v>
      </c>
      <c r="F11" t="s">
        <v>35</v>
      </c>
      <c r="G11" t="s">
        <v>112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ht="30" x14ac:dyDescent="0.25">
      <c r="A12" s="11">
        <v>46302</v>
      </c>
      <c r="B12" t="s">
        <v>69</v>
      </c>
      <c r="C12" s="5" t="s">
        <v>113</v>
      </c>
      <c r="D12" t="s">
        <v>12</v>
      </c>
      <c r="E12" t="s">
        <v>58</v>
      </c>
      <c r="F12" t="s">
        <v>58</v>
      </c>
      <c r="G12" t="s">
        <v>114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ht="30" x14ac:dyDescent="0.25">
      <c r="A13" s="11">
        <v>46302</v>
      </c>
      <c r="B13" t="s">
        <v>71</v>
      </c>
      <c r="C13" s="5" t="s">
        <v>115</v>
      </c>
      <c r="D13" t="s">
        <v>12</v>
      </c>
      <c r="E13" t="s">
        <v>26</v>
      </c>
      <c r="F13" t="s">
        <v>26</v>
      </c>
      <c r="G13" t="s">
        <v>87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11">
        <v>46302</v>
      </c>
      <c r="B14" t="s">
        <v>71</v>
      </c>
      <c r="C14" s="5" t="s">
        <v>116</v>
      </c>
      <c r="D14" t="s">
        <v>12</v>
      </c>
      <c r="E14" t="s">
        <v>33</v>
      </c>
      <c r="F14" t="s">
        <v>33</v>
      </c>
      <c r="G14" t="s">
        <v>117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46302</v>
      </c>
      <c r="B15" t="s">
        <v>71</v>
      </c>
      <c r="C15" s="5" t="s">
        <v>118</v>
      </c>
      <c r="D15" t="s">
        <v>13</v>
      </c>
      <c r="E15" t="s">
        <v>24</v>
      </c>
      <c r="F15" t="s">
        <v>24</v>
      </c>
      <c r="G15" t="s">
        <v>119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Gobernador</v>
      </c>
    </row>
    <row r="16" spans="1:10" x14ac:dyDescent="0.25">
      <c r="A16" s="11">
        <v>46302</v>
      </c>
      <c r="B16" t="s">
        <v>71</v>
      </c>
      <c r="C16" s="5" t="s">
        <v>120</v>
      </c>
      <c r="D16" t="s">
        <v>12</v>
      </c>
      <c r="E16" t="s">
        <v>10</v>
      </c>
      <c r="F16" t="s">
        <v>10</v>
      </c>
      <c r="G16" t="s">
        <v>70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46302</v>
      </c>
      <c r="B17" t="s">
        <v>71</v>
      </c>
      <c r="C17" s="5" t="s">
        <v>121</v>
      </c>
      <c r="D17" t="s">
        <v>12</v>
      </c>
      <c r="E17" t="s">
        <v>24</v>
      </c>
      <c r="F17" t="s">
        <v>24</v>
      </c>
      <c r="G17" t="s">
        <v>122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Gobernador</v>
      </c>
    </row>
    <row r="18" spans="1:10" x14ac:dyDescent="0.25">
      <c r="A18" s="11">
        <v>46302</v>
      </c>
      <c r="B18" t="s">
        <v>71</v>
      </c>
      <c r="C18" s="5" t="s">
        <v>123</v>
      </c>
      <c r="D18" t="s">
        <v>12</v>
      </c>
      <c r="E18" t="s">
        <v>10</v>
      </c>
      <c r="F18" t="s">
        <v>10</v>
      </c>
      <c r="G18" t="s">
        <v>70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46302</v>
      </c>
      <c r="B19" t="s">
        <v>71</v>
      </c>
      <c r="C19" s="5" t="s">
        <v>124</v>
      </c>
      <c r="D19" t="s">
        <v>12</v>
      </c>
      <c r="E19" t="s">
        <v>16</v>
      </c>
      <c r="F19" t="s">
        <v>16</v>
      </c>
      <c r="G19" t="s">
        <v>125</v>
      </c>
      <c r="H19" t="s">
        <v>11</v>
      </c>
      <c r="I19" t="str">
        <f>_xlfn.XLOOKUP(Tabla1[[#This Row],[Dependencia]],Tabla2[Dependencia],Tabla2[Clasificación],"XXX",0)</f>
        <v>Alcaldías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46302</v>
      </c>
      <c r="B20" t="s">
        <v>75</v>
      </c>
      <c r="C20" s="5" t="s">
        <v>126</v>
      </c>
      <c r="D20" t="s">
        <v>13</v>
      </c>
      <c r="E20" t="s">
        <v>23</v>
      </c>
      <c r="F20" t="s">
        <v>88</v>
      </c>
      <c r="G20" t="s">
        <v>87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11">
        <v>46302</v>
      </c>
      <c r="B21" t="s">
        <v>75</v>
      </c>
      <c r="C21" s="5" t="s">
        <v>127</v>
      </c>
      <c r="D21" t="s">
        <v>12</v>
      </c>
      <c r="E21" t="s">
        <v>10</v>
      </c>
      <c r="F21" t="s">
        <v>10</v>
      </c>
      <c r="G21" t="s">
        <v>94</v>
      </c>
      <c r="H21" t="s">
        <v>72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46302</v>
      </c>
      <c r="B22" t="s">
        <v>75</v>
      </c>
      <c r="C22" s="5" t="s">
        <v>128</v>
      </c>
      <c r="D22" t="s">
        <v>12</v>
      </c>
      <c r="E22" t="s">
        <v>26</v>
      </c>
      <c r="F22" t="s">
        <v>26</v>
      </c>
      <c r="G22" t="s">
        <v>91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46302</v>
      </c>
      <c r="B23" t="s">
        <v>75</v>
      </c>
      <c r="C23" s="5" t="s">
        <v>129</v>
      </c>
      <c r="D23" t="s">
        <v>9</v>
      </c>
      <c r="E23" t="s">
        <v>24</v>
      </c>
      <c r="F23" t="s">
        <v>24</v>
      </c>
      <c r="G23" t="s">
        <v>122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25">
      <c r="A24" s="11">
        <v>46302</v>
      </c>
      <c r="B24" t="s">
        <v>75</v>
      </c>
      <c r="C24" s="5" t="s">
        <v>130</v>
      </c>
      <c r="D24" t="s">
        <v>12</v>
      </c>
      <c r="E24" t="s">
        <v>16</v>
      </c>
      <c r="F24" t="s">
        <v>16</v>
      </c>
      <c r="G24" t="s">
        <v>131</v>
      </c>
      <c r="H24" t="s">
        <v>11</v>
      </c>
      <c r="I24" t="str">
        <f>_xlfn.XLOOKUP(Tabla1[[#This Row],[Dependencia]],Tabla2[Dependencia],Tabla2[Clasificación],"XXX",0)</f>
        <v>Alcaldías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46302</v>
      </c>
      <c r="B25" t="s">
        <v>75</v>
      </c>
      <c r="C25" s="5" t="s">
        <v>132</v>
      </c>
      <c r="D25" t="s">
        <v>12</v>
      </c>
      <c r="E25" t="s">
        <v>14</v>
      </c>
      <c r="F25" t="s">
        <v>14</v>
      </c>
      <c r="G25" t="s">
        <v>133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46302</v>
      </c>
      <c r="B26" t="s">
        <v>75</v>
      </c>
      <c r="C26" s="5" t="s">
        <v>134</v>
      </c>
      <c r="D26" t="s">
        <v>12</v>
      </c>
      <c r="E26" t="s">
        <v>14</v>
      </c>
      <c r="F26" t="s">
        <v>14</v>
      </c>
      <c r="G26" t="s">
        <v>89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46302</v>
      </c>
      <c r="B27" t="s">
        <v>75</v>
      </c>
      <c r="C27" s="5" t="s">
        <v>135</v>
      </c>
      <c r="D27" t="s">
        <v>12</v>
      </c>
      <c r="E27" t="s">
        <v>10</v>
      </c>
      <c r="F27" t="s">
        <v>10</v>
      </c>
      <c r="G27" t="s">
        <v>89</v>
      </c>
      <c r="H27" t="s">
        <v>72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46302</v>
      </c>
      <c r="B28" t="s">
        <v>75</v>
      </c>
      <c r="C28" s="5" t="s">
        <v>136</v>
      </c>
      <c r="D28" t="s">
        <v>12</v>
      </c>
      <c r="E28" t="s">
        <v>17</v>
      </c>
      <c r="F28" t="s">
        <v>17</v>
      </c>
      <c r="G28" t="s">
        <v>137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11">
        <v>46302</v>
      </c>
      <c r="B29" t="s">
        <v>79</v>
      </c>
      <c r="C29" s="5" t="s">
        <v>138</v>
      </c>
      <c r="D29" t="s">
        <v>13</v>
      </c>
      <c r="E29" t="s">
        <v>26</v>
      </c>
      <c r="F29" t="s">
        <v>139</v>
      </c>
      <c r="G29" t="s">
        <v>140</v>
      </c>
      <c r="H29" t="s">
        <v>72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46302</v>
      </c>
      <c r="B30" t="s">
        <v>79</v>
      </c>
      <c r="C30" s="5" t="s">
        <v>141</v>
      </c>
      <c r="D30" t="s">
        <v>12</v>
      </c>
      <c r="E30" t="s">
        <v>33</v>
      </c>
      <c r="F30" t="s">
        <v>33</v>
      </c>
      <c r="G30" t="s">
        <v>117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46302</v>
      </c>
      <c r="B31" t="s">
        <v>79</v>
      </c>
      <c r="C31" s="5" t="s">
        <v>142</v>
      </c>
      <c r="D31" t="s">
        <v>12</v>
      </c>
      <c r="E31" t="s">
        <v>14</v>
      </c>
      <c r="F31" t="s">
        <v>143</v>
      </c>
      <c r="G31" t="s">
        <v>144</v>
      </c>
      <c r="H31" t="s">
        <v>11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75" x14ac:dyDescent="0.25">
      <c r="A32" s="11">
        <v>46302</v>
      </c>
      <c r="B32" t="s">
        <v>79</v>
      </c>
      <c r="C32" s="5" t="s">
        <v>145</v>
      </c>
      <c r="D32" t="s">
        <v>9</v>
      </c>
      <c r="E32" t="s">
        <v>26</v>
      </c>
      <c r="F32" t="s">
        <v>2</v>
      </c>
      <c r="G32" t="s">
        <v>140</v>
      </c>
      <c r="H32" t="s">
        <v>72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90" x14ac:dyDescent="0.25">
      <c r="A33" s="11">
        <v>46302</v>
      </c>
      <c r="B33" t="s">
        <v>79</v>
      </c>
      <c r="C33" s="5" t="s">
        <v>146</v>
      </c>
      <c r="D33" t="s">
        <v>12</v>
      </c>
      <c r="E33" t="s">
        <v>10</v>
      </c>
      <c r="F33" t="s">
        <v>10</v>
      </c>
      <c r="G33" t="s">
        <v>78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46302</v>
      </c>
      <c r="B34" t="s">
        <v>74</v>
      </c>
      <c r="C34" s="5" t="s">
        <v>147</v>
      </c>
      <c r="D34" t="s">
        <v>13</v>
      </c>
      <c r="E34" t="s">
        <v>24</v>
      </c>
      <c r="F34" t="s">
        <v>24</v>
      </c>
      <c r="G34" t="s">
        <v>119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ht="30" x14ac:dyDescent="0.25">
      <c r="A35" s="11">
        <v>46302</v>
      </c>
      <c r="B35" t="s">
        <v>74</v>
      </c>
      <c r="C35" s="5" t="s">
        <v>148</v>
      </c>
      <c r="D35" t="s">
        <v>12</v>
      </c>
      <c r="E35" t="s">
        <v>26</v>
      </c>
      <c r="F35" t="s">
        <v>2</v>
      </c>
      <c r="G35" t="s">
        <v>93</v>
      </c>
      <c r="H35" t="s">
        <v>72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46302</v>
      </c>
      <c r="B36" t="s">
        <v>74</v>
      </c>
      <c r="C36" s="5" t="s">
        <v>149</v>
      </c>
      <c r="D36" t="s">
        <v>12</v>
      </c>
      <c r="E36" t="s">
        <v>33</v>
      </c>
      <c r="F36" t="s">
        <v>33</v>
      </c>
      <c r="G36" t="s">
        <v>117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46302</v>
      </c>
      <c r="B37" t="s">
        <v>74</v>
      </c>
      <c r="C37" s="5" t="s">
        <v>150</v>
      </c>
      <c r="D37" t="s">
        <v>12</v>
      </c>
      <c r="E37" t="s">
        <v>10</v>
      </c>
      <c r="F37" t="s">
        <v>10</v>
      </c>
      <c r="G37" t="s">
        <v>78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x14ac:dyDescent="0.25">
      <c r="A38" s="11">
        <v>46302</v>
      </c>
      <c r="B38" t="s">
        <v>73</v>
      </c>
      <c r="C38" s="5" t="s">
        <v>151</v>
      </c>
      <c r="D38" t="s">
        <v>12</v>
      </c>
      <c r="E38" t="s">
        <v>17</v>
      </c>
      <c r="F38" t="s">
        <v>17</v>
      </c>
      <c r="G38" t="s">
        <v>137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46302</v>
      </c>
      <c r="B39" t="s">
        <v>73</v>
      </c>
      <c r="C39" s="5" t="s">
        <v>152</v>
      </c>
      <c r="D39" t="s">
        <v>13</v>
      </c>
      <c r="E39" t="s">
        <v>14</v>
      </c>
      <c r="F39" t="s">
        <v>153</v>
      </c>
      <c r="G39" t="s">
        <v>154</v>
      </c>
      <c r="H39" t="s">
        <v>68</v>
      </c>
      <c r="I39" t="str">
        <f>_xlfn.XLOOKUP(Tabla1[[#This Row],[Dependencia]],Tabla2[Dependencia],Tabla2[Clasificación],"XXX",0)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46302</v>
      </c>
      <c r="B40" t="s">
        <v>73</v>
      </c>
      <c r="C40" s="5" t="s">
        <v>155</v>
      </c>
      <c r="D40" t="s">
        <v>12</v>
      </c>
      <c r="E40" t="s">
        <v>26</v>
      </c>
      <c r="F40" t="s">
        <v>26</v>
      </c>
      <c r="G40" t="s">
        <v>91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11">
        <v>46302</v>
      </c>
      <c r="B41" t="s">
        <v>73</v>
      </c>
      <c r="C41" s="5" t="s">
        <v>156</v>
      </c>
      <c r="D41" t="s">
        <v>12</v>
      </c>
      <c r="E41" t="s">
        <v>46</v>
      </c>
      <c r="F41" t="s">
        <v>46</v>
      </c>
      <c r="G41" t="s">
        <v>157</v>
      </c>
      <c r="H41" t="s">
        <v>11</v>
      </c>
      <c r="I41" t="str">
        <f>_xlfn.XLOOKUP(Tabla1[[#This Row],[Dependencia]],Tabla2[Dependencia],Tabla2[Clasificación],"XXX",0)</f>
        <v>Partidos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46302</v>
      </c>
      <c r="B42" t="s">
        <v>73</v>
      </c>
      <c r="C42" s="5" t="s">
        <v>158</v>
      </c>
      <c r="D42" t="s">
        <v>12</v>
      </c>
      <c r="E42" t="s">
        <v>33</v>
      </c>
      <c r="F42" t="s">
        <v>33</v>
      </c>
      <c r="G42" t="s">
        <v>117</v>
      </c>
      <c r="H42" t="s">
        <v>11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46302</v>
      </c>
      <c r="B43" t="s">
        <v>73</v>
      </c>
      <c r="C43" s="5" t="s">
        <v>159</v>
      </c>
      <c r="D43" t="s">
        <v>12</v>
      </c>
      <c r="E43" t="s">
        <v>24</v>
      </c>
      <c r="F43" t="s">
        <v>24</v>
      </c>
      <c r="G43" t="s">
        <v>119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ht="30" x14ac:dyDescent="0.25">
      <c r="A44" s="11">
        <v>46302</v>
      </c>
      <c r="B44" t="s">
        <v>82</v>
      </c>
      <c r="C44" s="5" t="s">
        <v>160</v>
      </c>
      <c r="D44" t="s">
        <v>83</v>
      </c>
      <c r="E44" t="s">
        <v>24</v>
      </c>
      <c r="F44" t="s">
        <v>24</v>
      </c>
      <c r="G44" t="s">
        <v>119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25">
      <c r="A45" s="11">
        <v>46302</v>
      </c>
      <c r="B45" t="s">
        <v>82</v>
      </c>
      <c r="C45" s="5" t="s">
        <v>161</v>
      </c>
      <c r="D45" t="s">
        <v>12</v>
      </c>
      <c r="E45" t="s">
        <v>16</v>
      </c>
      <c r="F45" t="s">
        <v>16</v>
      </c>
      <c r="G45" t="s">
        <v>162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46302</v>
      </c>
      <c r="B46" t="s">
        <v>82</v>
      </c>
      <c r="C46" s="5" t="s">
        <v>163</v>
      </c>
      <c r="D46" t="s">
        <v>13</v>
      </c>
      <c r="E46" t="s">
        <v>16</v>
      </c>
      <c r="F46" t="s">
        <v>16</v>
      </c>
      <c r="G46" t="s">
        <v>164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46302</v>
      </c>
      <c r="B47" t="s">
        <v>82</v>
      </c>
      <c r="C47" s="5" t="s">
        <v>165</v>
      </c>
      <c r="D47" t="s">
        <v>12</v>
      </c>
      <c r="E47" t="s">
        <v>36</v>
      </c>
      <c r="F47" t="s">
        <v>36</v>
      </c>
      <c r="G47" t="s">
        <v>166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11">
        <v>46302</v>
      </c>
      <c r="B48" t="s">
        <v>82</v>
      </c>
      <c r="C48" s="5" t="s">
        <v>167</v>
      </c>
      <c r="D48" t="s">
        <v>12</v>
      </c>
      <c r="E48" t="s">
        <v>24</v>
      </c>
      <c r="F48" t="s">
        <v>24</v>
      </c>
      <c r="G48" t="s">
        <v>122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ht="45" x14ac:dyDescent="0.25">
      <c r="A49" s="11">
        <v>46302</v>
      </c>
      <c r="B49" t="s">
        <v>82</v>
      </c>
      <c r="C49" s="5" t="s">
        <v>168</v>
      </c>
      <c r="D49" t="s">
        <v>12</v>
      </c>
      <c r="E49" t="s">
        <v>26</v>
      </c>
      <c r="F49" t="s">
        <v>2</v>
      </c>
      <c r="G49" t="s">
        <v>93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46302</v>
      </c>
      <c r="B50" t="s">
        <v>82</v>
      </c>
      <c r="C50" s="5" t="s">
        <v>169</v>
      </c>
      <c r="D50" t="s">
        <v>12</v>
      </c>
      <c r="E50" t="s">
        <v>10</v>
      </c>
      <c r="F50" t="s">
        <v>10</v>
      </c>
      <c r="G50" t="s">
        <v>95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46302</v>
      </c>
      <c r="B51" t="s">
        <v>82</v>
      </c>
      <c r="C51" s="5" t="s">
        <v>170</v>
      </c>
      <c r="D51" t="s">
        <v>12</v>
      </c>
      <c r="E51" t="s">
        <v>10</v>
      </c>
      <c r="F51" t="s">
        <v>10</v>
      </c>
      <c r="G51" t="s">
        <v>171</v>
      </c>
      <c r="H51" t="s">
        <v>11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46302</v>
      </c>
      <c r="B52" t="s">
        <v>82</v>
      </c>
      <c r="C52" s="5" t="s">
        <v>172</v>
      </c>
      <c r="D52" t="s">
        <v>12</v>
      </c>
      <c r="E52" t="s">
        <v>10</v>
      </c>
      <c r="F52" t="s">
        <v>10</v>
      </c>
      <c r="G52" t="s">
        <v>78</v>
      </c>
      <c r="H52" t="s">
        <v>11</v>
      </c>
      <c r="I52" t="str">
        <f>_xlfn.XLOOKUP(Tabla1[[#This Row],[Dependencia]],Tabla2[Dependencia],Tabla2[Clasificación],"XXX",0)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46302</v>
      </c>
      <c r="B53" t="s">
        <v>82</v>
      </c>
      <c r="C53" s="5" t="s">
        <v>173</v>
      </c>
      <c r="D53" t="s">
        <v>12</v>
      </c>
      <c r="E53" t="s">
        <v>47</v>
      </c>
      <c r="F53" t="s">
        <v>47</v>
      </c>
      <c r="G53" t="s">
        <v>110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11">
        <v>46302</v>
      </c>
      <c r="B54" t="s">
        <v>174</v>
      </c>
      <c r="C54" s="5" t="s">
        <v>175</v>
      </c>
      <c r="D54" t="s">
        <v>13</v>
      </c>
      <c r="E54" t="s">
        <v>10</v>
      </c>
      <c r="F54" t="s">
        <v>10</v>
      </c>
      <c r="G54" t="s">
        <v>86</v>
      </c>
      <c r="H54" t="s">
        <v>11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46302</v>
      </c>
      <c r="B55" t="s">
        <v>174</v>
      </c>
      <c r="C55" s="5" t="s">
        <v>176</v>
      </c>
      <c r="D55" t="s">
        <v>12</v>
      </c>
      <c r="E55" t="s">
        <v>22</v>
      </c>
      <c r="F55" t="s">
        <v>22</v>
      </c>
      <c r="G55" t="s">
        <v>144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46302</v>
      </c>
      <c r="B56" t="s">
        <v>174</v>
      </c>
      <c r="C56" s="5" t="s">
        <v>177</v>
      </c>
      <c r="D56" t="s">
        <v>12</v>
      </c>
      <c r="E56" t="s">
        <v>16</v>
      </c>
      <c r="F56" t="s">
        <v>85</v>
      </c>
      <c r="G56" t="s">
        <v>178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46302</v>
      </c>
      <c r="B57" t="s">
        <v>174</v>
      </c>
      <c r="C57" s="5" t="s">
        <v>179</v>
      </c>
      <c r="D57" t="s">
        <v>12</v>
      </c>
      <c r="E57" t="s">
        <v>26</v>
      </c>
      <c r="F57" t="s">
        <v>2</v>
      </c>
      <c r="G57" t="s">
        <v>93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46302</v>
      </c>
      <c r="B58" t="s">
        <v>174</v>
      </c>
      <c r="C58" s="5" t="s">
        <v>180</v>
      </c>
      <c r="D58" t="s">
        <v>12</v>
      </c>
      <c r="E58" t="s">
        <v>24</v>
      </c>
      <c r="F58" t="s">
        <v>24</v>
      </c>
      <c r="G58" t="s">
        <v>122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Gobernador</v>
      </c>
    </row>
    <row r="59" spans="1:10" x14ac:dyDescent="0.25">
      <c r="A59" s="11">
        <v>46302</v>
      </c>
      <c r="B59" t="s">
        <v>174</v>
      </c>
      <c r="C59" s="5" t="s">
        <v>181</v>
      </c>
      <c r="D59" t="s">
        <v>80</v>
      </c>
      <c r="E59" t="s">
        <v>19</v>
      </c>
      <c r="F59" t="s">
        <v>19</v>
      </c>
      <c r="G59" t="s">
        <v>182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11">
        <v>46302</v>
      </c>
      <c r="B60" t="s">
        <v>174</v>
      </c>
      <c r="C60" s="5" t="s">
        <v>183</v>
      </c>
      <c r="D60" t="s">
        <v>80</v>
      </c>
      <c r="E60" t="s">
        <v>16</v>
      </c>
      <c r="F60" t="s">
        <v>16</v>
      </c>
      <c r="G60" t="s">
        <v>84</v>
      </c>
      <c r="H60" t="s">
        <v>11</v>
      </c>
      <c r="I60" t="str">
        <f>_xlfn.XLOOKUP(Tabla1[[#This Row],[Dependencia]],Tabla2[Dependencia],Tabla2[Clasificación],"XXX",0)</f>
        <v>Alcaldías</v>
      </c>
      <c r="J60" t="str">
        <f>_xlfn.XLOOKUP(Tabla1[[#This Row],[Dependencia]],Tabla3[Dependencia],Tabla3[Nivel],"Otros",0)</f>
        <v>Otros</v>
      </c>
    </row>
    <row r="61" spans="1:10" ht="30" x14ac:dyDescent="0.25">
      <c r="A61" s="11">
        <v>46302</v>
      </c>
      <c r="B61" t="s">
        <v>77</v>
      </c>
      <c r="C61" s="5" t="s">
        <v>184</v>
      </c>
      <c r="D61" t="s">
        <v>12</v>
      </c>
      <c r="E61" t="s">
        <v>33</v>
      </c>
      <c r="F61" t="s">
        <v>33</v>
      </c>
      <c r="G61" t="s">
        <v>117</v>
      </c>
      <c r="H61" t="s">
        <v>11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x14ac:dyDescent="0.25">
      <c r="A62" s="11">
        <v>46302</v>
      </c>
      <c r="B62" t="s">
        <v>77</v>
      </c>
      <c r="C62" s="5" t="s">
        <v>185</v>
      </c>
      <c r="D62" t="s">
        <v>12</v>
      </c>
      <c r="E62" t="s">
        <v>24</v>
      </c>
      <c r="F62" t="s">
        <v>24</v>
      </c>
      <c r="G62" t="s">
        <v>122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Gobernador</v>
      </c>
    </row>
    <row r="63" spans="1:10" x14ac:dyDescent="0.25">
      <c r="A63" s="11">
        <v>46302</v>
      </c>
      <c r="B63" t="s">
        <v>77</v>
      </c>
      <c r="C63" s="5" t="s">
        <v>186</v>
      </c>
      <c r="D63" t="s">
        <v>12</v>
      </c>
      <c r="E63" t="s">
        <v>10</v>
      </c>
      <c r="F63" t="s">
        <v>10</v>
      </c>
      <c r="G63" t="s">
        <v>70</v>
      </c>
      <c r="H63" t="s">
        <v>68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  <row r="64" spans="1:10" x14ac:dyDescent="0.25">
      <c r="A64" s="11">
        <v>46302</v>
      </c>
      <c r="B64" t="s">
        <v>77</v>
      </c>
      <c r="C64" s="5" t="s">
        <v>187</v>
      </c>
      <c r="D64" t="s">
        <v>12</v>
      </c>
      <c r="E64" t="s">
        <v>188</v>
      </c>
      <c r="F64" t="s">
        <v>189</v>
      </c>
      <c r="G64" t="s">
        <v>190</v>
      </c>
      <c r="H64" t="s">
        <v>68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46302</v>
      </c>
      <c r="B65" t="s">
        <v>77</v>
      </c>
      <c r="C65" s="5" t="s">
        <v>191</v>
      </c>
      <c r="D65" t="s">
        <v>12</v>
      </c>
      <c r="E65" t="s">
        <v>26</v>
      </c>
      <c r="F65" t="s">
        <v>192</v>
      </c>
      <c r="G65" t="s">
        <v>193</v>
      </c>
      <c r="H65" t="s">
        <v>72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76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2026-10-07T15:59:46Z</dcterms:modified>
</cp:coreProperties>
</file>