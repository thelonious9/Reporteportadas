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3350397D-3CFF-4317-A917-0D64F88AB01A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I2" i="1"/>
  <c r="J2" i="1"/>
</calcChain>
</file>

<file path=xl/sharedStrings.xml><?xml version="1.0" encoding="utf-8"?>
<sst xmlns="http://schemas.openxmlformats.org/spreadsheetml/2006/main" count="636" uniqueCount="196">
  <si>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</si>
  <si>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</si>
  <si>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</si>
  <si>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</si>
  <si>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</si>
  <si>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</si>
  <si>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</si>
  <si>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</si>
  <si>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</si>
  <si>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</si>
  <si>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</si>
  <si>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</si>
  <si>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</si>
  <si>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</si>
  <si>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</si>
  <si>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</si>
  <si>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</si>
  <si>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</si>
  <si>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</si>
  <si>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</si>
  <si>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</si>
  <si>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</si>
  <si>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</si>
  <si>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</si>
  <si>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</si>
  <si>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</si>
  <si>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</si>
  <si>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</si>
  <si>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</si>
  <si>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</si>
  <si>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</si>
  <si>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</si>
  <si>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</si>
  <si>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</si>
  <si>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</si>
  <si>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</si>
  <si>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</si>
  <si>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</si>
  <si>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</si>
  <si>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</si>
  <si>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</si>
  <si>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</si>
  <si>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</si>
  <si>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</si>
  <si>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</si>
  <si>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</si>
  <si>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</si>
  <si>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</si>
  <si>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</si>
  <si>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</si>
  <si>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</si>
  <si>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</si>
  <si>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</si>
  <si>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</si>
  <si>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</si>
  <si>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</si>
  <si>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</si>
  <si>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</si>
  <si>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</si>
  <si>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</si>
  <si>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</si>
  <si>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</si>
  <si>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</si>
  <si>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</si>
  <si>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</si>
  <si>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</si>
  <si>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</si>
  <si>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</si>
  <si>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</si>
  <si>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</si>
  <si>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</si>
  <si>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</si>
  <si>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</si>
  <si>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</si>
  <si>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Criterio</t>
  </si>
  <si>
    <t>Effetá</t>
  </si>
  <si>
    <t>Editorial</t>
  </si>
  <si>
    <t>El Universal Hidalgo</t>
  </si>
  <si>
    <t>Síntesis</t>
  </si>
  <si>
    <t>Marfeca</t>
  </si>
  <si>
    <t>Plaza Juárez</t>
  </si>
  <si>
    <t>Temas varios</t>
  </si>
  <si>
    <t>Cintillo</t>
  </si>
  <si>
    <t>Pachuca Brilla</t>
  </si>
  <si>
    <t>Drones</t>
  </si>
  <si>
    <t>Publicidad</t>
  </si>
  <si>
    <t>Detención de policía</t>
  </si>
  <si>
    <t>Día del maestro</t>
  </si>
  <si>
    <t>Videovigilancia</t>
  </si>
  <si>
    <t>Conagua</t>
  </si>
  <si>
    <t>Ejecuciones</t>
  </si>
  <si>
    <t>Afectaciones Por Lluvias</t>
  </si>
  <si>
    <t>Campaña de reciclaje</t>
  </si>
  <si>
    <t>Candidaturas independientes</t>
  </si>
  <si>
    <t>Gusano barrenador</t>
  </si>
  <si>
    <t>Desperdician en México un tercio de los alimentos</t>
  </si>
  <si>
    <t>Segundo día de lluvias deja anegamientos en el Centro</t>
  </si>
  <si>
    <t>Niegan viviendas, rechazan mascotas</t>
  </si>
  <si>
    <t>Museos, un espacio de encuentros culturales</t>
  </si>
  <si>
    <t>Museos</t>
  </si>
  <si>
    <t>Celebran aniversario entre cuentos y música</t>
  </si>
  <si>
    <t>Conmemoración Aniversario</t>
  </si>
  <si>
    <t>Sobrepeso y obesidad, una consecuencia del home office</t>
  </si>
  <si>
    <t>Trabajo remoto</t>
  </si>
  <si>
    <t>Detectan en Pachuca 27 zonas con altas temperaturas</t>
  </si>
  <si>
    <t>Mitigación ambiental</t>
  </si>
  <si>
    <t>Cascadas citadinas</t>
  </si>
  <si>
    <t>Reunión gabinete de seguridad</t>
  </si>
  <si>
    <t>Reunión Gabinete De Seguridad</t>
  </si>
  <si>
    <t>Hombres: los más atropellados</t>
  </si>
  <si>
    <t>Atropellamiento</t>
  </si>
  <si>
    <t>Aumentan casos del barrenador</t>
  </si>
  <si>
    <t>PACHUCA ANALIZA  RENOVACIONES CLAVE</t>
  </si>
  <si>
    <t>DEFINEN  HORARIOS PARA FINAL PUMAS CRUZ AZUL</t>
  </si>
  <si>
    <t>VIACRUCIS NOCTURNO: EL  RETO DE ALCANZAR COMBI</t>
  </si>
  <si>
    <t>Quejas transporte público</t>
  </si>
  <si>
    <t>Autoridades descartan la tala de árboles junto al CASP</t>
  </si>
  <si>
    <t>Complejo Gubernamental</t>
  </si>
  <si>
    <t>Primera elección judicial podría aplazarse</t>
  </si>
  <si>
    <t>Elección Judicial</t>
  </si>
  <si>
    <t>Suman casi 18 mil denuncias por diversos delitos: SESNSP</t>
  </si>
  <si>
    <t>Incidencia Delictiva</t>
  </si>
  <si>
    <t>Se envían 3,500 T de pet a reciclaje</t>
  </si>
  <si>
    <t>Cae otro mando... y un juez vincula a 2 más por narco</t>
  </si>
  <si>
    <t>Policía municipal</t>
  </si>
  <si>
    <t>Investigación de delitos: El estado está a media tabla con 17 mil carpetas</t>
  </si>
  <si>
    <t>Ambulancias: al menos 15 municipios no cuentan con servicio</t>
  </si>
  <si>
    <t>Ambulancias</t>
  </si>
  <si>
    <t>Lluvias activan operativos de prevención de desastres</t>
  </si>
  <si>
    <t>Tren México-Querétaro se topa con pared teotihuacana</t>
  </si>
  <si>
    <t>SICT</t>
  </si>
  <si>
    <t>Tren México Querétaro</t>
  </si>
  <si>
    <t>A veces todo conspira en tu contra</t>
  </si>
  <si>
    <t>Investigan n 7 negocios de los Rocha... y la UIF les bloquea sus cuentas</t>
  </si>
  <si>
    <t>Rubén Rocha</t>
  </si>
  <si>
    <t>Aceptan mover la elección judicial al 2028 y empatarla con revocación</t>
  </si>
  <si>
    <t>Catar ante riesgo de un posible crac económico y fiscal por la guerra</t>
  </si>
  <si>
    <t>Temas internacionales</t>
  </si>
  <si>
    <t>Suman siete los casos de gusano barrenador en humanos: Salud</t>
  </si>
  <si>
    <t>La Jornada Hidalgo</t>
  </si>
  <si>
    <t>Con anomalías, 15 alcaldías por comodatos con ambulancias</t>
  </si>
  <si>
    <t>Gobierno estatal aún cabildea para mejorar el precio de la cebada</t>
  </si>
  <si>
    <t>Impulso al agro</t>
  </si>
  <si>
    <t>Sheinbaum  no recibirá al  rey de España</t>
  </si>
  <si>
    <t>Mundial De Futbol</t>
  </si>
  <si>
    <t>Hallan entierros teotihuacanos en obras del tren México-Querétaro</t>
  </si>
  <si>
    <t>Es momento de que los millones de simpatizantes de Morena vayan a las urnas con el corazón. Que voten  por figuras que representen genuinamente el proyecto, no por figuras que ‘no son tan malas como la  oposición’”.</t>
  </si>
  <si>
    <t>Preceptos de Morena</t>
  </si>
  <si>
    <t>Lluvia acompañada de granizo</t>
  </si>
  <si>
    <t>Suman 7 casos de gusano  barrenador en humanos en Hidalgo</t>
  </si>
  <si>
    <t>Semarnath descarta derribo masivo  de árboles en Pachuca; marcaje es  diagnóstico fitosanitario</t>
  </si>
  <si>
    <t>Caen tres sujetos por posesión de armas y  drogas en diferentes municipios</t>
  </si>
  <si>
    <t>Combate Al Narcomenudeo</t>
  </si>
  <si>
    <t>Gobierno de Hidalgo busca precios justos para productores del campo</t>
  </si>
  <si>
    <t>DIF Huejutla entrega ayudas técnicas a personas en situación de vulnerabilidad</t>
  </si>
  <si>
    <t>Entrega De Apoyos</t>
  </si>
  <si>
    <t>Denuncian intento de despojo a adulta mayor de su vivienda</t>
  </si>
  <si>
    <t>Despojo</t>
  </si>
  <si>
    <t>Enfermería, pilar humano y profesional del sistema de salud en Hidalgo</t>
  </si>
  <si>
    <t>Día de la enfermera</t>
  </si>
  <si>
    <t>Obispo de Huejuda alerta sobre casos de posesiones vinculadas al culto a la Santa Muerte</t>
  </si>
  <si>
    <t>Comité de Emergencias se mantiene activo ante pronóstico de lluvias: Julio Menchaca.</t>
  </si>
  <si>
    <t>Hidalgo se mantiene en el top 10 de estados más pacíficos</t>
  </si>
  <si>
    <t>Índice de paz</t>
  </si>
  <si>
    <t>Tumbas milenarias</t>
  </si>
  <si>
    <t>INAH</t>
  </si>
  <si>
    <t>Los independientes serán la llave de los inconformes</t>
  </si>
  <si>
    <t>Presas de Hidalgo, al tope; Requena supera 138%</t>
  </si>
  <si>
    <t>Monitoreo De Presas</t>
  </si>
  <si>
    <t>Parque Nacional EI Chico pierde 33% de su bosque</t>
  </si>
  <si>
    <t>Gusano Descortezador</t>
  </si>
  <si>
    <t>ABren concurso para diseñar playera indígena el Mundial 1016</t>
  </si>
  <si>
    <t>Hidalgo presiona a Grupo Modelo y Heineken por mejor precio de la cebada</t>
  </si>
  <si>
    <t>Hidalgo elegiría Poder Judicial hasta 2028 por reforma federal</t>
  </si>
  <si>
    <t>Hidalgo suma 7 casos humanos de gusano barrenador</t>
  </si>
  <si>
    <t>El INAH descubre en Tula serie de enterramientos de época teotihuacana</t>
  </si>
  <si>
    <t>Vestigios Arqueológicos</t>
  </si>
  <si>
    <t>Sección 15 del SNTE reconoce vocación de servicio del Magisterio en Zimapán</t>
  </si>
  <si>
    <t>Comité de Emergencias se mantiene activo ante pronóstico de lluvias: Menchaca</t>
  </si>
  <si>
    <t>Reforestación y mitigación ambiental, prioridad para el desarrollo urbano de la entidad</t>
  </si>
  <si>
    <t>¡De Tezontepec!</t>
  </si>
  <si>
    <t>Gobierno de Tlaxcoapan reocnoce y respalda el talento estudiantil de Teltipán</t>
  </si>
  <si>
    <t>Entrega de reconocimientos</t>
  </si>
  <si>
    <t>Impulso indígena, concurso de artesanía y diseño en Hidalgo para el Mundial</t>
  </si>
  <si>
    <t>SSPH refuerza labores en el Altiplano: caen 2 generadores de violencia en la región</t>
  </si>
  <si>
    <t>Combate a la delincuencia</t>
  </si>
  <si>
    <t>Natividad Castrejón encabeza entrega de 214 títulos profesionales en la UTMZ</t>
  </si>
  <si>
    <t>Titulación</t>
  </si>
  <si>
    <t>Comité de emergencias se mantiene activo ante pronóstico de lluvias</t>
  </si>
  <si>
    <t>Más de 200 mujeres participan en talleres de mecánica básica en Pachuca</t>
  </si>
  <si>
    <t>Capacitación Para El Trabajo</t>
  </si>
  <si>
    <t>Un total de siete casos de gusano barrenador en humanod</t>
  </si>
  <si>
    <t>Trabajan en 27 islas de calor detectadas en Pachuca</t>
  </si>
  <si>
    <t>Difícil panorama se presenta en la entidad, luego del asesinato de dos hombres en Mixquiahuala y del macabro hallazgo de un hombre y una mujer ejecutados con sendos balazos en la cabeza, en Zempoala...</t>
  </si>
  <si>
    <t>Ola De Violencia</t>
  </si>
  <si>
    <t>Hallan a hombre y mujer con balazo en la cabez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</si>
</sst>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9" totalsRowShown="0" headerRowDxfId="5" headerRowBorderDxfId="4">
  <autoFilter ref="A1:J69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9"/>
  <sheetViews>
    <sheetView tabSelected="1" workbookViewId="0">
      <selection activeCell="A2" sqref="A2:H69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35">
      <c r="A2" s="5">
        <v>46161</v>
      </c>
      <c r="B2" t="s">
        <v>69</v>
      </c>
      <c r="C2" s="6" t="s">
        <v>95</v>
      </c>
      <c r="D2" t="s">
        <v>13</v>
      </c>
      <c r="E2" t="s">
        <v>10</v>
      </c>
      <c r="F2" t="s">
        <v>10</v>
      </c>
      <c r="G2" t="s">
        <v>81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46161</v>
      </c>
      <c r="B3" t="s">
        <v>69</v>
      </c>
      <c r="C3" s="6" t="s">
        <v>96</v>
      </c>
      <c r="D3" t="s">
        <v>9</v>
      </c>
      <c r="E3" t="s">
        <v>10</v>
      </c>
      <c r="F3" t="s">
        <v>10</v>
      </c>
      <c r="G3" t="s">
        <v>91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46161</v>
      </c>
      <c r="B4" t="s">
        <v>69</v>
      </c>
      <c r="C4" s="6" t="s">
        <v>97</v>
      </c>
      <c r="D4" t="s">
        <v>12</v>
      </c>
      <c r="E4" t="s">
        <v>10</v>
      </c>
      <c r="F4" t="s">
        <v>10</v>
      </c>
      <c r="G4" t="s">
        <v>81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46161</v>
      </c>
      <c r="B5" t="s">
        <v>69</v>
      </c>
      <c r="C5" s="6" t="s">
        <v>98</v>
      </c>
      <c r="D5" t="s">
        <v>12</v>
      </c>
      <c r="E5" t="s">
        <v>16</v>
      </c>
      <c r="F5" t="s">
        <v>16</v>
      </c>
      <c r="G5" t="s">
        <v>99</v>
      </c>
      <c r="H5" t="s">
        <v>11</v>
      </c>
      <c r="I5" t="str">
        <f>_xlfn.XLOOKUP(Tabla1[[#This Row],[Dependencia]],Tabla2[Dependencia],Tabla2[Clasificación],"No indexado")</f>
        <v>Alcaldías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46161</v>
      </c>
      <c r="B6" t="s">
        <v>69</v>
      </c>
      <c r="C6" s="6" t="s">
        <v>100</v>
      </c>
      <c r="D6" t="s">
        <v>12</v>
      </c>
      <c r="E6" t="s">
        <v>28</v>
      </c>
      <c r="F6" t="s">
        <v>28</v>
      </c>
      <c r="G6" t="s">
        <v>101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46161</v>
      </c>
      <c r="B7" t="s">
        <v>69</v>
      </c>
      <c r="C7" s="6" t="s">
        <v>102</v>
      </c>
      <c r="D7" t="s">
        <v>12</v>
      </c>
      <c r="E7" t="s">
        <v>15</v>
      </c>
      <c r="F7" t="s">
        <v>15</v>
      </c>
      <c r="G7" t="s">
        <v>103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5">
        <v>46161</v>
      </c>
      <c r="B8" t="s">
        <v>77</v>
      </c>
      <c r="C8" s="6" t="s">
        <v>104</v>
      </c>
      <c r="D8" t="s">
        <v>13</v>
      </c>
      <c r="E8" t="s">
        <v>20</v>
      </c>
      <c r="F8" t="s">
        <v>20</v>
      </c>
      <c r="G8" t="s">
        <v>105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35">
      <c r="A9" s="5">
        <v>46161</v>
      </c>
      <c r="B9" t="s">
        <v>77</v>
      </c>
      <c r="C9" s="6" t="s">
        <v>106</v>
      </c>
      <c r="D9" t="s">
        <v>9</v>
      </c>
      <c r="E9" t="s">
        <v>10</v>
      </c>
      <c r="F9" t="s">
        <v>10</v>
      </c>
      <c r="G9" t="s">
        <v>91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46161</v>
      </c>
      <c r="B10" t="s">
        <v>77</v>
      </c>
      <c r="C10" s="6" t="s">
        <v>107</v>
      </c>
      <c r="D10" t="s">
        <v>12</v>
      </c>
      <c r="E10" t="s">
        <v>24</v>
      </c>
      <c r="F10" t="s">
        <v>24</v>
      </c>
      <c r="G10" t="s">
        <v>108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35">
      <c r="A11" s="5">
        <v>46161</v>
      </c>
      <c r="B11" t="s">
        <v>77</v>
      </c>
      <c r="C11" s="6" t="s">
        <v>109</v>
      </c>
      <c r="D11" t="s">
        <v>12</v>
      </c>
      <c r="E11" t="s">
        <v>15</v>
      </c>
      <c r="F11" t="s">
        <v>15</v>
      </c>
      <c r="G11" t="s">
        <v>110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5">
        <v>46161</v>
      </c>
      <c r="B12" t="s">
        <v>77</v>
      </c>
      <c r="C12" s="6" t="s">
        <v>111</v>
      </c>
      <c r="D12" t="s">
        <v>12</v>
      </c>
      <c r="E12" t="s">
        <v>15</v>
      </c>
      <c r="F12" t="s">
        <v>15</v>
      </c>
      <c r="G12" t="s">
        <v>94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35">
      <c r="A13" s="5">
        <v>46161</v>
      </c>
      <c r="B13" t="s">
        <v>74</v>
      </c>
      <c r="C13" s="6" t="s">
        <v>112</v>
      </c>
      <c r="D13" t="s">
        <v>12</v>
      </c>
      <c r="E13" t="s">
        <v>10</v>
      </c>
      <c r="F13" t="s">
        <v>10</v>
      </c>
      <c r="G13" t="s">
        <v>71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46161</v>
      </c>
      <c r="B14" t="s">
        <v>74</v>
      </c>
      <c r="C14" s="6" t="s">
        <v>113</v>
      </c>
      <c r="D14" t="s">
        <v>12</v>
      </c>
      <c r="E14" t="s">
        <v>10</v>
      </c>
      <c r="F14" t="s">
        <v>10</v>
      </c>
      <c r="G14" t="s">
        <v>81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46161</v>
      </c>
      <c r="B15" t="s">
        <v>74</v>
      </c>
      <c r="C15" s="6" t="s">
        <v>114</v>
      </c>
      <c r="D15" t="s">
        <v>13</v>
      </c>
      <c r="E15" t="s">
        <v>27</v>
      </c>
      <c r="F15" t="s">
        <v>27</v>
      </c>
      <c r="G15" t="s">
        <v>115</v>
      </c>
      <c r="H15" t="s">
        <v>72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35">
      <c r="A16" s="5">
        <v>46161</v>
      </c>
      <c r="B16" t="s">
        <v>74</v>
      </c>
      <c r="C16" s="6" t="s">
        <v>116</v>
      </c>
      <c r="D16" t="s">
        <v>12</v>
      </c>
      <c r="E16" t="s">
        <v>20</v>
      </c>
      <c r="F16" t="s">
        <v>20</v>
      </c>
      <c r="G16" t="s">
        <v>117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46161</v>
      </c>
      <c r="B17" t="s">
        <v>74</v>
      </c>
      <c r="C17" s="6" t="s">
        <v>118</v>
      </c>
      <c r="D17" t="s">
        <v>12</v>
      </c>
      <c r="E17" t="s">
        <v>14</v>
      </c>
      <c r="F17" t="s">
        <v>14</v>
      </c>
      <c r="G17" t="s">
        <v>119</v>
      </c>
      <c r="H17" t="s">
        <v>11</v>
      </c>
      <c r="I17" t="str">
        <f>_xlfn.XLOOKUP(Tabla1[[#This Row],[Dependencia]],Tabla2[Dependencia],Tabla2[Clasificación],"No indexado")</f>
        <v>Presidencia de la República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46161</v>
      </c>
      <c r="B18" t="s">
        <v>74</v>
      </c>
      <c r="C18" s="6" t="s">
        <v>120</v>
      </c>
      <c r="D18" t="s">
        <v>12</v>
      </c>
      <c r="E18" t="s">
        <v>17</v>
      </c>
      <c r="F18" t="s">
        <v>17</v>
      </c>
      <c r="G18" t="s">
        <v>121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35">
      <c r="A19" s="5">
        <v>46161</v>
      </c>
      <c r="B19" t="s">
        <v>74</v>
      </c>
      <c r="C19" s="6" t="s">
        <v>122</v>
      </c>
      <c r="D19" t="s">
        <v>12</v>
      </c>
      <c r="E19" t="s">
        <v>34</v>
      </c>
      <c r="F19" t="s">
        <v>34</v>
      </c>
      <c r="G19" t="s">
        <v>92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x14ac:dyDescent="0.35">
      <c r="A20" s="5">
        <v>46161</v>
      </c>
      <c r="B20" t="s">
        <v>68</v>
      </c>
      <c r="C20" s="6" t="s">
        <v>123</v>
      </c>
      <c r="D20" t="s">
        <v>13</v>
      </c>
      <c r="E20" t="s">
        <v>16</v>
      </c>
      <c r="F20" t="s">
        <v>124</v>
      </c>
      <c r="G20" t="s">
        <v>86</v>
      </c>
      <c r="H20" t="s">
        <v>11</v>
      </c>
      <c r="I20" t="str">
        <f>_xlfn.XLOOKUP(Tabla1[[#This Row],[Dependencia]],Tabla2[Dependencia],Tabla2[Clasificación],"No indexado")</f>
        <v>Alcaldías</v>
      </c>
      <c r="J20" t="str">
        <f>_xlfn.XLOOKUP(Tabla1[[#This Row],[Dependencia]],Tabla3[Dependencia],Tabla3[Nivel],"otros",0)</f>
        <v>otros</v>
      </c>
    </row>
    <row r="21" spans="1:10" ht="29" x14ac:dyDescent="0.35">
      <c r="A21" s="5">
        <v>46161</v>
      </c>
      <c r="B21" t="s">
        <v>68</v>
      </c>
      <c r="C21" s="6" t="s">
        <v>125</v>
      </c>
      <c r="D21" t="s">
        <v>12</v>
      </c>
      <c r="E21" t="s">
        <v>17</v>
      </c>
      <c r="F21" t="s">
        <v>17</v>
      </c>
      <c r="G21" t="s">
        <v>121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ht="29" x14ac:dyDescent="0.35">
      <c r="A22" s="5">
        <v>46161</v>
      </c>
      <c r="B22" t="s">
        <v>68</v>
      </c>
      <c r="C22" s="6" t="s">
        <v>126</v>
      </c>
      <c r="D22" t="s">
        <v>12</v>
      </c>
      <c r="E22" t="s">
        <v>15</v>
      </c>
      <c r="F22" t="s">
        <v>15</v>
      </c>
      <c r="G22" t="s">
        <v>127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46161</v>
      </c>
      <c r="B23" t="s">
        <v>68</v>
      </c>
      <c r="C23" s="6" t="s">
        <v>128</v>
      </c>
      <c r="D23" t="s">
        <v>12</v>
      </c>
      <c r="E23" t="s">
        <v>24</v>
      </c>
      <c r="F23" t="s">
        <v>24</v>
      </c>
      <c r="G23" t="s">
        <v>108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Gobernador</v>
      </c>
    </row>
    <row r="24" spans="1:10" x14ac:dyDescent="0.35">
      <c r="A24" s="5">
        <v>46161</v>
      </c>
      <c r="B24" t="s">
        <v>68</v>
      </c>
      <c r="C24" s="6" t="s">
        <v>129</v>
      </c>
      <c r="D24" t="s">
        <v>9</v>
      </c>
      <c r="E24" t="s">
        <v>14</v>
      </c>
      <c r="F24" t="s">
        <v>130</v>
      </c>
      <c r="G24" t="s">
        <v>131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46161</v>
      </c>
      <c r="B25" t="s">
        <v>68</v>
      </c>
      <c r="C25" s="6" t="s">
        <v>132</v>
      </c>
      <c r="D25" t="s">
        <v>12</v>
      </c>
      <c r="E25" t="s">
        <v>10</v>
      </c>
      <c r="F25" t="s">
        <v>10</v>
      </c>
      <c r="G25" t="s">
        <v>71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29" x14ac:dyDescent="0.35">
      <c r="A26" s="5">
        <v>46161</v>
      </c>
      <c r="B26" t="s">
        <v>68</v>
      </c>
      <c r="C26" s="6" t="s">
        <v>133</v>
      </c>
      <c r="D26" t="s">
        <v>12</v>
      </c>
      <c r="E26" t="s">
        <v>14</v>
      </c>
      <c r="F26" t="s">
        <v>14</v>
      </c>
      <c r="G26" t="s">
        <v>134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ht="29" x14ac:dyDescent="0.35">
      <c r="A27" s="5">
        <v>46161</v>
      </c>
      <c r="B27" t="s">
        <v>68</v>
      </c>
      <c r="C27" s="6" t="s">
        <v>135</v>
      </c>
      <c r="D27" t="s">
        <v>12</v>
      </c>
      <c r="E27" t="s">
        <v>14</v>
      </c>
      <c r="F27" t="s">
        <v>14</v>
      </c>
      <c r="G27" t="s">
        <v>119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ht="29" x14ac:dyDescent="0.35">
      <c r="A28" s="5">
        <v>46161</v>
      </c>
      <c r="B28" t="s">
        <v>68</v>
      </c>
      <c r="C28" s="6" t="s">
        <v>136</v>
      </c>
      <c r="D28" t="s">
        <v>12</v>
      </c>
      <c r="E28" t="s">
        <v>10</v>
      </c>
      <c r="F28" t="s">
        <v>10</v>
      </c>
      <c r="G28" t="s">
        <v>137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29" x14ac:dyDescent="0.35">
      <c r="A29" s="5">
        <v>46161</v>
      </c>
      <c r="B29" t="s">
        <v>68</v>
      </c>
      <c r="C29" s="6" t="s">
        <v>138</v>
      </c>
      <c r="D29" t="s">
        <v>12</v>
      </c>
      <c r="E29" t="s">
        <v>15</v>
      </c>
      <c r="F29" t="s">
        <v>15</v>
      </c>
      <c r="G29" t="s">
        <v>94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5">
        <v>46161</v>
      </c>
      <c r="B30" t="s">
        <v>139</v>
      </c>
      <c r="C30" s="6" t="s">
        <v>140</v>
      </c>
      <c r="D30" t="s">
        <v>12</v>
      </c>
      <c r="E30" t="s">
        <v>15</v>
      </c>
      <c r="F30" t="s">
        <v>15</v>
      </c>
      <c r="G30" t="s">
        <v>127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29" x14ac:dyDescent="0.35">
      <c r="A31" s="5">
        <v>46161</v>
      </c>
      <c r="B31" t="s">
        <v>139</v>
      </c>
      <c r="C31" s="6" t="s">
        <v>141</v>
      </c>
      <c r="D31" t="s">
        <v>13</v>
      </c>
      <c r="E31" t="s">
        <v>54</v>
      </c>
      <c r="F31" t="s">
        <v>54</v>
      </c>
      <c r="G31" t="s">
        <v>142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35">
      <c r="A32" s="5">
        <v>46161</v>
      </c>
      <c r="B32" t="s">
        <v>139</v>
      </c>
      <c r="C32" s="6" t="s">
        <v>143</v>
      </c>
      <c r="D32" t="s">
        <v>12</v>
      </c>
      <c r="E32" t="s">
        <v>14</v>
      </c>
      <c r="F32" t="s">
        <v>14</v>
      </c>
      <c r="G32" t="s">
        <v>144</v>
      </c>
      <c r="H32" t="s">
        <v>11</v>
      </c>
      <c r="I32" t="str">
        <f>_xlfn.XLOOKUP(Tabla1[[#This Row],[Dependencia]],Tabla2[Dependencia],Tabla2[Clasificación],"No indexado")</f>
        <v>Presidencia de la República</v>
      </c>
      <c r="J32" t="str">
        <f>_xlfn.XLOOKUP(Tabla1[[#This Row],[Dependencia]],Tabla3[Dependencia],Tabla3[Nivel],"otros",0)</f>
        <v>otros</v>
      </c>
    </row>
    <row r="33" spans="1:10" ht="29" x14ac:dyDescent="0.35">
      <c r="A33" s="5">
        <v>46161</v>
      </c>
      <c r="B33" t="s">
        <v>139</v>
      </c>
      <c r="C33" s="6" t="s">
        <v>145</v>
      </c>
      <c r="D33" t="s">
        <v>9</v>
      </c>
      <c r="E33" t="s">
        <v>14</v>
      </c>
      <c r="F33" t="s">
        <v>130</v>
      </c>
      <c r="G33" t="s">
        <v>131</v>
      </c>
      <c r="H33" t="s">
        <v>11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ht="58" x14ac:dyDescent="0.35">
      <c r="A34" s="5">
        <v>46161</v>
      </c>
      <c r="B34" t="s">
        <v>139</v>
      </c>
      <c r="C34" s="6" t="s">
        <v>146</v>
      </c>
      <c r="D34" t="s">
        <v>12</v>
      </c>
      <c r="E34" t="s">
        <v>18</v>
      </c>
      <c r="F34" t="s">
        <v>18</v>
      </c>
      <c r="G34" t="s">
        <v>147</v>
      </c>
      <c r="H34" t="s">
        <v>11</v>
      </c>
      <c r="I34" t="str">
        <f>_xlfn.XLOOKUP(Tabla1[[#This Row],[Dependencia]],Tabla2[Dependencia],Tabla2[Clasificación],"No indexado")</f>
        <v>Partidos</v>
      </c>
      <c r="J34" t="str">
        <f>_xlfn.XLOOKUP(Tabla1[[#This Row],[Dependencia]],Tabla3[Dependencia],Tabla3[Nivel],"otros",0)</f>
        <v>otros</v>
      </c>
    </row>
    <row r="35" spans="1:10" x14ac:dyDescent="0.35">
      <c r="A35" s="5">
        <v>46161</v>
      </c>
      <c r="B35" t="s">
        <v>78</v>
      </c>
      <c r="C35" s="6" t="s">
        <v>148</v>
      </c>
      <c r="D35" t="s">
        <v>13</v>
      </c>
      <c r="E35" t="s">
        <v>10</v>
      </c>
      <c r="F35" t="s">
        <v>10</v>
      </c>
      <c r="G35" t="s">
        <v>91</v>
      </c>
      <c r="H35" t="s">
        <v>11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x14ac:dyDescent="0.35">
      <c r="A36" s="5">
        <v>46161</v>
      </c>
      <c r="B36" t="s">
        <v>78</v>
      </c>
      <c r="C36" s="6" t="s">
        <v>149</v>
      </c>
      <c r="D36" t="s">
        <v>12</v>
      </c>
      <c r="E36" t="s">
        <v>15</v>
      </c>
      <c r="F36" t="s">
        <v>15</v>
      </c>
      <c r="G36" t="s">
        <v>94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29" x14ac:dyDescent="0.35">
      <c r="A37" s="5">
        <v>46161</v>
      </c>
      <c r="B37" t="s">
        <v>78</v>
      </c>
      <c r="C37" s="6" t="s">
        <v>150</v>
      </c>
      <c r="D37" t="s">
        <v>12</v>
      </c>
      <c r="E37" t="s">
        <v>20</v>
      </c>
      <c r="F37" t="s">
        <v>20</v>
      </c>
      <c r="G37" t="s">
        <v>105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5">
        <v>46161</v>
      </c>
      <c r="B38" t="s">
        <v>78</v>
      </c>
      <c r="C38" s="6" t="s">
        <v>151</v>
      </c>
      <c r="D38" t="s">
        <v>12</v>
      </c>
      <c r="E38" t="s">
        <v>17</v>
      </c>
      <c r="F38" t="s">
        <v>17</v>
      </c>
      <c r="G38" t="s">
        <v>152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5">
        <v>46161</v>
      </c>
      <c r="B39" t="s">
        <v>73</v>
      </c>
      <c r="C39" s="6" t="s">
        <v>153</v>
      </c>
      <c r="D39" t="s">
        <v>9</v>
      </c>
      <c r="E39" t="s">
        <v>54</v>
      </c>
      <c r="F39" t="s">
        <v>54</v>
      </c>
      <c r="G39" t="s">
        <v>142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29" x14ac:dyDescent="0.35">
      <c r="A40" s="5">
        <v>46161</v>
      </c>
      <c r="B40" t="s">
        <v>73</v>
      </c>
      <c r="C40" s="6" t="s">
        <v>154</v>
      </c>
      <c r="D40" t="s">
        <v>12</v>
      </c>
      <c r="E40" t="s">
        <v>16</v>
      </c>
      <c r="F40" t="s">
        <v>16</v>
      </c>
      <c r="G40" t="s">
        <v>155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x14ac:dyDescent="0.35">
      <c r="A41" s="5">
        <v>46161</v>
      </c>
      <c r="B41" t="s">
        <v>73</v>
      </c>
      <c r="C41" s="6" t="s">
        <v>156</v>
      </c>
      <c r="D41" t="s">
        <v>13</v>
      </c>
      <c r="E41" t="s">
        <v>16</v>
      </c>
      <c r="F41" t="s">
        <v>16</v>
      </c>
      <c r="G41" t="s">
        <v>157</v>
      </c>
      <c r="H41" t="s">
        <v>11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ht="29" x14ac:dyDescent="0.35">
      <c r="A42" s="5">
        <v>46161</v>
      </c>
      <c r="B42" t="s">
        <v>73</v>
      </c>
      <c r="C42" s="6" t="s">
        <v>158</v>
      </c>
      <c r="D42" t="s">
        <v>12</v>
      </c>
      <c r="E42" t="s">
        <v>15</v>
      </c>
      <c r="F42" t="s">
        <v>15</v>
      </c>
      <c r="G42" t="s">
        <v>159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ht="29" x14ac:dyDescent="0.35">
      <c r="A43" s="5">
        <v>46161</v>
      </c>
      <c r="B43" t="s">
        <v>73</v>
      </c>
      <c r="C43" s="6" t="s">
        <v>160</v>
      </c>
      <c r="D43" t="s">
        <v>12</v>
      </c>
      <c r="E43" t="s">
        <v>10</v>
      </c>
      <c r="F43" t="s">
        <v>10</v>
      </c>
      <c r="G43" t="s">
        <v>81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ht="29" x14ac:dyDescent="0.35">
      <c r="A44" s="5">
        <v>46161</v>
      </c>
      <c r="B44" t="s">
        <v>73</v>
      </c>
      <c r="C44" s="6" t="s">
        <v>161</v>
      </c>
      <c r="D44" t="s">
        <v>12</v>
      </c>
      <c r="E44" t="s">
        <v>24</v>
      </c>
      <c r="F44" t="s">
        <v>24</v>
      </c>
      <c r="G44" t="s">
        <v>108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Gobernador</v>
      </c>
    </row>
    <row r="45" spans="1:10" x14ac:dyDescent="0.35">
      <c r="A45" s="5">
        <v>46161</v>
      </c>
      <c r="B45" t="s">
        <v>75</v>
      </c>
      <c r="C45" s="6" t="s">
        <v>162</v>
      </c>
      <c r="D45" t="s">
        <v>13</v>
      </c>
      <c r="E45" t="s">
        <v>15</v>
      </c>
      <c r="F45" t="s">
        <v>15</v>
      </c>
      <c r="G45" t="s">
        <v>163</v>
      </c>
      <c r="H45" t="s">
        <v>70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35">
      <c r="A46" s="5">
        <v>46161</v>
      </c>
      <c r="B46" t="s">
        <v>75</v>
      </c>
      <c r="C46" s="6" t="s">
        <v>164</v>
      </c>
      <c r="D46" t="s">
        <v>9</v>
      </c>
      <c r="E46" t="s">
        <v>14</v>
      </c>
      <c r="F46" t="s">
        <v>165</v>
      </c>
      <c r="G46" t="s">
        <v>131</v>
      </c>
      <c r="H46" t="s">
        <v>11</v>
      </c>
      <c r="I46" t="str">
        <f>_xlfn.XLOOKUP(Tabla1[[#This Row],[Dependencia]],Tabla2[Dependencia],Tabla2[Clasificación],"No indexado")</f>
        <v>Presidencia de la República</v>
      </c>
      <c r="J46" t="str">
        <f>_xlfn.XLOOKUP(Tabla1[[#This Row],[Dependencia]],Tabla3[Dependencia],Tabla3[Nivel],"otros",0)</f>
        <v>otros</v>
      </c>
    </row>
    <row r="47" spans="1:10" x14ac:dyDescent="0.35">
      <c r="A47" s="5">
        <v>46161</v>
      </c>
      <c r="B47" t="s">
        <v>75</v>
      </c>
      <c r="C47" s="6" t="s">
        <v>166</v>
      </c>
      <c r="D47" t="s">
        <v>76</v>
      </c>
      <c r="E47" t="s">
        <v>10</v>
      </c>
      <c r="F47" t="s">
        <v>10</v>
      </c>
      <c r="G47" t="s">
        <v>93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x14ac:dyDescent="0.35">
      <c r="A48" s="5">
        <v>46161</v>
      </c>
      <c r="B48" t="s">
        <v>75</v>
      </c>
      <c r="C48" s="6" t="s">
        <v>167</v>
      </c>
      <c r="D48" t="s">
        <v>12</v>
      </c>
      <c r="E48" t="s">
        <v>14</v>
      </c>
      <c r="F48" t="s">
        <v>89</v>
      </c>
      <c r="G48" t="s">
        <v>168</v>
      </c>
      <c r="H48" t="s">
        <v>11</v>
      </c>
      <c r="I48" t="str">
        <f>_xlfn.XLOOKUP(Tabla1[[#This Row],[Dependencia]],Tabla2[Dependencia],Tabla2[Clasificación],"No indexado")</f>
        <v>Presidencia de la República</v>
      </c>
      <c r="J48" t="str">
        <f>_xlfn.XLOOKUP(Tabla1[[#This Row],[Dependencia]],Tabla3[Dependencia],Tabla3[Nivel],"otros",0)</f>
        <v>otros</v>
      </c>
    </row>
    <row r="49" spans="1:10" x14ac:dyDescent="0.35">
      <c r="A49" s="5">
        <v>46161</v>
      </c>
      <c r="B49" t="s">
        <v>75</v>
      </c>
      <c r="C49" s="6" t="s">
        <v>169</v>
      </c>
      <c r="D49" t="s">
        <v>12</v>
      </c>
      <c r="E49" t="s">
        <v>20</v>
      </c>
      <c r="F49" t="s">
        <v>20</v>
      </c>
      <c r="G49" t="s">
        <v>170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29" x14ac:dyDescent="0.35">
      <c r="A50" s="5">
        <v>46161</v>
      </c>
      <c r="B50" t="s">
        <v>75</v>
      </c>
      <c r="C50" s="6" t="s">
        <v>171</v>
      </c>
      <c r="D50" t="s">
        <v>12</v>
      </c>
      <c r="E50" t="s">
        <v>48</v>
      </c>
      <c r="F50" t="s">
        <v>48</v>
      </c>
      <c r="G50" t="s">
        <v>144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5">
        <v>46161</v>
      </c>
      <c r="B51" t="s">
        <v>75</v>
      </c>
      <c r="C51" s="6" t="s">
        <v>172</v>
      </c>
      <c r="D51" t="s">
        <v>12</v>
      </c>
      <c r="E51" t="s">
        <v>54</v>
      </c>
      <c r="F51" t="s">
        <v>54</v>
      </c>
      <c r="G51" t="s">
        <v>142</v>
      </c>
      <c r="H51" t="s">
        <v>70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35">
      <c r="A52" s="5">
        <v>46161</v>
      </c>
      <c r="B52" t="s">
        <v>75</v>
      </c>
      <c r="C52" s="6" t="s">
        <v>173</v>
      </c>
      <c r="D52" t="s">
        <v>12</v>
      </c>
      <c r="E52" t="s">
        <v>14</v>
      </c>
      <c r="F52" t="s">
        <v>14</v>
      </c>
      <c r="G52" t="s">
        <v>119</v>
      </c>
      <c r="H52" t="s">
        <v>11</v>
      </c>
      <c r="I52" t="str">
        <f>_xlfn.XLOOKUP(Tabla1[[#This Row],[Dependencia]],Tabla2[Dependencia],Tabla2[Clasificación],"No indexado")</f>
        <v>Presidencia de la República</v>
      </c>
      <c r="J52" t="str">
        <f>_xlfn.XLOOKUP(Tabla1[[#This Row],[Dependencia]],Tabla3[Dependencia],Tabla3[Nivel],"otros",0)</f>
        <v>otros</v>
      </c>
    </row>
    <row r="53" spans="1:10" x14ac:dyDescent="0.35">
      <c r="A53" s="5">
        <v>46161</v>
      </c>
      <c r="B53" t="s">
        <v>79</v>
      </c>
      <c r="C53" s="6" t="s">
        <v>174</v>
      </c>
      <c r="D53" t="s">
        <v>82</v>
      </c>
      <c r="E53" t="s">
        <v>15</v>
      </c>
      <c r="F53" t="s">
        <v>15</v>
      </c>
      <c r="G53" t="s">
        <v>94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ht="29" x14ac:dyDescent="0.35">
      <c r="A54" s="5">
        <v>46161</v>
      </c>
      <c r="B54" t="s">
        <v>79</v>
      </c>
      <c r="C54" s="6" t="s">
        <v>175</v>
      </c>
      <c r="D54" t="s">
        <v>12</v>
      </c>
      <c r="E54" t="s">
        <v>14</v>
      </c>
      <c r="F54" t="s">
        <v>165</v>
      </c>
      <c r="G54" t="s">
        <v>176</v>
      </c>
      <c r="H54" t="s">
        <v>11</v>
      </c>
      <c r="I54" t="str">
        <f>_xlfn.XLOOKUP(Tabla1[[#This Row],[Dependencia]],Tabla2[Dependencia],Tabla2[Clasificación],"No indexado")</f>
        <v>Presidencia de la República</v>
      </c>
      <c r="J54" t="str">
        <f>_xlfn.XLOOKUP(Tabla1[[#This Row],[Dependencia]],Tabla3[Dependencia],Tabla3[Nivel],"otros",0)</f>
        <v>otros</v>
      </c>
    </row>
    <row r="55" spans="1:10" ht="29" x14ac:dyDescent="0.35">
      <c r="A55" s="5">
        <v>46161</v>
      </c>
      <c r="B55" t="s">
        <v>79</v>
      </c>
      <c r="C55" s="6" t="s">
        <v>177</v>
      </c>
      <c r="D55" t="s">
        <v>12</v>
      </c>
      <c r="E55" t="s">
        <v>10</v>
      </c>
      <c r="F55" t="s">
        <v>10</v>
      </c>
      <c r="G55" t="s">
        <v>87</v>
      </c>
      <c r="H55" t="s">
        <v>11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29" x14ac:dyDescent="0.35">
      <c r="A56" s="5">
        <v>46161</v>
      </c>
      <c r="B56" t="s">
        <v>79</v>
      </c>
      <c r="C56" s="6" t="s">
        <v>178</v>
      </c>
      <c r="D56" t="s">
        <v>12</v>
      </c>
      <c r="E56" t="s">
        <v>24</v>
      </c>
      <c r="F56" t="s">
        <v>24</v>
      </c>
      <c r="G56" t="s">
        <v>108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Gobernador</v>
      </c>
    </row>
    <row r="57" spans="1:10" ht="29" x14ac:dyDescent="0.35">
      <c r="A57" s="5">
        <v>46161</v>
      </c>
      <c r="B57" t="s">
        <v>79</v>
      </c>
      <c r="C57" s="6" t="s">
        <v>179</v>
      </c>
      <c r="D57" t="s">
        <v>13</v>
      </c>
      <c r="E57" t="s">
        <v>20</v>
      </c>
      <c r="F57" t="s">
        <v>20</v>
      </c>
      <c r="G57" t="s">
        <v>105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35">
      <c r="A58" s="5">
        <v>46161</v>
      </c>
      <c r="B58" t="s">
        <v>79</v>
      </c>
      <c r="C58" s="6" t="s">
        <v>180</v>
      </c>
      <c r="D58" t="s">
        <v>12</v>
      </c>
      <c r="E58" t="s">
        <v>10</v>
      </c>
      <c r="F58" t="s">
        <v>10</v>
      </c>
      <c r="G58" t="s">
        <v>81</v>
      </c>
      <c r="H58" t="s">
        <v>11</v>
      </c>
      <c r="I58" t="str">
        <f>_xlfn.XLOOKUP(Tabla1[[#This Row],[Dependencia]],Tabla2[Dependencia],Tabla2[Clasificación],"No indexado")</f>
        <v>Otros</v>
      </c>
      <c r="J58" t="str">
        <f>_xlfn.XLOOKUP(Tabla1[[#This Row],[Dependencia]],Tabla3[Dependencia],Tabla3[Nivel],"otros",0)</f>
        <v>otros</v>
      </c>
    </row>
    <row r="59" spans="1:10" ht="29" x14ac:dyDescent="0.35">
      <c r="A59" s="5">
        <v>46161</v>
      </c>
      <c r="B59" t="s">
        <v>79</v>
      </c>
      <c r="C59" s="6" t="s">
        <v>181</v>
      </c>
      <c r="D59" t="s">
        <v>12</v>
      </c>
      <c r="E59" t="s">
        <v>16</v>
      </c>
      <c r="F59" t="s">
        <v>16</v>
      </c>
      <c r="G59" t="s">
        <v>182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ht="29" x14ac:dyDescent="0.35">
      <c r="A60" s="5">
        <v>46161</v>
      </c>
      <c r="B60" t="s">
        <v>83</v>
      </c>
      <c r="C60" s="6" t="s">
        <v>183</v>
      </c>
      <c r="D60" t="s">
        <v>13</v>
      </c>
      <c r="E60" t="s">
        <v>48</v>
      </c>
      <c r="F60" t="s">
        <v>2</v>
      </c>
      <c r="G60" t="s">
        <v>144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ht="29" x14ac:dyDescent="0.35">
      <c r="A61" s="5">
        <v>46161</v>
      </c>
      <c r="B61" t="s">
        <v>83</v>
      </c>
      <c r="C61" s="6" t="s">
        <v>184</v>
      </c>
      <c r="D61" t="s">
        <v>12</v>
      </c>
      <c r="E61" t="s">
        <v>22</v>
      </c>
      <c r="F61" t="s">
        <v>22</v>
      </c>
      <c r="G61" t="s">
        <v>185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ht="29" x14ac:dyDescent="0.35">
      <c r="A62" s="5">
        <v>46161</v>
      </c>
      <c r="B62" t="s">
        <v>83</v>
      </c>
      <c r="C62" s="6" t="s">
        <v>186</v>
      </c>
      <c r="D62" t="s">
        <v>12</v>
      </c>
      <c r="E62" t="s">
        <v>26</v>
      </c>
      <c r="F62" t="s">
        <v>2</v>
      </c>
      <c r="G62" t="s">
        <v>187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ht="29" x14ac:dyDescent="0.35">
      <c r="A63" s="5">
        <v>46161</v>
      </c>
      <c r="B63" t="s">
        <v>83</v>
      </c>
      <c r="C63" s="6" t="s">
        <v>188</v>
      </c>
      <c r="D63" t="s">
        <v>12</v>
      </c>
      <c r="E63" t="s">
        <v>24</v>
      </c>
      <c r="F63" t="s">
        <v>24</v>
      </c>
      <c r="G63" t="s">
        <v>108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Gobernador</v>
      </c>
    </row>
    <row r="64" spans="1:10" ht="29" x14ac:dyDescent="0.35">
      <c r="A64" s="5">
        <v>46161</v>
      </c>
      <c r="B64" t="s">
        <v>83</v>
      </c>
      <c r="C64" s="6" t="s">
        <v>189</v>
      </c>
      <c r="D64" t="s">
        <v>12</v>
      </c>
      <c r="E64" t="s">
        <v>16</v>
      </c>
      <c r="F64" t="s">
        <v>16</v>
      </c>
      <c r="G64" t="s">
        <v>190</v>
      </c>
      <c r="H64" t="s">
        <v>11</v>
      </c>
      <c r="I64" t="str">
        <f>_xlfn.XLOOKUP(Tabla1[[#This Row],[Dependencia]],Tabla2[Dependencia],Tabla2[Clasificación],"No indexado")</f>
        <v>Alcaldías</v>
      </c>
      <c r="J64" t="str">
        <f>_xlfn.XLOOKUP(Tabla1[[#This Row],[Dependencia]],Tabla3[Dependencia],Tabla3[Nivel],"otros",0)</f>
        <v>otros</v>
      </c>
    </row>
    <row r="65" spans="1:10" x14ac:dyDescent="0.35">
      <c r="A65" s="5">
        <v>46161</v>
      </c>
      <c r="B65" t="s">
        <v>83</v>
      </c>
      <c r="C65" s="6" t="s">
        <v>84</v>
      </c>
      <c r="D65" t="s">
        <v>85</v>
      </c>
      <c r="E65" t="s">
        <v>16</v>
      </c>
      <c r="F65" t="s">
        <v>124</v>
      </c>
      <c r="G65" t="s">
        <v>88</v>
      </c>
      <c r="H65" t="s">
        <v>11</v>
      </c>
      <c r="I65" t="str">
        <f>_xlfn.XLOOKUP(Tabla1[[#This Row],[Dependencia]],Tabla2[Dependencia],Tabla2[Clasificación],"No indexado")</f>
        <v>Alcaldías</v>
      </c>
      <c r="J65" t="str">
        <f>_xlfn.XLOOKUP(Tabla1[[#This Row],[Dependencia]],Tabla3[Dependencia],Tabla3[Nivel],"otros",0)</f>
        <v>otros</v>
      </c>
    </row>
    <row r="66" spans="1:10" x14ac:dyDescent="0.35">
      <c r="A66" s="5">
        <v>46161</v>
      </c>
      <c r="B66" t="s">
        <v>80</v>
      </c>
      <c r="C66" s="6" t="s">
        <v>191</v>
      </c>
      <c r="D66" t="s">
        <v>13</v>
      </c>
      <c r="E66" t="s">
        <v>15</v>
      </c>
      <c r="F66" t="s">
        <v>15</v>
      </c>
      <c r="G66" t="s">
        <v>94</v>
      </c>
      <c r="H66" t="s">
        <v>11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35">
      <c r="A67" s="5">
        <v>46161</v>
      </c>
      <c r="B67" t="s">
        <v>80</v>
      </c>
      <c r="C67" s="6" t="s">
        <v>192</v>
      </c>
      <c r="D67" t="s">
        <v>12</v>
      </c>
      <c r="E67" t="s">
        <v>20</v>
      </c>
      <c r="F67" t="s">
        <v>20</v>
      </c>
      <c r="G67" t="s">
        <v>105</v>
      </c>
      <c r="H67" t="s">
        <v>11</v>
      </c>
      <c r="I67" t="str">
        <f>_xlfn.XLOOKUP(Tabla1[[#This Row],[Dependencia]],Tabla2[Dependencia],Tabla2[Clasificación],"No indexado")</f>
        <v>Gobierno del estado</v>
      </c>
      <c r="J67" t="str">
        <f>_xlfn.XLOOKUP(Tabla1[[#This Row],[Dependencia]],Tabla3[Dependencia],Tabla3[Nivel],"otros",0)</f>
        <v>Gabinete</v>
      </c>
    </row>
    <row r="68" spans="1:10" ht="58" x14ac:dyDescent="0.35">
      <c r="A68" s="5">
        <v>46161</v>
      </c>
      <c r="B68" t="s">
        <v>80</v>
      </c>
      <c r="C68" s="6" t="s">
        <v>193</v>
      </c>
      <c r="D68" t="s">
        <v>76</v>
      </c>
      <c r="E68" t="s">
        <v>22</v>
      </c>
      <c r="F68" t="s">
        <v>22</v>
      </c>
      <c r="G68" t="s">
        <v>194</v>
      </c>
      <c r="H68" t="s">
        <v>72</v>
      </c>
      <c r="I68" t="str">
        <f>_xlfn.XLOOKUP(Tabla1[[#This Row],[Dependencia]],Tabla2[Dependencia],Tabla2[Clasificación],"No indexado")</f>
        <v>Gobierno del estado</v>
      </c>
      <c r="J68" t="str">
        <f>_xlfn.XLOOKUP(Tabla1[[#This Row],[Dependencia]],Tabla3[Dependencia],Tabla3[Nivel],"otros",0)</f>
        <v>Gabinete</v>
      </c>
    </row>
    <row r="69" spans="1:10" x14ac:dyDescent="0.35">
      <c r="A69" s="5">
        <v>46161</v>
      </c>
      <c r="B69" t="s">
        <v>80</v>
      </c>
      <c r="C69" s="6" t="s">
        <v>195</v>
      </c>
      <c r="D69" t="s">
        <v>12</v>
      </c>
      <c r="E69" t="s">
        <v>17</v>
      </c>
      <c r="F69" t="s">
        <v>17</v>
      </c>
      <c r="G69" t="s">
        <v>90</v>
      </c>
      <c r="H69" t="s">
        <v>72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66</v>
      </c>
    </row>
    <row r="2" spans="1:5" x14ac:dyDescent="0.35">
      <c r="A2" t="s">
        <v>62</v>
      </c>
      <c r="B2" t="s">
        <v>63</v>
      </c>
      <c r="D2" s="10" t="s">
        <v>19</v>
      </c>
      <c r="E2" t="s">
        <v>67</v>
      </c>
    </row>
    <row r="3" spans="1:5" x14ac:dyDescent="0.35">
      <c r="A3" t="s">
        <v>16</v>
      </c>
      <c r="B3" t="s">
        <v>31</v>
      </c>
      <c r="D3" s="9" t="s">
        <v>33</v>
      </c>
      <c r="E3" t="s">
        <v>67</v>
      </c>
    </row>
    <row r="4" spans="1:5" x14ac:dyDescent="0.35">
      <c r="A4" t="s">
        <v>19</v>
      </c>
      <c r="B4" t="s">
        <v>32</v>
      </c>
      <c r="D4" s="9" t="s">
        <v>35</v>
      </c>
      <c r="E4" t="s">
        <v>67</v>
      </c>
    </row>
    <row r="5" spans="1:5" x14ac:dyDescent="0.35">
      <c r="A5" t="s">
        <v>61</v>
      </c>
      <c r="B5" t="s">
        <v>10</v>
      </c>
      <c r="D5" s="10" t="s">
        <v>28</v>
      </c>
      <c r="E5" t="s">
        <v>67</v>
      </c>
    </row>
    <row r="6" spans="1:5" x14ac:dyDescent="0.35">
      <c r="A6" t="s">
        <v>33</v>
      </c>
      <c r="B6" t="s">
        <v>32</v>
      </c>
      <c r="D6" s="10" t="s">
        <v>36</v>
      </c>
      <c r="E6" t="s">
        <v>67</v>
      </c>
    </row>
    <row r="7" spans="1:5" x14ac:dyDescent="0.35">
      <c r="A7" t="s">
        <v>34</v>
      </c>
      <c r="B7" t="s">
        <v>10</v>
      </c>
      <c r="D7" s="9" t="s">
        <v>37</v>
      </c>
      <c r="E7" t="s">
        <v>67</v>
      </c>
    </row>
    <row r="8" spans="1:5" x14ac:dyDescent="0.35">
      <c r="A8" t="s">
        <v>35</v>
      </c>
      <c r="B8" t="s">
        <v>32</v>
      </c>
      <c r="D8" s="9" t="s">
        <v>37</v>
      </c>
      <c r="E8" t="s">
        <v>67</v>
      </c>
    </row>
    <row r="9" spans="1:5" x14ac:dyDescent="0.35">
      <c r="A9" t="s">
        <v>28</v>
      </c>
      <c r="B9" t="s">
        <v>32</v>
      </c>
      <c r="D9" s="9" t="s">
        <v>38</v>
      </c>
      <c r="E9" t="s">
        <v>67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3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3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3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3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3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3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3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3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2026-05-19T18:48:18Z</dcterms:modified>
</cp:coreProperties>
</file>