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061B46D0-6CA8-48B8-B0F3-A400944133D6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I2" i="1"/>
  <c r="J2" i="1"/>
</calcChain>
</file>

<file path=xl/sharedStrings.xml><?xml version="1.0" encoding="utf-8"?>
<sst xmlns="http://schemas.openxmlformats.org/spreadsheetml/2006/main" count="643" uniqueCount="198">
  <si>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</si>
  <si>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</si>
  <si>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</si>
  <si>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</si>
  <si>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</si>
  <si>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</si>
  <si>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</si>
  <si>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</si>
  <si>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</si>
  <si>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</si>
  <si>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</si>
  <si>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</si>
  <si>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</si>
  <si>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</si>
  <si>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</si>
  <si>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</si>
  <si>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</si>
  <si>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</si>
  <si>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</si>
  <si>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</si>
  <si>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</si>
  <si>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</si>
  <si>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</si>
  <si>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</si>
  <si>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</si>
  <si>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</si>
  <si>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</si>
  <si>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</si>
  <si>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</si>
  <si>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</si>
  <si>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</si>
  <si>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</si>
  <si>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</si>
  <si>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</si>
  <si>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</si>
  <si>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</si>
  <si>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</si>
  <si>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</si>
  <si>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</si>
  <si>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</si>
  <si>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</si>
  <si>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</si>
  <si>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</si>
  <si>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</si>
  <si>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</si>
  <si>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</si>
  <si>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</si>
  <si>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</si>
  <si>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</si>
  <si>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</si>
  <si>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</si>
  <si>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</si>
  <si>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</si>
  <si>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</si>
  <si>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</si>
  <si>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</si>
  <si>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</si>
  <si>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</si>
  <si>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</si>
  <si>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</si>
  <si>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</si>
  <si>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</si>
  <si>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</si>
  <si>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</si>
  <si>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</si>
  <si>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</si>
  <si>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</si>
  <si>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</si>
  <si>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</si>
  <si>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</si>
  <si>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</si>
  <si>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</si>
  <si>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</si>
  <si>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</si>
  <si>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Effetá</t>
  </si>
  <si>
    <t>El Universal Hidalgo</t>
  </si>
  <si>
    <t>Síntesis</t>
  </si>
  <si>
    <t>Plaza Juárez</t>
  </si>
  <si>
    <t>Temas varios</t>
  </si>
  <si>
    <t>Pachuca Brilla</t>
  </si>
  <si>
    <t>Alerta Meteorológica</t>
  </si>
  <si>
    <t>STCH</t>
  </si>
  <si>
    <t>Accidente transporte público</t>
  </si>
  <si>
    <t>Modernización Tuzobús</t>
  </si>
  <si>
    <t>Combate Al Narcomenudeo</t>
  </si>
  <si>
    <t>Retención de activista</t>
  </si>
  <si>
    <t>Afectaciones Por Lluvias</t>
  </si>
  <si>
    <t>Alcalde</t>
  </si>
  <si>
    <t>Rotonda de Hidalguenses Ilustres, en el olvido</t>
  </si>
  <si>
    <t>Rotonda de los Hidalguenses Ilustres</t>
  </si>
  <si>
    <t>Independizarse, el reto para los jóvenes</t>
  </si>
  <si>
    <t>El misterio de la sirena de Azteca</t>
  </si>
  <si>
    <t>Denuncian la tala de más de 27 mil árboles</t>
  </si>
  <si>
    <t>Conagua</t>
  </si>
  <si>
    <t>Tecnificación De Riego</t>
  </si>
  <si>
    <t>Taxistas señalan monopolio en las concesiones</t>
  </si>
  <si>
    <t>Concesiones taxis</t>
  </si>
  <si>
    <t>Aún hay retos en violencia de género</t>
  </si>
  <si>
    <t>Erradicación Violencia De Género</t>
  </si>
  <si>
    <t>Envían propuesta de Plan B al Congreso local</t>
  </si>
  <si>
    <t>Plan B</t>
  </si>
  <si>
    <t>“Esta semana se publicó en el Diario Oficial de la Federación un enorme paquete de programas nacionales 2026-2030. Derechos humanos”...</t>
  </si>
  <si>
    <t>Derechos Humanos</t>
  </si>
  <si>
    <t>Ambiente futbolero</t>
  </si>
  <si>
    <t>Mundial De Futbol</t>
  </si>
  <si>
    <t>Pachuca inicia provceso electoral</t>
  </si>
  <si>
    <t>Elección de delegados</t>
  </si>
  <si>
    <t>Convicción para la transformación</t>
  </si>
  <si>
    <t>Ruta de la Transformación</t>
  </si>
  <si>
    <t>Acusan tortura contra hidalguense</t>
  </si>
  <si>
    <t>Criterio</t>
  </si>
  <si>
    <t>ENTRARON EN PAUSA</t>
  </si>
  <si>
    <t>GUARDAN GOLES PARA LA VUELTA</t>
  </si>
  <si>
    <t>Lluvias colapsaron el sur de Pachuca</t>
  </si>
  <si>
    <t>Arbitraje niega toma de nota al secretario del Sutspeeh</t>
  </si>
  <si>
    <t>Dirigencia SUTSPEEH</t>
  </si>
  <si>
    <t>AVALA CONGRESO REALIZAR CONSULTA  SOBRE CORRIDAS DE  TOROS EN HIDALGO</t>
  </si>
  <si>
    <t>Tauromaquia</t>
  </si>
  <si>
    <t>HAN MUERTO CUATRO EN ACCIDENTES DEL TRANSPORTE PÚBLICO</t>
  </si>
  <si>
    <t>Ambos conductores están detenidos, informó alcalde</t>
  </si>
  <si>
    <t>Llega a denuncia sólo 7 por ciento de presuntos casos de corrupción: Inegi</t>
  </si>
  <si>
    <t>Combate a la corrupción</t>
  </si>
  <si>
    <t>El Niño viene peor que hace siglo y medio</t>
  </si>
  <si>
    <t>Alerta climática</t>
  </si>
  <si>
    <t>El ejecutivo busca alinear políticas de uso de recursos</t>
  </si>
  <si>
    <t>Tras percance en bulevar Minero detuvieron a dos</t>
  </si>
  <si>
    <t>En campañas de Morelos, el narco brincó al INE con efectivo</t>
  </si>
  <si>
    <t>Crimen Organizado</t>
  </si>
  <si>
    <t>Claudia y Mullin van contra drogas y tráfico de personas</t>
  </si>
  <si>
    <t>Combate a la delincuencia</t>
  </si>
  <si>
    <t>Pude cambiar la historia... y fallé el penal""</t>
  </si>
  <si>
    <t>otros</t>
  </si>
  <si>
    <t>Libran a hidalguense retenido</t>
  </si>
  <si>
    <t>Retención de funcionarios</t>
  </si>
  <si>
    <t>Autos clásicos llegan a Expo Ingenierías</t>
  </si>
  <si>
    <t>Evento turístico</t>
  </si>
  <si>
    <t>La Jornada Hidalgo</t>
  </si>
  <si>
    <t>Diputados avalan consulta sobre corridas de toros</t>
  </si>
  <si>
    <t>Colapsan vialidades por intensas lluvias y granizo</t>
  </si>
  <si>
    <t>Atención Afectaciones Por Lluvias</t>
  </si>
  <si>
    <t>Gobierno plantea austeridad para alinearse al Plan B</t>
  </si>
  <si>
    <t>Desmantelan narcolaboratorio en Sinaloa</t>
  </si>
  <si>
    <t>Los usuarios del transporte público de Hidalgo están abandonados a su suerte,  a viajar en las peores condiciones posibles y sin la certeza de que van a llegar  con vida a su destino”</t>
  </si>
  <si>
    <t>Habrá lluvias fuertes en Hidalgo por la entrada de primera onda tropical</t>
  </si>
  <si>
    <t>PC</t>
  </si>
  <si>
    <t>Presenta gobernador Menchaca  iniciativa alineada al “Plan B” de  Sheinbaum</t>
  </si>
  <si>
    <t>Concesionarios deben respetar  lineamientos de la Secretaría de  Movilidad: Escalante Urban</t>
  </si>
  <si>
    <t>GLMorena</t>
  </si>
  <si>
    <t>Supervisión de Transporte</t>
  </si>
  <si>
    <t>Prevén destinar hasta 100 mdp para modernizar estaciones y rehabilitar elevadores del Tuzobús</t>
  </si>
  <si>
    <t>Hay convicción para la transformación"" de Menchaca</t>
  </si>
  <si>
    <t>Conmemoran 160 aniversario de la gesta heroica de Antonio Reyes</t>
  </si>
  <si>
    <t>Conmemoración Aniversario</t>
  </si>
  <si>
    <t>Lluvias dejan inundaciones en el estado</t>
  </si>
  <si>
    <t>Concurso de oratoria fortalece el orgullo y la identidad huejutlense</t>
  </si>
  <si>
    <t>Concurso De Oratoria</t>
  </si>
  <si>
    <t>Alcalde inauguró fiestas de Temango</t>
  </si>
  <si>
    <t>Fiesta patronal</t>
  </si>
  <si>
    <t>Julio Menchaca presenta ""Plan B""</t>
  </si>
  <si>
    <t>Futuro de tauromaquia irá a consulta popuar</t>
  </si>
  <si>
    <t>Tormenta voraz</t>
  </si>
  <si>
    <t>Regidor deja al Verde y se declara independiente en Pachuca</t>
  </si>
  <si>
    <t>Regidor</t>
  </si>
  <si>
    <t>Adhesión política</t>
  </si>
  <si>
    <t>Ayudó a recatar lesionados""</t>
  </si>
  <si>
    <t>Plan B llega al Congreso local</t>
  </si>
  <si>
    <t>Inyectan 7 millones a refugios</t>
  </si>
  <si>
    <t>Albergues</t>
  </si>
  <si>
    <t>Azota aguacero en Pachuca, despliegan operativo</t>
  </si>
  <si>
    <t>Cintillo</t>
  </si>
  <si>
    <t>EN Hidalgo, la corrupción dejó de ocultarse y hoy se combate de frente</t>
  </si>
  <si>
    <t>Prevención y planeación fortalecen la respuesta ante fenómenos hidrometeorológicos: Gobierno de Hidal o</t>
  </si>
  <si>
    <t>Prevención De Riesgos</t>
  </si>
  <si>
    <t>En Tlaxcoapan, Julio Menchaca anuncia iportantes obras</t>
  </si>
  <si>
    <t>InaugurarEeglllmt*qblTñientó Media Luna - Av- del Ejido en Tlahuelilpan</t>
  </si>
  <si>
    <t>Claudia Sandoval entrega drenaje sanitario en Tlamaco</t>
  </si>
  <si>
    <t>Infraestructura Hidráulica</t>
  </si>
  <si>
    <t>Arranca construcción de piletas de agua en el Panteón</t>
  </si>
  <si>
    <t>Panteón Municipal</t>
  </si>
  <si>
    <t>Niños y niñas del Conafe conviven y aprenden con policías y bomberos de Atitalaquia</t>
  </si>
  <si>
    <t>Congreso avala consulta para decidir futuro de las corridas de toros</t>
  </si>
  <si>
    <t>Familiares de Al Muatasem exigen justicia tras su liberación y piden postura firma de México</t>
  </si>
  <si>
    <t>Otra fuerte lluvia azota a la Bella Airos; autos y plazas bajo el agua</t>
  </si>
  <si>
    <t>Gobernador presenta reforma para reconfiguración de los ayuntamientos</t>
  </si>
  <si>
    <t>IHE fortalece estrategias académicas rumbo al cierre del ciclo escolar</t>
  </si>
  <si>
    <t>IHE</t>
  </si>
  <si>
    <t>Fortalecimiento educativo</t>
  </si>
  <si>
    <t>"Hay convicción para la transformación de Hidalgo", afirma Menchaca</t>
  </si>
  <si>
    <t>Asegura SSP Pachuca a sujeto por robo de autopartes</t>
  </si>
  <si>
    <t>polici</t>
  </si>
  <si>
    <t>15 municipios con condiciones anormalmente secas</t>
  </si>
  <si>
    <t>Sequía</t>
  </si>
  <si>
    <t>Titular de la Saderh amenaza con bloqueos al ""Grupo Modelo""</t>
  </si>
  <si>
    <t>Cebaderos</t>
  </si>
  <si>
    <t>Nada para nadie, Pumas y Cruz Azul 10 dejan todo para la vuelta</t>
  </si>
  <si>
    <t>consulta continuar las corridas de toros</t>
  </si>
  <si>
    <t>Iniciativa alertaría a partidos sobre candidatos ""criminales""</t>
  </si>
  <si>
    <t>Iniciativa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</si>
</sst>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topLeftCell="D60" workbookViewId="0">
      <selection activeCell="J70" sqref="J70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46164</v>
      </c>
      <c r="B2" t="s">
        <v>69</v>
      </c>
      <c r="C2" s="6" t="s">
        <v>88</v>
      </c>
      <c r="D2" t="s">
        <v>9</v>
      </c>
      <c r="E2" t="s">
        <v>16</v>
      </c>
      <c r="F2" t="s">
        <v>16</v>
      </c>
      <c r="G2" t="s">
        <v>89</v>
      </c>
      <c r="H2" t="s">
        <v>72</v>
      </c>
      <c r="I2" t="str">
        <f>_xlfn.XLOOKUP(Tabla1[[#This Row],[Dependencia]],Tabla2[Dependencia],Tabla2[Clasificación],"No indexado")</f>
        <v>Alcaldías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46164</v>
      </c>
      <c r="B3" t="s">
        <v>69</v>
      </c>
      <c r="C3" s="6" t="s">
        <v>90</v>
      </c>
      <c r="D3" t="s">
        <v>12</v>
      </c>
      <c r="E3" t="s">
        <v>10</v>
      </c>
      <c r="F3" t="s">
        <v>10</v>
      </c>
      <c r="G3" t="s">
        <v>78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46164</v>
      </c>
      <c r="B4" t="s">
        <v>69</v>
      </c>
      <c r="C4" s="6" t="s">
        <v>91</v>
      </c>
      <c r="D4" t="s">
        <v>12</v>
      </c>
      <c r="E4" t="s">
        <v>10</v>
      </c>
      <c r="F4" t="s">
        <v>10</v>
      </c>
      <c r="G4" t="s">
        <v>78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46164</v>
      </c>
      <c r="B5" t="s">
        <v>69</v>
      </c>
      <c r="C5" s="6" t="s">
        <v>92</v>
      </c>
      <c r="D5" t="s">
        <v>13</v>
      </c>
      <c r="E5" t="s">
        <v>14</v>
      </c>
      <c r="F5" t="s">
        <v>93</v>
      </c>
      <c r="G5" t="s">
        <v>94</v>
      </c>
      <c r="H5" t="s">
        <v>72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46164</v>
      </c>
      <c r="B6" t="s">
        <v>69</v>
      </c>
      <c r="C6" s="6" t="s">
        <v>95</v>
      </c>
      <c r="D6" t="s">
        <v>12</v>
      </c>
      <c r="E6" t="s">
        <v>27</v>
      </c>
      <c r="F6" t="s">
        <v>27</v>
      </c>
      <c r="G6" t="s">
        <v>96</v>
      </c>
      <c r="H6" t="s">
        <v>72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46164</v>
      </c>
      <c r="B7" t="s">
        <v>69</v>
      </c>
      <c r="C7" s="6" t="s">
        <v>97</v>
      </c>
      <c r="D7" t="s">
        <v>12</v>
      </c>
      <c r="E7" t="s">
        <v>10</v>
      </c>
      <c r="F7" t="s">
        <v>10</v>
      </c>
      <c r="G7" t="s">
        <v>98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46164</v>
      </c>
      <c r="B8" t="s">
        <v>75</v>
      </c>
      <c r="C8" s="6" t="s">
        <v>99</v>
      </c>
      <c r="D8" t="s">
        <v>13</v>
      </c>
      <c r="E8" t="s">
        <v>24</v>
      </c>
      <c r="F8" t="s">
        <v>24</v>
      </c>
      <c r="G8" t="s">
        <v>100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ht="43.5" x14ac:dyDescent="0.35">
      <c r="A9" s="5">
        <v>46164</v>
      </c>
      <c r="B9" t="s">
        <v>75</v>
      </c>
      <c r="C9" s="6" t="s">
        <v>101</v>
      </c>
      <c r="D9" t="s">
        <v>12</v>
      </c>
      <c r="E9" t="s">
        <v>35</v>
      </c>
      <c r="F9" t="s">
        <v>2</v>
      </c>
      <c r="G9" t="s">
        <v>102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5">
        <v>46164</v>
      </c>
      <c r="B10" t="s">
        <v>75</v>
      </c>
      <c r="C10" s="6" t="s">
        <v>103</v>
      </c>
      <c r="D10" t="s">
        <v>9</v>
      </c>
      <c r="E10" t="s">
        <v>10</v>
      </c>
      <c r="F10" t="s">
        <v>10</v>
      </c>
      <c r="G10" t="s">
        <v>104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46164</v>
      </c>
      <c r="B11" t="s">
        <v>75</v>
      </c>
      <c r="C11" s="6" t="s">
        <v>105</v>
      </c>
      <c r="D11" t="s">
        <v>12</v>
      </c>
      <c r="E11" t="s">
        <v>16</v>
      </c>
      <c r="F11" t="s">
        <v>16</v>
      </c>
      <c r="G11" t="s">
        <v>106</v>
      </c>
      <c r="H11" t="s">
        <v>11</v>
      </c>
      <c r="I11" t="str">
        <f>_xlfn.XLOOKUP(Tabla1[[#This Row],[Dependencia]],Tabla2[Dependencia],Tabla2[Clasificación],"No indexado")</f>
        <v>Alcaldías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46164</v>
      </c>
      <c r="B12" t="s">
        <v>75</v>
      </c>
      <c r="C12" s="6" t="s">
        <v>107</v>
      </c>
      <c r="D12" t="s">
        <v>12</v>
      </c>
      <c r="E12" t="s">
        <v>24</v>
      </c>
      <c r="F12" t="s">
        <v>24</v>
      </c>
      <c r="G12" t="s">
        <v>108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Gobernador</v>
      </c>
    </row>
    <row r="13" spans="1:10" x14ac:dyDescent="0.35">
      <c r="A13" s="5">
        <v>46164</v>
      </c>
      <c r="B13" t="s">
        <v>75</v>
      </c>
      <c r="C13" s="6" t="s">
        <v>109</v>
      </c>
      <c r="D13" t="s">
        <v>12</v>
      </c>
      <c r="E13" t="s">
        <v>14</v>
      </c>
      <c r="F13" t="s">
        <v>14</v>
      </c>
      <c r="G13" t="s">
        <v>85</v>
      </c>
      <c r="H13" t="s">
        <v>11</v>
      </c>
      <c r="I13" t="str">
        <f>_xlfn.XLOOKUP(Tabla1[[#This Row],[Dependencia]],Tabla2[Dependencia],Tabla2[Clasificación],"No indexado")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46164</v>
      </c>
      <c r="B14" t="s">
        <v>110</v>
      </c>
      <c r="C14" s="6" t="s">
        <v>111</v>
      </c>
      <c r="D14" t="s">
        <v>12</v>
      </c>
      <c r="E14" t="s">
        <v>10</v>
      </c>
      <c r="F14" t="s">
        <v>10</v>
      </c>
      <c r="G14" t="s">
        <v>71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46164</v>
      </c>
      <c r="B15" t="s">
        <v>110</v>
      </c>
      <c r="C15" s="6" t="s">
        <v>112</v>
      </c>
      <c r="D15" t="s">
        <v>12</v>
      </c>
      <c r="E15" t="s">
        <v>10</v>
      </c>
      <c r="F15" t="s">
        <v>10</v>
      </c>
      <c r="G15" t="s">
        <v>71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46164</v>
      </c>
      <c r="B16" t="s">
        <v>110</v>
      </c>
      <c r="C16" s="6" t="s">
        <v>113</v>
      </c>
      <c r="D16" t="s">
        <v>9</v>
      </c>
      <c r="E16" t="s">
        <v>10</v>
      </c>
      <c r="F16" t="s">
        <v>10</v>
      </c>
      <c r="G16" t="s">
        <v>86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46164</v>
      </c>
      <c r="B17" t="s">
        <v>110</v>
      </c>
      <c r="C17" s="6" t="s">
        <v>114</v>
      </c>
      <c r="D17" t="s">
        <v>12</v>
      </c>
      <c r="E17" t="s">
        <v>57</v>
      </c>
      <c r="F17" t="s">
        <v>57</v>
      </c>
      <c r="G17" t="s">
        <v>115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5">
        <v>46164</v>
      </c>
      <c r="B18" t="s">
        <v>110</v>
      </c>
      <c r="C18" s="6" t="s">
        <v>116</v>
      </c>
      <c r="D18" t="s">
        <v>12</v>
      </c>
      <c r="E18" t="s">
        <v>34</v>
      </c>
      <c r="F18" t="s">
        <v>34</v>
      </c>
      <c r="G18" t="s">
        <v>117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29" x14ac:dyDescent="0.35">
      <c r="A19" s="5">
        <v>46164</v>
      </c>
      <c r="B19" t="s">
        <v>110</v>
      </c>
      <c r="C19" s="6" t="s">
        <v>118</v>
      </c>
      <c r="D19" t="s">
        <v>13</v>
      </c>
      <c r="E19" t="s">
        <v>27</v>
      </c>
      <c r="F19" t="s">
        <v>81</v>
      </c>
      <c r="G19" t="s">
        <v>82</v>
      </c>
      <c r="H19" t="s">
        <v>72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46164</v>
      </c>
      <c r="B20" t="s">
        <v>110</v>
      </c>
      <c r="C20" s="6" t="s">
        <v>119</v>
      </c>
      <c r="D20" t="s">
        <v>12</v>
      </c>
      <c r="E20" t="s">
        <v>16</v>
      </c>
      <c r="F20" t="s">
        <v>87</v>
      </c>
      <c r="G20" t="s">
        <v>82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ht="29" x14ac:dyDescent="0.35">
      <c r="A21" s="5">
        <v>46164</v>
      </c>
      <c r="B21" t="s">
        <v>68</v>
      </c>
      <c r="C21" s="6" t="s">
        <v>120</v>
      </c>
      <c r="D21" t="s">
        <v>13</v>
      </c>
      <c r="E21" t="s">
        <v>35</v>
      </c>
      <c r="F21" t="s">
        <v>2</v>
      </c>
      <c r="G21" t="s">
        <v>121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5">
        <v>46164</v>
      </c>
      <c r="B22" t="s">
        <v>68</v>
      </c>
      <c r="C22" s="6" t="s">
        <v>122</v>
      </c>
      <c r="D22" t="s">
        <v>12</v>
      </c>
      <c r="E22" t="s">
        <v>10</v>
      </c>
      <c r="F22" t="s">
        <v>10</v>
      </c>
      <c r="G22" t="s">
        <v>123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46164</v>
      </c>
      <c r="B23" t="s">
        <v>68</v>
      </c>
      <c r="C23" s="6" t="s">
        <v>124</v>
      </c>
      <c r="D23" t="s">
        <v>12</v>
      </c>
      <c r="E23" t="s">
        <v>24</v>
      </c>
      <c r="F23" t="s">
        <v>24</v>
      </c>
      <c r="G23" t="s">
        <v>100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35">
      <c r="A24" s="5">
        <v>46164</v>
      </c>
      <c r="B24" t="s">
        <v>68</v>
      </c>
      <c r="C24" s="6" t="s">
        <v>125</v>
      </c>
      <c r="D24" t="s">
        <v>12</v>
      </c>
      <c r="E24" t="s">
        <v>27</v>
      </c>
      <c r="F24" t="s">
        <v>81</v>
      </c>
      <c r="G24" t="s">
        <v>82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5">
        <v>46164</v>
      </c>
      <c r="B25" t="s">
        <v>68</v>
      </c>
      <c r="C25" s="6" t="s">
        <v>126</v>
      </c>
      <c r="D25" t="s">
        <v>12</v>
      </c>
      <c r="E25" t="s">
        <v>10</v>
      </c>
      <c r="F25" t="s">
        <v>10</v>
      </c>
      <c r="G25" t="s">
        <v>127</v>
      </c>
      <c r="H25" t="s">
        <v>72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46164</v>
      </c>
      <c r="B26" t="s">
        <v>68</v>
      </c>
      <c r="C26" s="6" t="s">
        <v>128</v>
      </c>
      <c r="D26" t="s">
        <v>12</v>
      </c>
      <c r="E26" t="s">
        <v>14</v>
      </c>
      <c r="F26" t="s">
        <v>14</v>
      </c>
      <c r="G26" t="s">
        <v>129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46164</v>
      </c>
      <c r="B27" t="s">
        <v>68</v>
      </c>
      <c r="C27" s="6" t="s">
        <v>130</v>
      </c>
      <c r="D27" t="s">
        <v>131</v>
      </c>
      <c r="E27" t="s">
        <v>10</v>
      </c>
      <c r="F27" t="s">
        <v>10</v>
      </c>
      <c r="G27" t="s">
        <v>71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46164</v>
      </c>
      <c r="B28" t="s">
        <v>68</v>
      </c>
      <c r="C28" s="6" t="s">
        <v>132</v>
      </c>
      <c r="D28" t="s">
        <v>9</v>
      </c>
      <c r="E28" t="s">
        <v>10</v>
      </c>
      <c r="F28" t="s">
        <v>10</v>
      </c>
      <c r="G28" t="s">
        <v>133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46164</v>
      </c>
      <c r="B29" t="s">
        <v>68</v>
      </c>
      <c r="C29" s="6" t="s">
        <v>134</v>
      </c>
      <c r="D29" t="s">
        <v>12</v>
      </c>
      <c r="E29" t="s">
        <v>29</v>
      </c>
      <c r="F29" t="s">
        <v>29</v>
      </c>
      <c r="G29" t="s">
        <v>135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5">
        <v>46164</v>
      </c>
      <c r="B30" t="s">
        <v>136</v>
      </c>
      <c r="C30" s="6" t="s">
        <v>137</v>
      </c>
      <c r="D30" t="s">
        <v>12</v>
      </c>
      <c r="E30" t="s">
        <v>34</v>
      </c>
      <c r="F30" t="s">
        <v>34</v>
      </c>
      <c r="G30" t="s">
        <v>117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x14ac:dyDescent="0.35">
      <c r="A31" s="5">
        <v>46164</v>
      </c>
      <c r="B31" t="s">
        <v>136</v>
      </c>
      <c r="C31" s="6" t="s">
        <v>138</v>
      </c>
      <c r="D31" t="s">
        <v>9</v>
      </c>
      <c r="E31" t="s">
        <v>10</v>
      </c>
      <c r="F31" t="s">
        <v>10</v>
      </c>
      <c r="G31" t="s">
        <v>139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x14ac:dyDescent="0.35">
      <c r="A32" s="5">
        <v>46164</v>
      </c>
      <c r="B32" t="s">
        <v>136</v>
      </c>
      <c r="C32" s="6" t="s">
        <v>140</v>
      </c>
      <c r="D32" t="s">
        <v>13</v>
      </c>
      <c r="E32" t="s">
        <v>24</v>
      </c>
      <c r="F32" t="s">
        <v>24</v>
      </c>
      <c r="G32" t="s">
        <v>100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x14ac:dyDescent="0.35">
      <c r="A33" s="5">
        <v>46164</v>
      </c>
      <c r="B33" t="s">
        <v>136</v>
      </c>
      <c r="C33" s="6" t="s">
        <v>141</v>
      </c>
      <c r="D33" t="s">
        <v>12</v>
      </c>
      <c r="E33" t="s">
        <v>14</v>
      </c>
      <c r="F33" t="s">
        <v>14</v>
      </c>
      <c r="G33" t="s">
        <v>84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58" x14ac:dyDescent="0.35">
      <c r="A34" s="5">
        <v>46164</v>
      </c>
      <c r="B34" t="s">
        <v>136</v>
      </c>
      <c r="C34" s="6" t="s">
        <v>142</v>
      </c>
      <c r="D34" t="s">
        <v>12</v>
      </c>
      <c r="E34" t="s">
        <v>27</v>
      </c>
      <c r="F34" t="s">
        <v>81</v>
      </c>
      <c r="G34" t="s">
        <v>82</v>
      </c>
      <c r="H34" t="s">
        <v>72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5">
        <v>46164</v>
      </c>
      <c r="B35" t="s">
        <v>76</v>
      </c>
      <c r="C35" s="6" t="s">
        <v>143</v>
      </c>
      <c r="D35" t="s">
        <v>13</v>
      </c>
      <c r="E35" t="s">
        <v>23</v>
      </c>
      <c r="F35" t="s">
        <v>144</v>
      </c>
      <c r="G35" t="s">
        <v>80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5">
        <v>46164</v>
      </c>
      <c r="B36" t="s">
        <v>76</v>
      </c>
      <c r="C36" s="6" t="s">
        <v>145</v>
      </c>
      <c r="D36" t="s">
        <v>9</v>
      </c>
      <c r="E36" t="s">
        <v>24</v>
      </c>
      <c r="F36" t="s">
        <v>24</v>
      </c>
      <c r="G36" t="s">
        <v>100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ht="29" x14ac:dyDescent="0.35">
      <c r="A37" s="5">
        <v>46164</v>
      </c>
      <c r="B37" t="s">
        <v>76</v>
      </c>
      <c r="C37" s="6" t="s">
        <v>146</v>
      </c>
      <c r="D37" t="s">
        <v>12</v>
      </c>
      <c r="E37" t="s">
        <v>34</v>
      </c>
      <c r="F37" t="s">
        <v>147</v>
      </c>
      <c r="G37" t="s">
        <v>148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29" x14ac:dyDescent="0.35">
      <c r="A38" s="5">
        <v>46164</v>
      </c>
      <c r="B38" t="s">
        <v>76</v>
      </c>
      <c r="C38" s="6" t="s">
        <v>149</v>
      </c>
      <c r="D38" t="s">
        <v>12</v>
      </c>
      <c r="E38" t="s">
        <v>24</v>
      </c>
      <c r="F38" t="s">
        <v>24</v>
      </c>
      <c r="G38" t="s">
        <v>83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Gobernador</v>
      </c>
    </row>
    <row r="39" spans="1:10" x14ac:dyDescent="0.35">
      <c r="A39" s="5">
        <v>46164</v>
      </c>
      <c r="B39" t="s">
        <v>73</v>
      </c>
      <c r="C39" s="6" t="s">
        <v>150</v>
      </c>
      <c r="D39" t="s">
        <v>9</v>
      </c>
      <c r="E39" t="s">
        <v>24</v>
      </c>
      <c r="F39" t="s">
        <v>24</v>
      </c>
      <c r="G39" t="s">
        <v>108</v>
      </c>
      <c r="H39" t="s">
        <v>70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ht="29" x14ac:dyDescent="0.35">
      <c r="A40" s="5">
        <v>46164</v>
      </c>
      <c r="B40" t="s">
        <v>73</v>
      </c>
      <c r="C40" s="6" t="s">
        <v>151</v>
      </c>
      <c r="D40" t="s">
        <v>12</v>
      </c>
      <c r="E40" t="s">
        <v>10</v>
      </c>
      <c r="F40" t="s">
        <v>10</v>
      </c>
      <c r="G40" t="s">
        <v>152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46164</v>
      </c>
      <c r="B41" t="s">
        <v>73</v>
      </c>
      <c r="C41" s="6" t="s">
        <v>153</v>
      </c>
      <c r="D41" t="s">
        <v>13</v>
      </c>
      <c r="E41" t="s">
        <v>22</v>
      </c>
      <c r="F41" t="s">
        <v>22</v>
      </c>
      <c r="G41" t="s">
        <v>139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29" x14ac:dyDescent="0.35">
      <c r="A42" s="5">
        <v>46164</v>
      </c>
      <c r="B42" t="s">
        <v>73</v>
      </c>
      <c r="C42" s="6" t="s">
        <v>154</v>
      </c>
      <c r="D42" t="s">
        <v>12</v>
      </c>
      <c r="E42" t="s">
        <v>16</v>
      </c>
      <c r="F42" t="s">
        <v>16</v>
      </c>
      <c r="G42" t="s">
        <v>155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46164</v>
      </c>
      <c r="B43" t="s">
        <v>73</v>
      </c>
      <c r="C43" s="6" t="s">
        <v>156</v>
      </c>
      <c r="D43" t="s">
        <v>12</v>
      </c>
      <c r="E43" t="s">
        <v>16</v>
      </c>
      <c r="F43" t="s">
        <v>16</v>
      </c>
      <c r="G43" t="s">
        <v>157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46164</v>
      </c>
      <c r="B44" t="s">
        <v>73</v>
      </c>
      <c r="C44" s="6" t="s">
        <v>158</v>
      </c>
      <c r="D44" t="s">
        <v>12</v>
      </c>
      <c r="E44" t="s">
        <v>24</v>
      </c>
      <c r="F44" t="s">
        <v>24</v>
      </c>
      <c r="G44" t="s">
        <v>100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35">
      <c r="A45" s="5">
        <v>46164</v>
      </c>
      <c r="B45" t="s">
        <v>74</v>
      </c>
      <c r="C45" s="6" t="s">
        <v>159</v>
      </c>
      <c r="D45" t="s">
        <v>13</v>
      </c>
      <c r="E45" t="s">
        <v>34</v>
      </c>
      <c r="F45" t="s">
        <v>34</v>
      </c>
      <c r="G45" t="s">
        <v>117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46164</v>
      </c>
      <c r="B46" t="s">
        <v>74</v>
      </c>
      <c r="C46" s="6" t="s">
        <v>160</v>
      </c>
      <c r="D46" t="s">
        <v>9</v>
      </c>
      <c r="E46" t="s">
        <v>10</v>
      </c>
      <c r="F46" t="s">
        <v>10</v>
      </c>
      <c r="G46" t="s">
        <v>86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46164</v>
      </c>
      <c r="B47" t="s">
        <v>74</v>
      </c>
      <c r="C47" s="6" t="s">
        <v>161</v>
      </c>
      <c r="D47" t="s">
        <v>12</v>
      </c>
      <c r="E47" t="s">
        <v>16</v>
      </c>
      <c r="F47" t="s">
        <v>162</v>
      </c>
      <c r="G47" t="s">
        <v>163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46164</v>
      </c>
      <c r="B48" t="s">
        <v>74</v>
      </c>
      <c r="C48" s="6" t="s">
        <v>164</v>
      </c>
      <c r="D48" t="s">
        <v>12</v>
      </c>
      <c r="E48" t="s">
        <v>27</v>
      </c>
      <c r="F48" t="s">
        <v>81</v>
      </c>
      <c r="G48" t="s">
        <v>82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35">
      <c r="A49" s="5">
        <v>46164</v>
      </c>
      <c r="B49" t="s">
        <v>74</v>
      </c>
      <c r="C49" s="6" t="s">
        <v>165</v>
      </c>
      <c r="D49" t="s">
        <v>12</v>
      </c>
      <c r="E49" t="s">
        <v>24</v>
      </c>
      <c r="F49" t="s">
        <v>24</v>
      </c>
      <c r="G49" t="s">
        <v>100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x14ac:dyDescent="0.35">
      <c r="A50" s="5">
        <v>46164</v>
      </c>
      <c r="B50" t="s">
        <v>74</v>
      </c>
      <c r="C50" s="6" t="s">
        <v>166</v>
      </c>
      <c r="D50" t="s">
        <v>12</v>
      </c>
      <c r="E50" t="s">
        <v>37</v>
      </c>
      <c r="F50" t="s">
        <v>37</v>
      </c>
      <c r="G50" t="s">
        <v>167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35">
      <c r="A51" s="5">
        <v>46164</v>
      </c>
      <c r="B51" t="s">
        <v>74</v>
      </c>
      <c r="C51" s="6" t="s">
        <v>168</v>
      </c>
      <c r="D51" t="s">
        <v>169</v>
      </c>
      <c r="E51" t="s">
        <v>22</v>
      </c>
      <c r="F51" t="s">
        <v>22</v>
      </c>
      <c r="G51" t="s">
        <v>139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ht="29" x14ac:dyDescent="0.35">
      <c r="A52" s="5">
        <v>46164</v>
      </c>
      <c r="B52" t="s">
        <v>74</v>
      </c>
      <c r="C52" s="6" t="s">
        <v>170</v>
      </c>
      <c r="D52" t="s">
        <v>12</v>
      </c>
      <c r="E52" t="s">
        <v>35</v>
      </c>
      <c r="F52" t="s">
        <v>35</v>
      </c>
      <c r="G52" t="s">
        <v>121</v>
      </c>
      <c r="H52" t="s">
        <v>70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29" x14ac:dyDescent="0.35">
      <c r="A53" s="5">
        <v>46164</v>
      </c>
      <c r="B53" t="s">
        <v>74</v>
      </c>
      <c r="C53" s="6" t="s">
        <v>171</v>
      </c>
      <c r="D53" t="s">
        <v>12</v>
      </c>
      <c r="E53" t="s">
        <v>23</v>
      </c>
      <c r="F53" t="s">
        <v>2</v>
      </c>
      <c r="G53" t="s">
        <v>172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35">
      <c r="A54" s="5">
        <v>46164</v>
      </c>
      <c r="B54" t="s">
        <v>74</v>
      </c>
      <c r="C54" s="6" t="s">
        <v>173</v>
      </c>
      <c r="D54" t="s">
        <v>13</v>
      </c>
      <c r="E54" t="s">
        <v>24</v>
      </c>
      <c r="F54" t="s">
        <v>24</v>
      </c>
      <c r="G54" t="s">
        <v>108</v>
      </c>
      <c r="H54" t="s">
        <v>70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Gobernador</v>
      </c>
    </row>
    <row r="55" spans="1:10" ht="29" x14ac:dyDescent="0.35">
      <c r="A55" s="5">
        <v>46164</v>
      </c>
      <c r="B55" t="s">
        <v>74</v>
      </c>
      <c r="C55" s="6" t="s">
        <v>174</v>
      </c>
      <c r="D55" t="s">
        <v>12</v>
      </c>
      <c r="E55" t="s">
        <v>24</v>
      </c>
      <c r="F55" t="s">
        <v>24</v>
      </c>
      <c r="G55" t="s">
        <v>108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Gobernador</v>
      </c>
    </row>
    <row r="56" spans="1:10" x14ac:dyDescent="0.35">
      <c r="A56" s="5">
        <v>46164</v>
      </c>
      <c r="B56" t="s">
        <v>74</v>
      </c>
      <c r="C56" s="6" t="s">
        <v>175</v>
      </c>
      <c r="D56" t="s">
        <v>12</v>
      </c>
      <c r="E56" t="s">
        <v>16</v>
      </c>
      <c r="F56" t="s">
        <v>87</v>
      </c>
      <c r="G56" t="s">
        <v>176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46164</v>
      </c>
      <c r="B57" t="s">
        <v>74</v>
      </c>
      <c r="C57" s="6" t="s">
        <v>177</v>
      </c>
      <c r="D57" t="s">
        <v>12</v>
      </c>
      <c r="E57" t="s">
        <v>16</v>
      </c>
      <c r="F57" t="s">
        <v>16</v>
      </c>
      <c r="G57" t="s">
        <v>178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46164</v>
      </c>
      <c r="B58" t="s">
        <v>74</v>
      </c>
      <c r="C58" s="6" t="s">
        <v>179</v>
      </c>
      <c r="D58" t="s">
        <v>12</v>
      </c>
      <c r="E58" t="s">
        <v>10</v>
      </c>
      <c r="F58" t="s">
        <v>10</v>
      </c>
      <c r="G58" t="s">
        <v>78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ht="29" x14ac:dyDescent="0.35">
      <c r="A59" s="5">
        <v>46164</v>
      </c>
      <c r="B59" t="s">
        <v>74</v>
      </c>
      <c r="C59" s="6" t="s">
        <v>180</v>
      </c>
      <c r="D59" t="s">
        <v>12</v>
      </c>
      <c r="E59" t="s">
        <v>34</v>
      </c>
      <c r="F59" t="s">
        <v>34</v>
      </c>
      <c r="G59" t="s">
        <v>117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46164</v>
      </c>
      <c r="B60" t="s">
        <v>74</v>
      </c>
      <c r="C60" s="6" t="s">
        <v>181</v>
      </c>
      <c r="D60" t="s">
        <v>12</v>
      </c>
      <c r="E60" t="s">
        <v>14</v>
      </c>
      <c r="F60" t="s">
        <v>14</v>
      </c>
      <c r="G60" t="s">
        <v>85</v>
      </c>
      <c r="H60" t="s">
        <v>72</v>
      </c>
      <c r="I60" t="str">
        <f>_xlfn.XLOOKUP(Tabla1[[#This Row],[Dependencia]],Tabla2[Dependencia],Tabla2[Clasificación],"No indexado")</f>
        <v>Presidencia de la República</v>
      </c>
      <c r="J60" t="str">
        <f>_xlfn.XLOOKUP(Tabla1[[#This Row],[Dependencia]],Tabla3[Dependencia],Tabla3[Nivel],"otros",0)</f>
        <v>otros</v>
      </c>
    </row>
    <row r="61" spans="1:10" ht="29" x14ac:dyDescent="0.35">
      <c r="A61" s="5">
        <v>46164</v>
      </c>
      <c r="B61" t="s">
        <v>79</v>
      </c>
      <c r="C61" s="6" t="s">
        <v>182</v>
      </c>
      <c r="D61" t="s">
        <v>13</v>
      </c>
      <c r="E61" t="s">
        <v>10</v>
      </c>
      <c r="F61" t="s">
        <v>10</v>
      </c>
      <c r="G61" t="s">
        <v>86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ht="29" x14ac:dyDescent="0.35">
      <c r="A62" s="5">
        <v>46164</v>
      </c>
      <c r="B62" t="s">
        <v>79</v>
      </c>
      <c r="C62" s="6" t="s">
        <v>183</v>
      </c>
      <c r="D62" t="s">
        <v>12</v>
      </c>
      <c r="E62" t="s">
        <v>24</v>
      </c>
      <c r="F62" t="s">
        <v>24</v>
      </c>
      <c r="G62" t="s">
        <v>100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Gobernador</v>
      </c>
    </row>
    <row r="63" spans="1:10" ht="29" x14ac:dyDescent="0.35">
      <c r="A63" s="5">
        <v>46164</v>
      </c>
      <c r="B63" t="s">
        <v>79</v>
      </c>
      <c r="C63" s="6" t="s">
        <v>184</v>
      </c>
      <c r="D63" t="s">
        <v>12</v>
      </c>
      <c r="E63" t="s">
        <v>26</v>
      </c>
      <c r="F63" t="s">
        <v>185</v>
      </c>
      <c r="G63" t="s">
        <v>186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29" x14ac:dyDescent="0.35">
      <c r="A64" s="5">
        <v>46164</v>
      </c>
      <c r="B64" t="s">
        <v>79</v>
      </c>
      <c r="C64" s="6" t="s">
        <v>187</v>
      </c>
      <c r="D64" t="s">
        <v>12</v>
      </c>
      <c r="E64" t="s">
        <v>24</v>
      </c>
      <c r="F64" t="s">
        <v>24</v>
      </c>
      <c r="G64" t="s">
        <v>108</v>
      </c>
      <c r="H64" t="s">
        <v>70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Gobernador</v>
      </c>
    </row>
    <row r="65" spans="1:10" x14ac:dyDescent="0.35">
      <c r="A65" s="5">
        <v>46164</v>
      </c>
      <c r="B65" t="s">
        <v>79</v>
      </c>
      <c r="C65" s="6" t="s">
        <v>188</v>
      </c>
      <c r="D65" t="s">
        <v>12</v>
      </c>
      <c r="E65" t="s">
        <v>16</v>
      </c>
      <c r="F65" t="s">
        <v>189</v>
      </c>
      <c r="G65" t="s">
        <v>129</v>
      </c>
      <c r="H65" t="s">
        <v>11</v>
      </c>
      <c r="I65" t="str">
        <f>_xlfn.XLOOKUP(Tabla1[[#This Row],[Dependencia]],Tabla2[Dependencia],Tabla2[Clasificación],"No indexado")</f>
        <v>Alcaldías</v>
      </c>
      <c r="J65" t="str">
        <f>_xlfn.XLOOKUP(Tabla1[[#This Row],[Dependencia]],Tabla3[Dependencia],Tabla3[Nivel],"otros",0)</f>
        <v>otros</v>
      </c>
    </row>
    <row r="66" spans="1:10" x14ac:dyDescent="0.35">
      <c r="A66" s="5">
        <v>46164</v>
      </c>
      <c r="B66" t="s">
        <v>77</v>
      </c>
      <c r="C66" s="6" t="s">
        <v>190</v>
      </c>
      <c r="D66" t="s">
        <v>13</v>
      </c>
      <c r="E66" t="s">
        <v>10</v>
      </c>
      <c r="F66" t="s">
        <v>10</v>
      </c>
      <c r="G66" t="s">
        <v>191</v>
      </c>
      <c r="H66" t="s">
        <v>11</v>
      </c>
      <c r="I66" t="str">
        <f>_xlfn.XLOOKUP(Tabla1[[#This Row],[Dependencia]],Tabla2[Dependencia],Tabla2[Clasificación],"No indexado")</f>
        <v>Otros</v>
      </c>
      <c r="J66" t="str">
        <f>_xlfn.XLOOKUP(Tabla1[[#This Row],[Dependencia]],Tabla3[Dependencia],Tabla3[Nivel],"otros",0)</f>
        <v>otros</v>
      </c>
    </row>
    <row r="67" spans="1:10" ht="29" x14ac:dyDescent="0.35">
      <c r="A67" s="5">
        <v>46164</v>
      </c>
      <c r="B67" t="s">
        <v>77</v>
      </c>
      <c r="C67" s="6" t="s">
        <v>192</v>
      </c>
      <c r="D67" t="s">
        <v>12</v>
      </c>
      <c r="E67" t="s">
        <v>54</v>
      </c>
      <c r="F67" t="s">
        <v>2</v>
      </c>
      <c r="G67" t="s">
        <v>193</v>
      </c>
      <c r="H67" t="s">
        <v>70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ht="29" x14ac:dyDescent="0.35">
      <c r="A68" s="5">
        <v>46164</v>
      </c>
      <c r="B68" t="s">
        <v>77</v>
      </c>
      <c r="C68" s="6" t="s">
        <v>194</v>
      </c>
      <c r="D68" t="s">
        <v>12</v>
      </c>
      <c r="E68" t="s">
        <v>10</v>
      </c>
      <c r="F68" t="s">
        <v>10</v>
      </c>
      <c r="G68" t="s">
        <v>71</v>
      </c>
      <c r="H68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  <row r="69" spans="1:10" x14ac:dyDescent="0.35">
      <c r="A69" s="5">
        <v>46164</v>
      </c>
      <c r="B69" t="s">
        <v>77</v>
      </c>
      <c r="C69" s="6" t="s">
        <v>195</v>
      </c>
      <c r="D69" t="s">
        <v>12</v>
      </c>
      <c r="E69" t="s">
        <v>34</v>
      </c>
      <c r="F69" t="s">
        <v>34</v>
      </c>
      <c r="G69" t="s">
        <v>117</v>
      </c>
      <c r="H69" t="s">
        <v>11</v>
      </c>
      <c r="I69" t="str">
        <f>_xlfn.XLOOKUP(Tabla1[[#This Row],[Dependencia]],Tabla2[Dependencia],Tabla2[Clasificación],"No indexado")</f>
        <v>Otros</v>
      </c>
      <c r="J69" t="str">
        <f>_xlfn.XLOOKUP(Tabla1[[#This Row],[Dependencia]],Tabla3[Dependencia],Tabla3[Nivel],"otros",0)</f>
        <v>otros</v>
      </c>
    </row>
    <row r="70" spans="1:10" x14ac:dyDescent="0.35">
      <c r="A70" s="5">
        <v>46164</v>
      </c>
      <c r="B70" t="s">
        <v>77</v>
      </c>
      <c r="C70" s="6" t="s">
        <v>196</v>
      </c>
      <c r="D70" t="s">
        <v>12</v>
      </c>
      <c r="E70" t="s">
        <v>14</v>
      </c>
      <c r="F70" t="s">
        <v>14</v>
      </c>
      <c r="G70" t="s">
        <v>197</v>
      </c>
      <c r="H70" t="s">
        <v>11</v>
      </c>
      <c r="I70" t="str">
        <f>_xlfn.XLOOKUP(Tabla1[[#This Row],[Dependencia]],Tabla2[Dependencia],Tabla2[Clasificación],"No indexado")</f>
        <v>Presidencia de la República</v>
      </c>
      <c r="J7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2026-05-22T21:24:58Z</dcterms:modified>
</cp:coreProperties>
</file>