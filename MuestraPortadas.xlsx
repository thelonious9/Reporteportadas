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8DFCD130-9CA9-4B57-97D8-56D9DB2C9405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2" i="1"/>
  <c r="J2" i="1"/>
</calcChain>
</file>

<file path=xl/sharedStrings.xml><?xml version="1.0" encoding="utf-8"?>
<sst xmlns="http://schemas.openxmlformats.org/spreadsheetml/2006/main" count="629" uniqueCount="195">
  <si>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</si>
  <si>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</si>
  <si>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</si>
  <si>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</si>
  <si>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</si>
  <si>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</si>
  <si>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</si>
  <si>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</si>
  <si>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</si>
  <si>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</si>
  <si>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</si>
  <si>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</si>
  <si>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</si>
  <si>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</si>
  <si>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</si>
  <si>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</si>
  <si>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</si>
  <si>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</si>
  <si>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</si>
  <si>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</si>
  <si>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</si>
  <si>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</si>
  <si>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</si>
  <si>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</si>
  <si>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</si>
  <si>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</si>
  <si>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</si>
  <si>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</si>
  <si>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</si>
  <si>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</si>
  <si>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</si>
  <si>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</si>
  <si>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</si>
  <si>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</si>
  <si>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</si>
  <si>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</si>
  <si>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</si>
  <si>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</si>
  <si>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</si>
  <si>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</si>
  <si>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</si>
  <si>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</si>
  <si>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</si>
  <si>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</si>
  <si>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</si>
  <si>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</si>
  <si>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</si>
  <si>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</si>
  <si>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</si>
  <si>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</si>
  <si>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</si>
  <si>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</si>
  <si>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</si>
  <si>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</si>
  <si>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</si>
  <si>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</si>
  <si>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</si>
  <si>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</si>
  <si>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</si>
  <si>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</si>
  <si>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</si>
  <si>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</si>
  <si>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</si>
  <si>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</si>
  <si>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</si>
  <si>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</si>
  <si>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</si>
  <si>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</si>
  <si>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</si>
  <si>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</si>
  <si>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</si>
  <si>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</si>
  <si>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</si>
  <si>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Plaza Juárez</t>
  </si>
  <si>
    <t>Temas varios</t>
  </si>
  <si>
    <t>Pachuca Brilla</t>
  </si>
  <si>
    <t>Tauromaquia</t>
  </si>
  <si>
    <t>La Jornada Hidalgo</t>
  </si>
  <si>
    <t>OCSAD</t>
  </si>
  <si>
    <t>Mundial De Futbol</t>
  </si>
  <si>
    <t>Titulación</t>
  </si>
  <si>
    <t>Festival Cultural</t>
  </si>
  <si>
    <t>Aniversario de la transformación</t>
  </si>
  <si>
    <t>Deportes</t>
  </si>
  <si>
    <t>Plan B</t>
  </si>
  <si>
    <t>Alerta Meteorológica</t>
  </si>
  <si>
    <t>Señalan que no hay para cuando en la obra</t>
  </si>
  <si>
    <t>SICT</t>
  </si>
  <si>
    <t>Tren México Querétaro</t>
  </si>
  <si>
    <t>Conmemoran aniversario luctuoso de Jorge Márquez</t>
  </si>
  <si>
    <t>Aniversario luctuoso</t>
  </si>
  <si>
    <t>Prioriza defensa de la soberanía nacional</t>
  </si>
  <si>
    <t>Hasta siete mdp por una casa en la Bella Airosa</t>
  </si>
  <si>
    <t>Costo de vivienda</t>
  </si>
  <si>
    <t>Anuncian el último depósito de becas</t>
  </si>
  <si>
    <t>Becas</t>
  </si>
  <si>
    <t>El Universal Hidalgo</t>
  </si>
  <si>
    <t>Respaldan a la presidenta Claudia Sheinbaum en la lucha por la soberanía</t>
  </si>
  <si>
    <t>Defienden Santiagada</t>
  </si>
  <si>
    <t>Invadidos de lirio y moscos</t>
  </si>
  <si>
    <t>Conagua</t>
  </si>
  <si>
    <t>Presa Endhó</t>
  </si>
  <si>
    <t>Chofer se vuelve tendencia en web</t>
  </si>
  <si>
    <t>Modernización transporte público</t>
  </si>
  <si>
    <t>ANALIZA TSJEH P O ST E RG AC I Ó N Escanea este código y síguenos en las redes sociales de El Universal Hidalgo BA JO |3| RE SERVA DE ELECCIÓN</t>
  </si>
  <si>
    <t>Elección Judicial</t>
  </si>
  <si>
    <t>Criterio</t>
  </si>
  <si>
    <t>ABIERTA, POSIBILIDAD DE ALIANZA PANALH-MORENA</t>
  </si>
  <si>
    <t>Alianzas Electorales</t>
  </si>
  <si>
    <t>Señalan cambio de uso de suelo en el cerro de Cubitos</t>
  </si>
  <si>
    <t>Área Natural Protegida</t>
  </si>
  <si>
    <t>Desde hoy, el gobierno administra el Tuzobús</t>
  </si>
  <si>
    <t>Sitmah</t>
  </si>
  <si>
    <t>Modernización Tuzobús</t>
  </si>
  <si>
    <t>Morena llena Plaza Juárez en respaldo a Sheinbaum</t>
  </si>
  <si>
    <t>México revela su lista para el Mundial 2026</t>
  </si>
  <si>
    <t>“EXCELENTE”,  HACER ELECCIÓN  JUDICIAL HASTA  2028: ALADRO</t>
  </si>
  <si>
    <t>Los adversarios están en camino</t>
  </si>
  <si>
    <t>Sheinbaum llama a impedir que EU sea el gran elector en 2027</t>
  </si>
  <si>
    <t>Posar con un gato es mala idea para ligar</t>
  </si>
  <si>
    <t>Aumenta 87% comercio aéreo con China pese a los aranceles</t>
  </si>
  <si>
    <t>Temas internacionales</t>
  </si>
  <si>
    <t>Buscan que se reconozca a víctimas masculinas</t>
  </si>
  <si>
    <t>La lista de Aguirre</t>
  </si>
  <si>
    <t>Tuzobús: es de 722 mdp la inversión para renovar el sistema de transporte</t>
  </si>
  <si>
    <t>Prevén que desinsentivará el uso deiario del automóvil</t>
  </si>
  <si>
    <t>Gobierno prevé 100 mdp para estaciones del Tuzobús</t>
  </si>
  <si>
    <t>Con respaldo del pueblo, CSP rechaza presiones del extranjero y la derecha local</t>
  </si>
  <si>
    <t>Más de 10 mil escuchan a la presidenta</t>
  </si>
  <si>
    <t>Riña en penal de Culiacán deja siete muertos</t>
  </si>
  <si>
    <t>Riña en penal</t>
  </si>
  <si>
    <t>La “solución” planteada de revocar concesiones es apenas un parche  mediático que no atiende lo estructural. Mientras tanto, la titular de la  Secretaría de Movilidad y Transporte, Liz Robles, permanece omisa en sus  funciones, lo que también constituye un acto de corrupción”.</t>
  </si>
  <si>
    <t>Deficiencias transporte público</t>
  </si>
  <si>
    <t>Reconoce Menchaca papel de Sheinbaum frende a momentos difíciles para el país</t>
  </si>
  <si>
    <t>Obtienen bomberos de Pachuca certificación internacional en materia de rescate</t>
  </si>
  <si>
    <t>Certificación</t>
  </si>
  <si>
    <t>Audio para pedir apoyo en redes sociales fue sacado de contexto: Miguel Moreno</t>
  </si>
  <si>
    <t>Audioescándalo</t>
  </si>
  <si>
    <t>Reúne Hidalgo a estudiantes de 18 estados en concurso escolar</t>
  </si>
  <si>
    <t>Justa Académica</t>
  </si>
  <si>
    <t>Las hidalguenses y los hidalguenses estamos con usted"": Menchaca a Sheinbaum</t>
  </si>
  <si>
    <t>Se intensificaron reportes por fallas en servicio eléctrico en la cabecera</t>
  </si>
  <si>
    <t>CFE</t>
  </si>
  <si>
    <t>Falta de servicios públicos</t>
  </si>
  <si>
    <t>Fortalece personal del ISSSTE hávibos de higiene bucal</t>
  </si>
  <si>
    <t>ISSSTE</t>
  </si>
  <si>
    <t>Salud bucal</t>
  </si>
  <si>
    <t>TCNM realiza ceremonia de graduación y entrega de títulos profesionales</t>
  </si>
  <si>
    <t>Se venció el plazo de declaraciones patrimoniales</t>
  </si>
  <si>
    <t>Declaración patrimonial</t>
  </si>
  <si>
    <t>MC rechaza cambios a gubernatura de dos años</t>
  </si>
  <si>
    <t>Reforma Electoral</t>
  </si>
  <si>
    <t>La 4T de Hidalgo respalda a Sheinbaum</t>
  </si>
  <si>
    <t>Elección judicial en 2028: más eficiente y menos costosa</t>
  </si>
  <si>
    <t>Mantiene Hidalgo 26 fichas rojas activas</t>
  </si>
  <si>
    <t>Ficha De Búsqueda</t>
  </si>
  <si>
    <t>Pachuca descarta ampliar horarios en bares por Mundial</t>
  </si>
  <si>
    <t>Congreso aprueba reducción de regidurías en Hidalgo</t>
  </si>
  <si>
    <t>Marfeca</t>
  </si>
  <si>
    <t>Tren embiste a vehículo que intentó ganar el paso en Atitalaquia</t>
  </si>
  <si>
    <t>Cintillo</t>
  </si>
  <si>
    <t>Accidente Carretero</t>
  </si>
  <si>
    <t>Los hidalguenses estamos con usted: reitera Menchaca a Sheinbaum</t>
  </si>
  <si>
    <t>Bomberos de Pachuca obtienen certificación internacional y rescate fortalecen su capacidad de respuesta</t>
  </si>
  <si>
    <t>Por unanimidad, 99.18% de socios reeligen a Víctor Velázquez Rangel al frente de la Cruz Azul</t>
  </si>
  <si>
    <t>Cruz Azul</t>
  </si>
  <si>
    <t>Con inversión superior a los 2MDP arrancan 2 obras de drenaje sanitario en Atotonilco de Tula</t>
  </si>
  <si>
    <t>Drenaje</t>
  </si>
  <si>
    <t>Realizan 1a edición "Lucha Cafe", festival que mezcló el café, luchas y música de rock</t>
  </si>
  <si>
    <t>Hidalgo fortalece su promoción turística en el norte del país</t>
  </si>
  <si>
    <t>Promoción turística</t>
  </si>
  <si>
    <t>Bomberos de Atitalaquia comparten información preventiva por temporada de lluvias</t>
  </si>
  <si>
    <t>Prevención De Riesgos</t>
  </si>
  <si>
    <t>Becas del Citnova impulsan a especialistas para el sector productivo</t>
  </si>
  <si>
    <t>Citnova</t>
  </si>
  <si>
    <t>Becas De Posgrado</t>
  </si>
  <si>
    <t>Judocas Garza conquistan medallas en Certamen Nacional</t>
  </si>
  <si>
    <t>Justa Deportiva</t>
  </si>
  <si>
    <t>Drones</t>
  </si>
  <si>
    <t>Publicidad</t>
  </si>
  <si>
    <t>Videovigilancia</t>
  </si>
  <si>
    <t>Menchaca refrenda apoyo de Hidalgo a Sheinbaum</t>
  </si>
  <si>
    <t>Comienza nueva etapa del Tuzobús este lunes</t>
  </si>
  <si>
    <t>Anuncian a los 26 jugadores de la selecció mexicana</t>
  </si>
  <si>
    <t>BOMBEROS DE PACHUCA OBTIENEN CERTIFICACIÓN INTERNACIONAL DE RESCATE</t>
  </si>
  <si>
    <t>Seguridad Pública de Pachuca refuerza profesionalización en detección de vehículos clonados</t>
  </si>
  <si>
    <t>Profesionalización policial</t>
  </si>
  <si>
    <t>Impulso indígena</t>
  </si>
  <si>
    <t>Cedspi</t>
  </si>
  <si>
    <t>Sheinbaum defiende con dignidad los intereses de México""</t>
  </si>
  <si>
    <t>Claudia Sheinbaum: ""VAmos a defender la soberanía de México""</t>
  </si>
  <si>
    <t>Hoy inicia temporada de ciclones tropicales</t>
  </si>
  <si>
    <t>Rescatan cebaderos diversos acuerdos con Grupo Modelo</t>
  </si>
  <si>
    <t>Cebaderos</t>
  </si>
  <si>
    <t>Listos los 26 que representarán a México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</si>
</sst>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workbookViewId="0">
      <selection activeCell="H7" sqref="H7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46174</v>
      </c>
      <c r="B2" t="s">
        <v>68</v>
      </c>
      <c r="C2" s="6" t="s">
        <v>86</v>
      </c>
      <c r="D2" t="s">
        <v>12</v>
      </c>
      <c r="E2" t="s">
        <v>14</v>
      </c>
      <c r="F2" t="s">
        <v>87</v>
      </c>
      <c r="G2" t="s">
        <v>88</v>
      </c>
      <c r="H2" t="s">
        <v>70</v>
      </c>
      <c r="I2" t="str">
        <f>_xlfn.XLOOKUP(Tabla1[[#This Row],[Dependencia]],Tabla2[Dependencia],Tabla2[Clasificación],"No indexado")</f>
        <v>Presidencia de la República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46174</v>
      </c>
      <c r="B3" t="s">
        <v>68</v>
      </c>
      <c r="C3" s="6" t="s">
        <v>89</v>
      </c>
      <c r="D3" t="s">
        <v>12</v>
      </c>
      <c r="E3" t="s">
        <v>16</v>
      </c>
      <c r="F3" t="s">
        <v>16</v>
      </c>
      <c r="G3" t="s">
        <v>90</v>
      </c>
      <c r="H3" t="s">
        <v>11</v>
      </c>
      <c r="I3" t="str">
        <f>_xlfn.XLOOKUP(Tabla1[[#This Row],[Dependencia]],Tabla2[Dependencia],Tabla2[Clasificación],"No indexado")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46174</v>
      </c>
      <c r="B4" t="s">
        <v>68</v>
      </c>
      <c r="C4" s="6" t="s">
        <v>91</v>
      </c>
      <c r="D4" t="s">
        <v>13</v>
      </c>
      <c r="E4" t="s">
        <v>24</v>
      </c>
      <c r="F4" t="s">
        <v>24</v>
      </c>
      <c r="G4" t="s">
        <v>82</v>
      </c>
      <c r="H4" t="s">
        <v>69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Gobernador</v>
      </c>
    </row>
    <row r="5" spans="1:10" x14ac:dyDescent="0.25">
      <c r="A5" s="5">
        <v>46174</v>
      </c>
      <c r="B5" t="s">
        <v>68</v>
      </c>
      <c r="C5" s="6" t="s">
        <v>92</v>
      </c>
      <c r="D5" t="s">
        <v>12</v>
      </c>
      <c r="E5" t="s">
        <v>10</v>
      </c>
      <c r="F5" t="s">
        <v>10</v>
      </c>
      <c r="G5" t="s">
        <v>93</v>
      </c>
      <c r="H5" t="s">
        <v>70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46174</v>
      </c>
      <c r="B6" t="s">
        <v>68</v>
      </c>
      <c r="C6" s="6" t="s">
        <v>94</v>
      </c>
      <c r="D6" t="s">
        <v>12</v>
      </c>
      <c r="E6" t="s">
        <v>25</v>
      </c>
      <c r="F6" t="s">
        <v>25</v>
      </c>
      <c r="G6" t="s">
        <v>95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ht="30" x14ac:dyDescent="0.25">
      <c r="A7" s="5">
        <v>46174</v>
      </c>
      <c r="B7" t="s">
        <v>96</v>
      </c>
      <c r="C7" s="6" t="s">
        <v>97</v>
      </c>
      <c r="D7" t="s">
        <v>13</v>
      </c>
      <c r="E7" t="s">
        <v>24</v>
      </c>
      <c r="F7" t="s">
        <v>24</v>
      </c>
      <c r="G7" t="s">
        <v>82</v>
      </c>
      <c r="H7" t="s">
        <v>69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25">
      <c r="A8" s="5">
        <v>46174</v>
      </c>
      <c r="B8" t="s">
        <v>96</v>
      </c>
      <c r="C8" s="6" t="s">
        <v>98</v>
      </c>
      <c r="D8" t="s">
        <v>9</v>
      </c>
      <c r="E8" t="s">
        <v>16</v>
      </c>
      <c r="F8" t="s">
        <v>16</v>
      </c>
      <c r="G8" t="s">
        <v>76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46174</v>
      </c>
      <c r="B9" t="s">
        <v>96</v>
      </c>
      <c r="C9" s="6" t="s">
        <v>99</v>
      </c>
      <c r="D9" t="s">
        <v>12</v>
      </c>
      <c r="E9" t="s">
        <v>14</v>
      </c>
      <c r="F9" t="s">
        <v>100</v>
      </c>
      <c r="G9" t="s">
        <v>101</v>
      </c>
      <c r="H9" t="s">
        <v>70</v>
      </c>
      <c r="I9" t="str">
        <f>_xlfn.XLOOKUP(Tabla1[[#This Row],[Dependencia]],Tabla2[Dependencia],Tabla2[Clasificación],"No indexado")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25">
      <c r="A10" s="5">
        <v>46174</v>
      </c>
      <c r="B10" t="s">
        <v>96</v>
      </c>
      <c r="C10" s="6" t="s">
        <v>102</v>
      </c>
      <c r="D10" t="s">
        <v>12</v>
      </c>
      <c r="E10" t="s">
        <v>10</v>
      </c>
      <c r="F10" t="s">
        <v>10</v>
      </c>
      <c r="G10" t="s">
        <v>103</v>
      </c>
      <c r="H10" t="s">
        <v>69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ht="45" x14ac:dyDescent="0.25">
      <c r="A11" s="5">
        <v>46174</v>
      </c>
      <c r="B11" t="s">
        <v>96</v>
      </c>
      <c r="C11" s="6" t="s">
        <v>104</v>
      </c>
      <c r="D11" t="s">
        <v>12</v>
      </c>
      <c r="E11" t="s">
        <v>58</v>
      </c>
      <c r="F11" t="s">
        <v>58</v>
      </c>
      <c r="G11" t="s">
        <v>105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46174</v>
      </c>
      <c r="B12" t="s">
        <v>106</v>
      </c>
      <c r="C12" s="6" t="s">
        <v>107</v>
      </c>
      <c r="D12" t="s">
        <v>12</v>
      </c>
      <c r="E12" t="s">
        <v>46</v>
      </c>
      <c r="F12" t="s">
        <v>46</v>
      </c>
      <c r="G12" t="s">
        <v>108</v>
      </c>
      <c r="H12" t="s">
        <v>11</v>
      </c>
      <c r="I12" t="str">
        <f>_xlfn.XLOOKUP(Tabla1[[#This Row],[Dependencia]],Tabla2[Dependencia],Tabla2[Clasificación],"No indexado")</f>
        <v>Partidos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46174</v>
      </c>
      <c r="B13" t="s">
        <v>106</v>
      </c>
      <c r="C13" s="6" t="s">
        <v>109</v>
      </c>
      <c r="D13" t="s">
        <v>12</v>
      </c>
      <c r="E13" t="s">
        <v>16</v>
      </c>
      <c r="F13" t="s">
        <v>16</v>
      </c>
      <c r="G13" t="s">
        <v>110</v>
      </c>
      <c r="H13" t="s">
        <v>70</v>
      </c>
      <c r="I13" t="str">
        <f>_xlfn.XLOOKUP(Tabla1[[#This Row],[Dependencia]],Tabla2[Dependencia],Tabla2[Clasificación],"No indexado")</f>
        <v>Alcaldías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46174</v>
      </c>
      <c r="B14" t="s">
        <v>106</v>
      </c>
      <c r="C14" s="6" t="s">
        <v>111</v>
      </c>
      <c r="D14" t="s">
        <v>13</v>
      </c>
      <c r="E14" t="s">
        <v>27</v>
      </c>
      <c r="F14" t="s">
        <v>112</v>
      </c>
      <c r="G14" t="s">
        <v>113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5">
        <v>46174</v>
      </c>
      <c r="B15" t="s">
        <v>106</v>
      </c>
      <c r="C15" s="6" t="s">
        <v>114</v>
      </c>
      <c r="D15" t="s">
        <v>9</v>
      </c>
      <c r="E15" t="s">
        <v>18</v>
      </c>
      <c r="F15" t="s">
        <v>18</v>
      </c>
      <c r="G15" t="s">
        <v>82</v>
      </c>
      <c r="H15" t="s">
        <v>11</v>
      </c>
      <c r="I15" t="str">
        <f>_xlfn.XLOOKUP(Tabla1[[#This Row],[Dependencia]],Tabla2[Dependencia],Tabla2[Clasificación],"No indexado")</f>
        <v>Partidos</v>
      </c>
      <c r="J15" t="str">
        <f>_xlfn.XLOOKUP(Tabla1[[#This Row],[Dependencia]],Tabla3[Dependencia],Tabla3[Nivel],"otros",0)</f>
        <v>otros</v>
      </c>
    </row>
    <row r="16" spans="1:10" x14ac:dyDescent="0.25">
      <c r="A16" s="5">
        <v>46174</v>
      </c>
      <c r="B16" t="s">
        <v>106</v>
      </c>
      <c r="C16" s="6" t="s">
        <v>115</v>
      </c>
      <c r="D16" t="s">
        <v>12</v>
      </c>
      <c r="E16" t="s">
        <v>10</v>
      </c>
      <c r="F16" t="s">
        <v>10</v>
      </c>
      <c r="G16" t="s">
        <v>83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5">
        <v>46174</v>
      </c>
      <c r="B17" t="s">
        <v>106</v>
      </c>
      <c r="C17" s="6" t="s">
        <v>116</v>
      </c>
      <c r="D17" t="s">
        <v>12</v>
      </c>
      <c r="E17" t="s">
        <v>58</v>
      </c>
      <c r="F17" t="s">
        <v>2</v>
      </c>
      <c r="G17" t="s">
        <v>105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46174</v>
      </c>
      <c r="B18" t="s">
        <v>106</v>
      </c>
      <c r="C18" s="6" t="s">
        <v>117</v>
      </c>
      <c r="D18" t="s">
        <v>12</v>
      </c>
      <c r="E18" t="s">
        <v>10</v>
      </c>
      <c r="F18" t="s">
        <v>10</v>
      </c>
      <c r="G18" t="s">
        <v>83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46174</v>
      </c>
      <c r="B19" t="s">
        <v>67</v>
      </c>
      <c r="C19" s="6" t="s">
        <v>118</v>
      </c>
      <c r="D19" t="s">
        <v>13</v>
      </c>
      <c r="E19" t="s">
        <v>14</v>
      </c>
      <c r="F19" t="s">
        <v>14</v>
      </c>
      <c r="G19" t="s">
        <v>82</v>
      </c>
      <c r="H19" t="s">
        <v>11</v>
      </c>
      <c r="I19" t="str">
        <f>_xlfn.XLOOKUP(Tabla1[[#This Row],[Dependencia]],Tabla2[Dependencia],Tabla2[Clasificación],"No indexado")</f>
        <v>Presidencia de la República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46174</v>
      </c>
      <c r="B20" t="s">
        <v>67</v>
      </c>
      <c r="C20" s="6" t="s">
        <v>119</v>
      </c>
      <c r="D20" t="s">
        <v>12</v>
      </c>
      <c r="E20" t="s">
        <v>10</v>
      </c>
      <c r="F20" t="s">
        <v>10</v>
      </c>
      <c r="G20" t="s">
        <v>74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5">
        <v>46174</v>
      </c>
      <c r="B21" t="s">
        <v>67</v>
      </c>
      <c r="C21" s="6" t="s">
        <v>120</v>
      </c>
      <c r="D21" t="s">
        <v>12</v>
      </c>
      <c r="E21" t="s">
        <v>10</v>
      </c>
      <c r="F21" t="s">
        <v>10</v>
      </c>
      <c r="G21" t="s">
        <v>121</v>
      </c>
      <c r="H21" t="s">
        <v>69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5">
        <v>46174</v>
      </c>
      <c r="B22" t="s">
        <v>67</v>
      </c>
      <c r="C22" s="6" t="s">
        <v>122</v>
      </c>
      <c r="D22" t="s">
        <v>12</v>
      </c>
      <c r="E22" t="s">
        <v>10</v>
      </c>
      <c r="F22" t="s">
        <v>10</v>
      </c>
      <c r="G22" t="s">
        <v>74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46174</v>
      </c>
      <c r="B23" t="s">
        <v>67</v>
      </c>
      <c r="C23" s="6" t="s">
        <v>123</v>
      </c>
      <c r="D23" t="s">
        <v>12</v>
      </c>
      <c r="E23" t="s">
        <v>10</v>
      </c>
      <c r="F23" t="s">
        <v>10</v>
      </c>
      <c r="G23" t="s">
        <v>83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46174</v>
      </c>
      <c r="B24" t="s">
        <v>67</v>
      </c>
      <c r="C24" s="6" t="s">
        <v>124</v>
      </c>
      <c r="D24" t="s">
        <v>12</v>
      </c>
      <c r="E24" t="s">
        <v>27</v>
      </c>
      <c r="F24" t="s">
        <v>112</v>
      </c>
      <c r="G24" t="s">
        <v>113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5">
        <v>46174</v>
      </c>
      <c r="B25" t="s">
        <v>67</v>
      </c>
      <c r="C25" s="6" t="s">
        <v>125</v>
      </c>
      <c r="D25" t="s">
        <v>12</v>
      </c>
      <c r="E25" t="s">
        <v>27</v>
      </c>
      <c r="F25" t="s">
        <v>112</v>
      </c>
      <c r="G25" t="s">
        <v>113</v>
      </c>
      <c r="H25" t="s">
        <v>69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5">
        <v>46174</v>
      </c>
      <c r="B26" t="s">
        <v>77</v>
      </c>
      <c r="C26" s="6" t="s">
        <v>126</v>
      </c>
      <c r="D26" t="s">
        <v>12</v>
      </c>
      <c r="E26" t="s">
        <v>24</v>
      </c>
      <c r="F26" t="s">
        <v>24</v>
      </c>
      <c r="G26" t="s">
        <v>113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Gobernador</v>
      </c>
    </row>
    <row r="27" spans="1:10" ht="30" x14ac:dyDescent="0.25">
      <c r="A27" s="5">
        <v>46174</v>
      </c>
      <c r="B27" t="s">
        <v>77</v>
      </c>
      <c r="C27" s="6" t="s">
        <v>127</v>
      </c>
      <c r="D27" t="s">
        <v>13</v>
      </c>
      <c r="E27" t="s">
        <v>14</v>
      </c>
      <c r="F27" t="s">
        <v>14</v>
      </c>
      <c r="G27" t="s">
        <v>82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46174</v>
      </c>
      <c r="B28" t="s">
        <v>77</v>
      </c>
      <c r="C28" s="6" t="s">
        <v>128</v>
      </c>
      <c r="D28" t="s">
        <v>9</v>
      </c>
      <c r="E28" t="s">
        <v>24</v>
      </c>
      <c r="F28" t="s">
        <v>24</v>
      </c>
      <c r="G28" t="s">
        <v>82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Gobernador</v>
      </c>
    </row>
    <row r="29" spans="1:10" x14ac:dyDescent="0.25">
      <c r="A29" s="5">
        <v>46174</v>
      </c>
      <c r="B29" t="s">
        <v>77</v>
      </c>
      <c r="C29" s="6" t="s">
        <v>129</v>
      </c>
      <c r="D29" t="s">
        <v>12</v>
      </c>
      <c r="E29" t="s">
        <v>14</v>
      </c>
      <c r="F29" t="s">
        <v>14</v>
      </c>
      <c r="G29" t="s">
        <v>130</v>
      </c>
      <c r="H29" t="s">
        <v>70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ht="90" x14ac:dyDescent="0.25">
      <c r="A30" s="5">
        <v>46174</v>
      </c>
      <c r="B30" t="s">
        <v>77</v>
      </c>
      <c r="C30" s="6" t="s">
        <v>131</v>
      </c>
      <c r="D30" t="s">
        <v>12</v>
      </c>
      <c r="E30" t="s">
        <v>27</v>
      </c>
      <c r="F30" t="s">
        <v>2</v>
      </c>
      <c r="G30" t="s">
        <v>132</v>
      </c>
      <c r="H30" t="s">
        <v>70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46174</v>
      </c>
      <c r="B31" t="s">
        <v>72</v>
      </c>
      <c r="C31" s="6" t="s">
        <v>133</v>
      </c>
      <c r="D31" t="s">
        <v>13</v>
      </c>
      <c r="E31" t="s">
        <v>24</v>
      </c>
      <c r="F31" t="s">
        <v>24</v>
      </c>
      <c r="G31" t="s">
        <v>82</v>
      </c>
      <c r="H31" t="s">
        <v>69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Gobernador</v>
      </c>
    </row>
    <row r="32" spans="1:10" ht="30" x14ac:dyDescent="0.25">
      <c r="A32" s="5">
        <v>46174</v>
      </c>
      <c r="B32" t="s">
        <v>72</v>
      </c>
      <c r="C32" s="6" t="s">
        <v>134</v>
      </c>
      <c r="D32" t="s">
        <v>12</v>
      </c>
      <c r="E32" t="s">
        <v>16</v>
      </c>
      <c r="F32" t="s">
        <v>16</v>
      </c>
      <c r="G32" t="s">
        <v>135</v>
      </c>
      <c r="H32" t="s">
        <v>69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ht="30" x14ac:dyDescent="0.25">
      <c r="A33" s="5">
        <v>46174</v>
      </c>
      <c r="B33" t="s">
        <v>72</v>
      </c>
      <c r="C33" s="6" t="s">
        <v>136</v>
      </c>
      <c r="D33" t="s">
        <v>12</v>
      </c>
      <c r="E33" t="s">
        <v>16</v>
      </c>
      <c r="F33" t="s">
        <v>16</v>
      </c>
      <c r="G33" t="s">
        <v>137</v>
      </c>
      <c r="H33" t="s">
        <v>11</v>
      </c>
      <c r="I33" t="str">
        <f>_xlfn.XLOOKUP(Tabla1[[#This Row],[Dependencia]],Tabla2[Dependencia],Tabla2[Clasificación],"No indexado")</f>
        <v>Alcaldías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46174</v>
      </c>
      <c r="B34" t="s">
        <v>72</v>
      </c>
      <c r="C34" s="6" t="s">
        <v>138</v>
      </c>
      <c r="D34" t="s">
        <v>12</v>
      </c>
      <c r="E34" t="s">
        <v>26</v>
      </c>
      <c r="F34" t="s">
        <v>26</v>
      </c>
      <c r="G34" t="s">
        <v>139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46174</v>
      </c>
      <c r="B35" t="s">
        <v>71</v>
      </c>
      <c r="C35" s="6" t="s">
        <v>140</v>
      </c>
      <c r="D35" t="s">
        <v>13</v>
      </c>
      <c r="E35" t="s">
        <v>24</v>
      </c>
      <c r="F35" t="s">
        <v>24</v>
      </c>
      <c r="G35" t="s">
        <v>82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ht="30" x14ac:dyDescent="0.25">
      <c r="A36" s="5">
        <v>46174</v>
      </c>
      <c r="B36" t="s">
        <v>71</v>
      </c>
      <c r="C36" s="6" t="s">
        <v>141</v>
      </c>
      <c r="D36" t="s">
        <v>12</v>
      </c>
      <c r="E36" t="s">
        <v>14</v>
      </c>
      <c r="F36" t="s">
        <v>142</v>
      </c>
      <c r="G36" t="s">
        <v>143</v>
      </c>
      <c r="H36" t="s">
        <v>70</v>
      </c>
      <c r="I36" t="str">
        <f>_xlfn.XLOOKUP(Tabla1[[#This Row],[Dependencia]],Tabla2[Dependencia],Tabla2[Clasificación],"No indexado")</f>
        <v>Presidencia de la República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46174</v>
      </c>
      <c r="B37" t="s">
        <v>71</v>
      </c>
      <c r="C37" s="6" t="s">
        <v>144</v>
      </c>
      <c r="D37" t="s">
        <v>12</v>
      </c>
      <c r="E37" t="s">
        <v>14</v>
      </c>
      <c r="F37" t="s">
        <v>145</v>
      </c>
      <c r="G37" t="s">
        <v>146</v>
      </c>
      <c r="H37" t="s">
        <v>11</v>
      </c>
      <c r="I37" t="str">
        <f>_xlfn.XLOOKUP(Tabla1[[#This Row],[Dependencia]],Tabla2[Dependencia],Tabla2[Clasificación],"No indexado")</f>
        <v>Presidencia de la República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46174</v>
      </c>
      <c r="B38" t="s">
        <v>71</v>
      </c>
      <c r="C38" s="6" t="s">
        <v>147</v>
      </c>
      <c r="D38" t="s">
        <v>12</v>
      </c>
      <c r="E38" t="s">
        <v>10</v>
      </c>
      <c r="F38" t="s">
        <v>10</v>
      </c>
      <c r="G38" t="s">
        <v>80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46174</v>
      </c>
      <c r="B39" t="s">
        <v>71</v>
      </c>
      <c r="C39" s="6" t="s">
        <v>148</v>
      </c>
      <c r="D39" t="s">
        <v>12</v>
      </c>
      <c r="E39" t="s">
        <v>34</v>
      </c>
      <c r="F39" t="s">
        <v>34</v>
      </c>
      <c r="G39" t="s">
        <v>149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5">
        <v>46174</v>
      </c>
      <c r="B40" t="s">
        <v>71</v>
      </c>
      <c r="C40" s="6" t="s">
        <v>150</v>
      </c>
      <c r="D40" t="s">
        <v>12</v>
      </c>
      <c r="E40" t="s">
        <v>43</v>
      </c>
      <c r="F40" t="s">
        <v>43</v>
      </c>
      <c r="G40" t="s">
        <v>151</v>
      </c>
      <c r="H40" t="s">
        <v>11</v>
      </c>
      <c r="I40" t="str">
        <f>_xlfn.XLOOKUP(Tabla1[[#This Row],[Dependencia]],Tabla2[Dependencia],Tabla2[Clasificación],"No indexado")</f>
        <v>Partidos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46174</v>
      </c>
      <c r="B41" t="s">
        <v>71</v>
      </c>
      <c r="C41" s="6" t="s">
        <v>152</v>
      </c>
      <c r="D41" t="s">
        <v>13</v>
      </c>
      <c r="E41" t="s">
        <v>24</v>
      </c>
      <c r="F41" t="s">
        <v>24</v>
      </c>
      <c r="G41" t="s">
        <v>82</v>
      </c>
      <c r="H41" t="s">
        <v>69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Gobernador</v>
      </c>
    </row>
    <row r="42" spans="1:10" ht="30" x14ac:dyDescent="0.25">
      <c r="A42" s="5">
        <v>46174</v>
      </c>
      <c r="B42" t="s">
        <v>71</v>
      </c>
      <c r="C42" s="6" t="s">
        <v>153</v>
      </c>
      <c r="D42" t="s">
        <v>12</v>
      </c>
      <c r="E42" t="s">
        <v>58</v>
      </c>
      <c r="F42" t="s">
        <v>2</v>
      </c>
      <c r="G42" t="s">
        <v>105</v>
      </c>
      <c r="H42" t="s">
        <v>11</v>
      </c>
      <c r="I42" t="str">
        <f>_xlfn.XLOOKUP(Tabla1[[#This Row],[Dependencia]],Tabla2[Dependencia],Tabla2[Clasificación],"No indexado")</f>
        <v>Otros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46174</v>
      </c>
      <c r="B43" t="s">
        <v>71</v>
      </c>
      <c r="C43" s="6" t="s">
        <v>154</v>
      </c>
      <c r="D43" t="s">
        <v>12</v>
      </c>
      <c r="E43" t="s">
        <v>17</v>
      </c>
      <c r="F43" t="s">
        <v>17</v>
      </c>
      <c r="G43" t="s">
        <v>155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5">
        <v>46174</v>
      </c>
      <c r="B44" t="s">
        <v>71</v>
      </c>
      <c r="C44" s="6" t="s">
        <v>156</v>
      </c>
      <c r="D44" t="s">
        <v>12</v>
      </c>
      <c r="E44" t="s">
        <v>16</v>
      </c>
      <c r="F44" t="s">
        <v>16</v>
      </c>
      <c r="G44" t="s">
        <v>79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46174</v>
      </c>
      <c r="B45" t="s">
        <v>71</v>
      </c>
      <c r="C45" s="6" t="s">
        <v>157</v>
      </c>
      <c r="D45" t="s">
        <v>12</v>
      </c>
      <c r="E45" t="s">
        <v>33</v>
      </c>
      <c r="F45" t="s">
        <v>33</v>
      </c>
      <c r="G45" t="s">
        <v>84</v>
      </c>
      <c r="H45" t="s">
        <v>11</v>
      </c>
      <c r="I45" t="str">
        <f>_xlfn.XLOOKUP(Tabla1[[#This Row],[Dependencia]],Tabla2[Dependencia],Tabla2[Clasificación],"No indexado")</f>
        <v>Otros</v>
      </c>
      <c r="J45" t="str">
        <f>_xlfn.XLOOKUP(Tabla1[[#This Row],[Dependencia]],Tabla3[Dependencia],Tabla3[Nivel],"otros",0)</f>
        <v>otros</v>
      </c>
    </row>
    <row r="46" spans="1:10" ht="30" x14ac:dyDescent="0.25">
      <c r="A46" s="5">
        <v>46174</v>
      </c>
      <c r="B46" t="s">
        <v>158</v>
      </c>
      <c r="C46" s="6" t="s">
        <v>159</v>
      </c>
      <c r="D46" t="s">
        <v>160</v>
      </c>
      <c r="E46" t="s">
        <v>10</v>
      </c>
      <c r="F46" t="s">
        <v>10</v>
      </c>
      <c r="G46" t="s">
        <v>161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ht="30" x14ac:dyDescent="0.25">
      <c r="A47" s="5">
        <v>46174</v>
      </c>
      <c r="B47" t="s">
        <v>158</v>
      </c>
      <c r="C47" s="6" t="s">
        <v>162</v>
      </c>
      <c r="D47" t="s">
        <v>13</v>
      </c>
      <c r="E47" t="s">
        <v>24</v>
      </c>
      <c r="F47" t="s">
        <v>24</v>
      </c>
      <c r="G47" t="s">
        <v>82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Gobernador</v>
      </c>
    </row>
    <row r="48" spans="1:10" ht="45" x14ac:dyDescent="0.25">
      <c r="A48" s="5">
        <v>46174</v>
      </c>
      <c r="B48" t="s">
        <v>158</v>
      </c>
      <c r="C48" s="6" t="s">
        <v>163</v>
      </c>
      <c r="D48" t="s">
        <v>12</v>
      </c>
      <c r="E48" t="s">
        <v>16</v>
      </c>
      <c r="F48" t="s">
        <v>16</v>
      </c>
      <c r="G48" t="s">
        <v>135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5">
        <v>46174</v>
      </c>
      <c r="B49" t="s">
        <v>158</v>
      </c>
      <c r="C49" s="6" t="s">
        <v>164</v>
      </c>
      <c r="D49" t="s">
        <v>12</v>
      </c>
      <c r="E49" t="s">
        <v>10</v>
      </c>
      <c r="F49" t="s">
        <v>10</v>
      </c>
      <c r="G49" t="s">
        <v>165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46174</v>
      </c>
      <c r="B50" t="s">
        <v>158</v>
      </c>
      <c r="C50" s="6" t="s">
        <v>166</v>
      </c>
      <c r="D50" t="s">
        <v>12</v>
      </c>
      <c r="E50" t="s">
        <v>16</v>
      </c>
      <c r="F50" t="s">
        <v>16</v>
      </c>
      <c r="G50" t="s">
        <v>167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46174</v>
      </c>
      <c r="B51" t="s">
        <v>158</v>
      </c>
      <c r="C51" s="6" t="s">
        <v>168</v>
      </c>
      <c r="D51" t="s">
        <v>12</v>
      </c>
      <c r="E51" t="s">
        <v>16</v>
      </c>
      <c r="F51" t="s">
        <v>16</v>
      </c>
      <c r="G51" t="s">
        <v>81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46174</v>
      </c>
      <c r="B52" t="s">
        <v>158</v>
      </c>
      <c r="C52" s="6" t="s">
        <v>169</v>
      </c>
      <c r="D52" t="s">
        <v>12</v>
      </c>
      <c r="E52" t="s">
        <v>29</v>
      </c>
      <c r="F52" t="s">
        <v>29</v>
      </c>
      <c r="G52" t="s">
        <v>170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5">
        <v>46174</v>
      </c>
      <c r="B53" t="s">
        <v>158</v>
      </c>
      <c r="C53" s="6" t="s">
        <v>171</v>
      </c>
      <c r="D53" t="s">
        <v>12</v>
      </c>
      <c r="E53" t="s">
        <v>16</v>
      </c>
      <c r="F53" t="s">
        <v>16</v>
      </c>
      <c r="G53" t="s">
        <v>172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46174</v>
      </c>
      <c r="B54" t="s">
        <v>158</v>
      </c>
      <c r="C54" s="6" t="s">
        <v>173</v>
      </c>
      <c r="D54" t="s">
        <v>12</v>
      </c>
      <c r="E54" t="s">
        <v>47</v>
      </c>
      <c r="F54" t="s">
        <v>174</v>
      </c>
      <c r="G54" t="s">
        <v>175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46174</v>
      </c>
      <c r="B55" t="s">
        <v>158</v>
      </c>
      <c r="C55" s="6" t="s">
        <v>176</v>
      </c>
      <c r="D55" t="s">
        <v>12</v>
      </c>
      <c r="E55" t="s">
        <v>59</v>
      </c>
      <c r="F55" t="s">
        <v>59</v>
      </c>
      <c r="G55" t="s">
        <v>177</v>
      </c>
      <c r="H55" t="s">
        <v>69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x14ac:dyDescent="0.25">
      <c r="A56" s="5">
        <v>46174</v>
      </c>
      <c r="B56" t="s">
        <v>158</v>
      </c>
      <c r="C56" s="6" t="s">
        <v>178</v>
      </c>
      <c r="D56" t="s">
        <v>179</v>
      </c>
      <c r="E56" t="s">
        <v>16</v>
      </c>
      <c r="F56" t="s">
        <v>16</v>
      </c>
      <c r="G56" t="s">
        <v>180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5">
        <v>46174</v>
      </c>
      <c r="B57" t="s">
        <v>75</v>
      </c>
      <c r="C57" s="6" t="s">
        <v>181</v>
      </c>
      <c r="D57" t="s">
        <v>13</v>
      </c>
      <c r="E57" t="s">
        <v>24</v>
      </c>
      <c r="F57" t="s">
        <v>24</v>
      </c>
      <c r="G57" t="s">
        <v>82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Gobernador</v>
      </c>
    </row>
    <row r="58" spans="1:10" x14ac:dyDescent="0.25">
      <c r="A58" s="5">
        <v>46174</v>
      </c>
      <c r="B58" t="s">
        <v>75</v>
      </c>
      <c r="C58" s="6" t="s">
        <v>182</v>
      </c>
      <c r="D58" t="s">
        <v>12</v>
      </c>
      <c r="E58" t="s">
        <v>27</v>
      </c>
      <c r="F58" t="s">
        <v>112</v>
      </c>
      <c r="G58" t="s">
        <v>113</v>
      </c>
      <c r="H58" t="s">
        <v>69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25">
      <c r="A59" s="5">
        <v>46174</v>
      </c>
      <c r="B59" t="s">
        <v>75</v>
      </c>
      <c r="C59" s="6" t="s">
        <v>183</v>
      </c>
      <c r="D59" t="s">
        <v>12</v>
      </c>
      <c r="E59" t="s">
        <v>10</v>
      </c>
      <c r="F59" t="s">
        <v>10</v>
      </c>
      <c r="G59" t="s">
        <v>83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5">
        <v>46174</v>
      </c>
      <c r="B60" t="s">
        <v>75</v>
      </c>
      <c r="C60" s="6" t="s">
        <v>184</v>
      </c>
      <c r="D60" t="s">
        <v>12</v>
      </c>
      <c r="E60" t="s">
        <v>16</v>
      </c>
      <c r="F60" t="s">
        <v>16</v>
      </c>
      <c r="G60" t="s">
        <v>135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46174</v>
      </c>
      <c r="B61" t="s">
        <v>75</v>
      </c>
      <c r="C61" s="6" t="s">
        <v>185</v>
      </c>
      <c r="D61" t="s">
        <v>12</v>
      </c>
      <c r="E61" t="s">
        <v>16</v>
      </c>
      <c r="F61" t="s">
        <v>16</v>
      </c>
      <c r="G61" t="s">
        <v>186</v>
      </c>
      <c r="H61" t="s">
        <v>11</v>
      </c>
      <c r="I61" t="str">
        <f>_xlfn.XLOOKUP(Tabla1[[#This Row],[Dependencia]],Tabla2[Dependencia],Tabla2[Clasificación],"No indexado")</f>
        <v>Alcaldías</v>
      </c>
      <c r="J61" t="str">
        <f>_xlfn.XLOOKUP(Tabla1[[#This Row],[Dependencia]],Tabla3[Dependencia],Tabla3[Nivel],"otros",0)</f>
        <v>otros</v>
      </c>
    </row>
    <row r="62" spans="1:10" x14ac:dyDescent="0.25">
      <c r="A62" s="5">
        <v>46174</v>
      </c>
      <c r="B62" t="s">
        <v>75</v>
      </c>
      <c r="C62" s="6" t="s">
        <v>187</v>
      </c>
      <c r="D62" t="s">
        <v>12</v>
      </c>
      <c r="E62" t="s">
        <v>47</v>
      </c>
      <c r="F62" t="s">
        <v>188</v>
      </c>
      <c r="G62" t="s">
        <v>79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25">
      <c r="A63" s="5">
        <v>46174</v>
      </c>
      <c r="B63" t="s">
        <v>75</v>
      </c>
      <c r="C63" s="6" t="s">
        <v>178</v>
      </c>
      <c r="D63" t="s">
        <v>179</v>
      </c>
      <c r="E63" t="s">
        <v>16</v>
      </c>
      <c r="F63" t="s">
        <v>16</v>
      </c>
      <c r="G63" t="s">
        <v>180</v>
      </c>
      <c r="H63" t="s">
        <v>11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ht="30" x14ac:dyDescent="0.25">
      <c r="A64" s="5">
        <v>46174</v>
      </c>
      <c r="B64" t="s">
        <v>73</v>
      </c>
      <c r="C64" s="6" t="s">
        <v>189</v>
      </c>
      <c r="D64" t="s">
        <v>13</v>
      </c>
      <c r="E64" t="s">
        <v>24</v>
      </c>
      <c r="F64" t="s">
        <v>24</v>
      </c>
      <c r="G64" t="s">
        <v>82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Gobernador</v>
      </c>
    </row>
    <row r="65" spans="1:10" ht="30" x14ac:dyDescent="0.25">
      <c r="A65" s="5">
        <v>46174</v>
      </c>
      <c r="B65" t="s">
        <v>73</v>
      </c>
      <c r="C65" s="6" t="s">
        <v>190</v>
      </c>
      <c r="D65" t="s">
        <v>12</v>
      </c>
      <c r="E65" t="s">
        <v>14</v>
      </c>
      <c r="F65" t="s">
        <v>14</v>
      </c>
      <c r="G65" t="s">
        <v>82</v>
      </c>
      <c r="H65" t="s">
        <v>11</v>
      </c>
      <c r="I65" t="str">
        <f>_xlfn.XLOOKUP(Tabla1[[#This Row],[Dependencia]],Tabla2[Dependencia],Tabla2[Clasificación],"No indexado")</f>
        <v>Presidencia de la República</v>
      </c>
      <c r="J65" t="str">
        <f>_xlfn.XLOOKUP(Tabla1[[#This Row],[Dependencia]],Tabla3[Dependencia],Tabla3[Nivel],"otros",0)</f>
        <v>otros</v>
      </c>
    </row>
    <row r="66" spans="1:10" x14ac:dyDescent="0.25">
      <c r="A66" s="5">
        <v>46174</v>
      </c>
      <c r="B66" t="s">
        <v>73</v>
      </c>
      <c r="C66" s="6" t="s">
        <v>191</v>
      </c>
      <c r="D66" t="s">
        <v>12</v>
      </c>
      <c r="E66" t="s">
        <v>10</v>
      </c>
      <c r="F66" t="s">
        <v>10</v>
      </c>
      <c r="G66" t="s">
        <v>85</v>
      </c>
      <c r="H66" t="s">
        <v>11</v>
      </c>
      <c r="I66" t="str">
        <f>_xlfn.XLOOKUP(Tabla1[[#This Row],[Dependencia]],Tabla2[Dependencia],Tabla2[Clasificación],"No indexado")</f>
        <v>Otros</v>
      </c>
      <c r="J66" t="str">
        <f>_xlfn.XLOOKUP(Tabla1[[#This Row],[Dependencia]],Tabla3[Dependencia],Tabla3[Nivel],"otros",0)</f>
        <v>otros</v>
      </c>
    </row>
    <row r="67" spans="1:10" ht="30" x14ac:dyDescent="0.25">
      <c r="A67" s="5">
        <v>46174</v>
      </c>
      <c r="B67" t="s">
        <v>73</v>
      </c>
      <c r="C67" s="6" t="s">
        <v>192</v>
      </c>
      <c r="D67" t="s">
        <v>12</v>
      </c>
      <c r="E67" t="s">
        <v>16</v>
      </c>
      <c r="F67" t="s">
        <v>16</v>
      </c>
      <c r="G67" t="s">
        <v>193</v>
      </c>
      <c r="H67" t="s">
        <v>11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  <row r="68" spans="1:10" x14ac:dyDescent="0.25">
      <c r="A68" s="5">
        <v>46174</v>
      </c>
      <c r="B68" t="s">
        <v>73</v>
      </c>
      <c r="C68" s="6" t="s">
        <v>194</v>
      </c>
      <c r="D68" t="s">
        <v>12</v>
      </c>
      <c r="E68" t="s">
        <v>10</v>
      </c>
      <c r="F68" t="s">
        <v>10</v>
      </c>
      <c r="G68" t="s">
        <v>83</v>
      </c>
      <c r="H68" t="s">
        <v>11</v>
      </c>
      <c r="I68" t="str">
        <f>_xlfn.XLOOKUP(Tabla1[[#This Row],[Dependencia]],Tabla2[Dependencia],Tabla2[Clasificación],"No indexado")</f>
        <v>Otros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78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78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2026-06-01T15:00:56Z</dcterms:modified>
</cp:coreProperties>
</file>