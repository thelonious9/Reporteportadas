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861022B4-0F6B-408F-A09B-66D5FB744AAB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</calcChain>
</file>

<file path=xl/sharedStrings.xml><?xml version="1.0" encoding="utf-8"?>
<sst xmlns="http://schemas.openxmlformats.org/spreadsheetml/2006/main" count="573" uniqueCount="187">
  <si>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</si>
  <si>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</si>
  <si>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</si>
  <si>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</si>
  <si>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</si>
  <si>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</si>
  <si>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</si>
  <si>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</si>
  <si>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</si>
  <si>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</si>
  <si>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</si>
  <si>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</si>
  <si>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</si>
  <si>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</si>
  <si>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</si>
  <si>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</si>
  <si>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</si>
  <si>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</si>
  <si>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</si>
  <si>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</si>
  <si>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</si>
  <si>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</si>
  <si>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</si>
  <si>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</si>
  <si>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</si>
  <si>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</si>
  <si>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</si>
  <si>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</si>
  <si>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</si>
  <si>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</si>
  <si>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</si>
  <si>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</si>
  <si>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</si>
  <si>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</si>
  <si>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</si>
  <si>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</si>
  <si>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</si>
  <si>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</si>
  <si>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</si>
  <si>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</si>
  <si>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</si>
  <si>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</si>
  <si>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</si>
  <si>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</si>
  <si>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</si>
  <si>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</si>
  <si>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</si>
  <si>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</si>
  <si>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</si>
  <si>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</si>
  <si>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</si>
  <si>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</si>
  <si>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</si>
  <si>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</si>
  <si>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</si>
  <si>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</si>
  <si>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</si>
  <si>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</si>
  <si>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</si>
  <si>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</si>
  <si>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</si>
  <si>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</si>
  <si>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</si>
  <si>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</si>
  <si>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</si>
  <si>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</si>
  <si>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</si>
  <si>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</si>
  <si>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</si>
  <si>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</si>
  <si>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</si>
  <si>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</si>
  <si>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Temas varios</t>
  </si>
  <si>
    <t>Deportes</t>
  </si>
  <si>
    <t>Criterio</t>
  </si>
  <si>
    <t>Positiva</t>
  </si>
  <si>
    <t>Effetá</t>
  </si>
  <si>
    <t>Publicidad</t>
  </si>
  <si>
    <t>Pachuca Brilla</t>
  </si>
  <si>
    <t>Plaza Juárez</t>
  </si>
  <si>
    <t>Policía municipal</t>
  </si>
  <si>
    <t>Síntesis</t>
  </si>
  <si>
    <t>pérdida de registro</t>
  </si>
  <si>
    <t>Reforma Electoral</t>
  </si>
  <si>
    <t>Plan Nacional De Vivienda</t>
  </si>
  <si>
    <t>Incidencia Delictiva</t>
  </si>
  <si>
    <t>Atracción De Inversiones</t>
  </si>
  <si>
    <t>Fiestas Patrias</t>
  </si>
  <si>
    <t>Informe De Gobierno</t>
  </si>
  <si>
    <t>Editorial</t>
  </si>
  <si>
    <t>Que nadie se equivoque, aquí no hay divisiones: Sheinbaum</t>
  </si>
  <si>
    <t>Informe Sheinbaum</t>
  </si>
  <si>
    <t>Piden médicos en Tepetilán por mosco y contaminación</t>
  </si>
  <si>
    <t>Presa Endhó</t>
  </si>
  <si>
    <t>Ardilla en Ximbó, un platillo exótico de hidalguenses</t>
  </si>
  <si>
    <t>Comunidades en Hidalgo pierden su población</t>
  </si>
  <si>
    <t>Dinámica demográfica</t>
  </si>
  <si>
    <t>Destaca Sheinbaum obras para Hidalgo</t>
  </si>
  <si>
    <t>Recupera Tulancingo $19 millones</t>
  </si>
  <si>
    <t>Cartera Vencida</t>
  </si>
  <si>
    <t>Aladro continúa al frente del PJ</t>
  </si>
  <si>
    <t>Renovación De Dirigencia</t>
  </si>
  <si>
    <t>Caen ventas por tiendas chinas</t>
  </si>
  <si>
    <t>Receso retrasa discusión de la reforma electoral</t>
  </si>
  <si>
    <t>Elías ya es centenario</t>
  </si>
  <si>
    <t>Javier Cruz quiere más historia</t>
  </si>
  <si>
    <t>Han desaparecido 3 partidos políticos</t>
  </si>
  <si>
    <t>Gobernador presentará el Cuarto Informe en dos sesiones</t>
  </si>
  <si>
    <t>Junta de Gobierno</t>
  </si>
  <si>
    <t>Sheinbaum insiste en la soberanía ante la relación con EU</t>
  </si>
  <si>
    <t>Suma Hidalgo tres muertes por covid al cierre del mes</t>
  </si>
  <si>
    <t>Covid 19</t>
  </si>
  <si>
    <t>Solución a movilidad: dos troncales más del Tuzobús""</t>
  </si>
  <si>
    <t>Ampliación Tuzobús</t>
  </si>
  <si>
    <t>Mileno</t>
  </si>
  <si>
    <t>Claudia: "que nadie se equivoque, en la 4T ho hay rompimientos</t>
  </si>
  <si>
    <t>Apuntalan la atención de heridas</t>
  </si>
  <si>
    <t>Atención médica</t>
  </si>
  <si>
    <t>Por unanimidad Rebeca Aladro repite al frente del Tribunal</t>
  </si>
  <si>
    <t>Seis municipios más contarán con las viviendas del bienestar</t>
  </si>
  <si>
    <t>Infonavit</t>
  </si>
  <si>
    <t>Buscan ahorrar 650 millones de metros cúbicos de agua al año</t>
  </si>
  <si>
    <t>Sipdus</t>
  </si>
  <si>
    <t>CEAA</t>
  </si>
  <si>
    <t>Cuidado del agua</t>
  </si>
  <si>
    <t>Sheinbaum: firmeza política y sin división al abrir el tercer año</t>
  </si>
  <si>
    <t>Julio Menchaca Salazar es el gobernador mejor calificado al obtener 68.4% de la aprobación ciudadana, de acuerdo con Demoscopia</t>
  </si>
  <si>
    <t>Aprobación Gobernador</t>
  </si>
  <si>
    <t>Ingresa alcaldesa de Cancún al Club sin Visa</t>
  </si>
  <si>
    <t>Temas internacionales</t>
  </si>
  <si>
    <t>Los inversionistas prefieren riesgos conocidos antes que incertidumbres,  por lo que privilegian utilidades mediocres pero previsibles; las demás  personas no tememos tanto al riesgo como a la incertidumbre que no  entendemos”.</t>
  </si>
  <si>
    <t>Destaca Sheinbaum obras estratégicas en Hidalgo en su segundo informe</t>
  </si>
  <si>
    <t>Continuará Rebeca Aladro al frente del Poder Judicial de manera temporal</t>
  </si>
  <si>
    <t>Cultura de Hidalgo descarta plagio y lucro en bordados de Jaltocán</t>
  </si>
  <si>
    <t>Plagio</t>
  </si>
  <si>
    <t>Provocan lluvias anegamientos en Zona Metropolitana de Pachuca</t>
  </si>
  <si>
    <t>Afectaciones Por Lluvias</t>
  </si>
  <si>
    <t>Zunoticia</t>
  </si>
  <si>
    <t>Ventilan presunto reparto de cargos entre Adán Augusto y Ochoa</t>
  </si>
  <si>
    <t>Reparto de comisiones</t>
  </si>
  <si>
    <t>Reconoce Menchaca liderazgo de Claudia Sheinbaum Pardo</t>
  </si>
  <si>
    <t>Mantienen acciones permanentes contra vectores</t>
  </si>
  <si>
    <t>Vigilancia Epidemiológica</t>
  </si>
  <si>
    <t>INE Huejutla anuncia recorridos de módulos</t>
  </si>
  <si>
    <t>Cedspi fortalece jornada de derechos de los pueblos indígenas</t>
  </si>
  <si>
    <t>Cedspi</t>
  </si>
  <si>
    <t>Apoyo a pueblos originarios</t>
  </si>
  <si>
    <t>Cuauhtémoc Ochoa pide cargo a Adán Augusto para ""contrarrestar"" a Julio Menchaca</t>
  </si>
  <si>
    <t>Tormenta deja sin luz a 11 colonias de Pachuca</t>
  </si>
  <si>
    <t>otrs</t>
  </si>
  <si>
    <t>Olivares entregará cuarto informe de Menchaca al Congreso</t>
  </si>
  <si>
    <t>Rebeca Aladro seguirá al frente del Poder Judicial</t>
  </si>
  <si>
    <t>Sheinbaum pone a Hidalgo entre sus proyectos</t>
  </si>
  <si>
    <t>Marfeca</t>
  </si>
  <si>
    <t>Plantean científicos de la UAEH freno biológico a plaga forestal en El Chico</t>
  </si>
  <si>
    <t>Cintillo</t>
  </si>
  <si>
    <t>Control de plagas</t>
  </si>
  <si>
    <t>Reconoce Menchaca liderazgo de Claudia Sheinbaum en la transformación de Hidalgo</t>
  </si>
  <si>
    <t>Gobierno de territorio llega a Atotonilco de Tula con Mesas de Acercamiento de Bienestar y Paz</t>
  </si>
  <si>
    <t>Mesas de acercamiento</t>
  </si>
  <si>
    <t>Síndico y Regidores de Tlahuelilpan presentan informe de actividades</t>
  </si>
  <si>
    <t>Informe Regidor</t>
  </si>
  <si>
    <t>Policía Estatal y Bomberos atienden afectaciones por lluvias en Hidalgo</t>
  </si>
  <si>
    <t>Atención Afectaciones Por Lluvias</t>
  </si>
  <si>
    <t>Caasim fortalece infraestructura en San Antonio el Desmonte</t>
  </si>
  <si>
    <t>Caasim</t>
  </si>
  <si>
    <t>Alcantarillado</t>
  </si>
  <si>
    <t>más de mil 700 hidalguenses recuperan la posibilidad de escuchar y comunicarse mejor</t>
  </si>
  <si>
    <t>Apoyos funcionales</t>
  </si>
  <si>
    <t>Tras lluvia en Pachuca; PC y Seguridad Pública municipal mantienen vigilancia</t>
  </si>
  <si>
    <t>2 mil millones impulsan la productividad para hacer crecer el campo</t>
  </si>
  <si>
    <t>Fuertes lluvias generan escurrimientos en distintos puntos de Pachuca</t>
  </si>
  <si>
    <t>Auto impacta a transporte metropolitano en el centro</t>
  </si>
  <si>
    <t>Sitmah</t>
  </si>
  <si>
    <t>Accidente Tuzobús</t>
  </si>
  <si>
    <t>Mustafa Hipnosis dará probadita de su show este viernes</t>
  </si>
  <si>
    <t>Cartelera De Eventos</t>
  </si>
  <si>
    <t>SEPH convoca a inscribirse en el bachillerato nacional Margarita Maza</t>
  </si>
  <si>
    <t>Bachillerato Nacional</t>
  </si>
  <si>
    <t>99.69% de las fuerzas de seguridad están evaluadas y certificadas</t>
  </si>
  <si>
    <t>Certificación policial</t>
  </si>
  <si>
    <t>En dos años, se logró reducir en 51% el número de homicidios</t>
  </si>
  <si>
    <t>Hidalgo, entre los 10 estados más seguros del país</t>
  </si>
  <si>
    <t>Nuevas inundaciones afectan bulevares de Pachuca</t>
  </si>
  <si>
    <t>Científicos plantean contener el gusano descortezador</t>
  </si>
  <si>
    <t>Gusano Descortezador</t>
  </si>
  <si>
    <t>No se engañen,  no hay rompimiento, dijo la presidenta Sheinbaum. Solo para los que tenían dudas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</si>
</sst>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0" totalsRowShown="0" headerRowDxfId="5" headerRowBorderDxfId="4">
  <autoFilter ref="A1:J60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0"/>
  <sheetViews>
    <sheetView tabSelected="1" workbookViewId="0">
      <selection activeCell="C11" sqref="C11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ht="30" x14ac:dyDescent="0.25">
      <c r="A2" s="11">
        <v>46267</v>
      </c>
      <c r="B2" t="s">
        <v>67</v>
      </c>
      <c r="C2" s="5" t="s">
        <v>90</v>
      </c>
      <c r="D2" t="s">
        <v>13</v>
      </c>
      <c r="E2" t="s">
        <v>14</v>
      </c>
      <c r="F2" t="s">
        <v>14</v>
      </c>
      <c r="G2" t="s">
        <v>91</v>
      </c>
      <c r="H2" t="s">
        <v>75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ht="30" x14ac:dyDescent="0.25">
      <c r="A3" s="11">
        <v>46267</v>
      </c>
      <c r="B3" t="s">
        <v>67</v>
      </c>
      <c r="C3" s="5" t="s">
        <v>92</v>
      </c>
      <c r="D3" t="s">
        <v>12</v>
      </c>
      <c r="E3" t="s">
        <v>15</v>
      </c>
      <c r="F3" t="s">
        <v>15</v>
      </c>
      <c r="G3" t="s">
        <v>93</v>
      </c>
      <c r="H3" t="s">
        <v>70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46267</v>
      </c>
      <c r="B4" t="s">
        <v>67</v>
      </c>
      <c r="C4" s="5" t="s">
        <v>94</v>
      </c>
      <c r="D4" t="s">
        <v>12</v>
      </c>
      <c r="E4" t="s">
        <v>10</v>
      </c>
      <c r="F4" t="s">
        <v>10</v>
      </c>
      <c r="G4" t="s">
        <v>72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46267</v>
      </c>
      <c r="B5" t="s">
        <v>67</v>
      </c>
      <c r="C5" s="5" t="s">
        <v>95</v>
      </c>
      <c r="D5" t="s">
        <v>12</v>
      </c>
      <c r="E5" t="s">
        <v>10</v>
      </c>
      <c r="F5" t="s">
        <v>10</v>
      </c>
      <c r="G5" t="s">
        <v>96</v>
      </c>
      <c r="H5" t="s">
        <v>70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46267</v>
      </c>
      <c r="B6" t="s">
        <v>71</v>
      </c>
      <c r="C6" s="5" t="s">
        <v>97</v>
      </c>
      <c r="D6" t="s">
        <v>13</v>
      </c>
      <c r="E6" t="s">
        <v>14</v>
      </c>
      <c r="F6" t="s">
        <v>14</v>
      </c>
      <c r="G6" t="s">
        <v>91</v>
      </c>
      <c r="H6" t="s">
        <v>75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46267</v>
      </c>
      <c r="B7" t="s">
        <v>71</v>
      </c>
      <c r="C7" s="5" t="s">
        <v>98</v>
      </c>
      <c r="D7" t="s">
        <v>12</v>
      </c>
      <c r="E7" t="s">
        <v>16</v>
      </c>
      <c r="F7" t="s">
        <v>16</v>
      </c>
      <c r="G7" t="s">
        <v>99</v>
      </c>
      <c r="H7" t="s">
        <v>75</v>
      </c>
      <c r="I7" t="str">
        <f>_xlfn.XLOOKUP(Tabla1[[#This Row],[Dependencia]],Tabla2[Dependencia],Tabla2[Clasificación],"XXX",0)</f>
        <v>Alcaldías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46267</v>
      </c>
      <c r="B8" t="s">
        <v>71</v>
      </c>
      <c r="C8" s="5" t="s">
        <v>100</v>
      </c>
      <c r="D8" t="s">
        <v>12</v>
      </c>
      <c r="E8" t="s">
        <v>58</v>
      </c>
      <c r="F8" t="s">
        <v>2</v>
      </c>
      <c r="G8" t="s">
        <v>101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46267</v>
      </c>
      <c r="B9" t="s">
        <v>71</v>
      </c>
      <c r="C9" s="5" t="s">
        <v>102</v>
      </c>
      <c r="D9" t="s">
        <v>12</v>
      </c>
      <c r="E9" t="s">
        <v>16</v>
      </c>
      <c r="F9" t="s">
        <v>16</v>
      </c>
      <c r="G9" t="s">
        <v>87</v>
      </c>
      <c r="H9" t="s">
        <v>70</v>
      </c>
      <c r="I9" t="str">
        <f>_xlfn.XLOOKUP(Tabla1[[#This Row],[Dependencia]],Tabla2[Dependencia],Tabla2[Clasificación],"XXX",0)</f>
        <v>Alcaldías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46267</v>
      </c>
      <c r="B10" t="s">
        <v>71</v>
      </c>
      <c r="C10" s="5" t="s">
        <v>103</v>
      </c>
      <c r="D10" t="s">
        <v>12</v>
      </c>
      <c r="E10" t="s">
        <v>33</v>
      </c>
      <c r="F10" t="s">
        <v>33</v>
      </c>
      <c r="G10" t="s">
        <v>83</v>
      </c>
      <c r="H10" t="s">
        <v>70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46267</v>
      </c>
      <c r="B11" t="s">
        <v>74</v>
      </c>
      <c r="C11" s="5" t="s">
        <v>104</v>
      </c>
      <c r="D11" t="s">
        <v>12</v>
      </c>
      <c r="E11" t="s">
        <v>10</v>
      </c>
      <c r="F11" t="s">
        <v>10</v>
      </c>
      <c r="G11" t="s">
        <v>73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46267</v>
      </c>
      <c r="B12" t="s">
        <v>74</v>
      </c>
      <c r="C12" s="5" t="s">
        <v>105</v>
      </c>
      <c r="D12" t="s">
        <v>12</v>
      </c>
      <c r="E12" t="s">
        <v>10</v>
      </c>
      <c r="F12" t="s">
        <v>10</v>
      </c>
      <c r="G12" t="s">
        <v>73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46267</v>
      </c>
      <c r="B13" t="s">
        <v>74</v>
      </c>
      <c r="C13" s="5" t="s">
        <v>106</v>
      </c>
      <c r="D13" t="s">
        <v>13</v>
      </c>
      <c r="E13" t="s">
        <v>40</v>
      </c>
      <c r="F13" t="s">
        <v>40</v>
      </c>
      <c r="G13" t="s">
        <v>82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ht="30" x14ac:dyDescent="0.25">
      <c r="A14" s="11">
        <v>46267</v>
      </c>
      <c r="B14" t="s">
        <v>74</v>
      </c>
      <c r="C14" s="5" t="s">
        <v>107</v>
      </c>
      <c r="D14" t="s">
        <v>12</v>
      </c>
      <c r="E14" t="s">
        <v>33</v>
      </c>
      <c r="F14" t="s">
        <v>108</v>
      </c>
      <c r="G14" t="s">
        <v>88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11">
        <v>46267</v>
      </c>
      <c r="B15" t="s">
        <v>74</v>
      </c>
      <c r="C15" s="5" t="s">
        <v>109</v>
      </c>
      <c r="D15" t="s">
        <v>9</v>
      </c>
      <c r="E15" t="s">
        <v>14</v>
      </c>
      <c r="F15" t="s">
        <v>14</v>
      </c>
      <c r="G15" t="s">
        <v>91</v>
      </c>
      <c r="H15" t="s">
        <v>11</v>
      </c>
      <c r="I15" t="str">
        <f>_xlfn.XLOOKUP(Tabla1[[#This Row],[Dependencia]],Tabla2[Dependencia],Tabla2[Clasificación],"XXX",0)</f>
        <v>Presidencia de la República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46267</v>
      </c>
      <c r="B16" t="s">
        <v>74</v>
      </c>
      <c r="C16" s="5" t="s">
        <v>110</v>
      </c>
      <c r="D16" t="s">
        <v>12</v>
      </c>
      <c r="E16" t="s">
        <v>15</v>
      </c>
      <c r="F16" t="s">
        <v>15</v>
      </c>
      <c r="G16" t="s">
        <v>111</v>
      </c>
      <c r="H16" t="s">
        <v>70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46267</v>
      </c>
      <c r="B17" t="s">
        <v>74</v>
      </c>
      <c r="C17" s="5" t="s">
        <v>112</v>
      </c>
      <c r="D17" t="s">
        <v>12</v>
      </c>
      <c r="E17" t="s">
        <v>47</v>
      </c>
      <c r="F17" t="s">
        <v>2</v>
      </c>
      <c r="G17" t="s">
        <v>113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46267</v>
      </c>
      <c r="B18" t="s">
        <v>114</v>
      </c>
      <c r="C18" s="5" t="s">
        <v>115</v>
      </c>
      <c r="D18" t="s">
        <v>13</v>
      </c>
      <c r="E18" t="s">
        <v>14</v>
      </c>
      <c r="F18" t="s">
        <v>14</v>
      </c>
      <c r="G18" t="s">
        <v>91</v>
      </c>
      <c r="H18" t="s">
        <v>11</v>
      </c>
      <c r="I18" t="str">
        <f>_xlfn.XLOOKUP(Tabla1[[#This Row],[Dependencia]],Tabla2[Dependencia],Tabla2[Clasificación],"XXX",0)</f>
        <v>Presidencia de la República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46267</v>
      </c>
      <c r="B19" t="s">
        <v>114</v>
      </c>
      <c r="C19" s="5" t="s">
        <v>116</v>
      </c>
      <c r="D19" t="s">
        <v>12</v>
      </c>
      <c r="E19" t="s">
        <v>15</v>
      </c>
      <c r="F19" t="s">
        <v>15</v>
      </c>
      <c r="G19" t="s">
        <v>117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11">
        <v>46267</v>
      </c>
      <c r="B20" t="s">
        <v>114</v>
      </c>
      <c r="C20" s="5" t="s">
        <v>118</v>
      </c>
      <c r="D20" t="s">
        <v>12</v>
      </c>
      <c r="E20" t="s">
        <v>58</v>
      </c>
      <c r="F20" t="s">
        <v>2</v>
      </c>
      <c r="G20" t="s">
        <v>101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46267</v>
      </c>
      <c r="B21" t="s">
        <v>71</v>
      </c>
      <c r="C21" s="5" t="s">
        <v>119</v>
      </c>
      <c r="D21" t="s">
        <v>12</v>
      </c>
      <c r="E21" t="s">
        <v>14</v>
      </c>
      <c r="F21" t="s">
        <v>120</v>
      </c>
      <c r="G21" t="s">
        <v>84</v>
      </c>
      <c r="H21" t="s">
        <v>11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46267</v>
      </c>
      <c r="B22" t="s">
        <v>71</v>
      </c>
      <c r="C22" s="5" t="s">
        <v>121</v>
      </c>
      <c r="D22" t="s">
        <v>12</v>
      </c>
      <c r="E22" t="s">
        <v>122</v>
      </c>
      <c r="F22" t="s">
        <v>123</v>
      </c>
      <c r="G22" t="s">
        <v>124</v>
      </c>
      <c r="H22" t="s">
        <v>75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46267</v>
      </c>
      <c r="B23" t="s">
        <v>68</v>
      </c>
      <c r="C23" s="5" t="s">
        <v>125</v>
      </c>
      <c r="D23" t="s">
        <v>13</v>
      </c>
      <c r="E23" t="s">
        <v>14</v>
      </c>
      <c r="F23" t="s">
        <v>14</v>
      </c>
      <c r="G23" t="s">
        <v>91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ht="45" x14ac:dyDescent="0.25">
      <c r="A24" s="11">
        <v>46267</v>
      </c>
      <c r="B24" t="s">
        <v>68</v>
      </c>
      <c r="C24" s="5" t="s">
        <v>126</v>
      </c>
      <c r="D24" t="s">
        <v>12</v>
      </c>
      <c r="E24" t="s">
        <v>24</v>
      </c>
      <c r="F24" t="s">
        <v>24</v>
      </c>
      <c r="G24" t="s">
        <v>127</v>
      </c>
      <c r="H24" t="s">
        <v>75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Gobernador</v>
      </c>
    </row>
    <row r="25" spans="1:10" x14ac:dyDescent="0.25">
      <c r="A25" s="11">
        <v>46267</v>
      </c>
      <c r="B25" t="s">
        <v>68</v>
      </c>
      <c r="C25" s="5" t="s">
        <v>128</v>
      </c>
      <c r="D25" t="s">
        <v>12</v>
      </c>
      <c r="E25" t="s">
        <v>10</v>
      </c>
      <c r="F25" t="s">
        <v>10</v>
      </c>
      <c r="G25" t="s">
        <v>129</v>
      </c>
      <c r="H25" t="s">
        <v>70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75" x14ac:dyDescent="0.25">
      <c r="A26" s="11">
        <v>46267</v>
      </c>
      <c r="B26" t="s">
        <v>68</v>
      </c>
      <c r="C26" s="5" t="s">
        <v>130</v>
      </c>
      <c r="D26" t="s">
        <v>12</v>
      </c>
      <c r="E26" t="s">
        <v>10</v>
      </c>
      <c r="F26" t="s">
        <v>10</v>
      </c>
      <c r="G26" t="s">
        <v>86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46267</v>
      </c>
      <c r="B27" t="s">
        <v>81</v>
      </c>
      <c r="C27" s="5" t="s">
        <v>131</v>
      </c>
      <c r="D27" t="s">
        <v>13</v>
      </c>
      <c r="E27" t="s">
        <v>14</v>
      </c>
      <c r="F27" t="s">
        <v>14</v>
      </c>
      <c r="G27" t="s">
        <v>91</v>
      </c>
      <c r="H27" t="s">
        <v>75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46267</v>
      </c>
      <c r="B28" t="s">
        <v>81</v>
      </c>
      <c r="C28" s="5" t="s">
        <v>132</v>
      </c>
      <c r="D28" t="s">
        <v>12</v>
      </c>
      <c r="E28" t="s">
        <v>58</v>
      </c>
      <c r="F28" t="s">
        <v>2</v>
      </c>
      <c r="G28" t="s">
        <v>101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46267</v>
      </c>
      <c r="B29" t="s">
        <v>81</v>
      </c>
      <c r="C29" s="5" t="s">
        <v>133</v>
      </c>
      <c r="D29" t="s">
        <v>12</v>
      </c>
      <c r="E29" t="s">
        <v>28</v>
      </c>
      <c r="F29" t="s">
        <v>28</v>
      </c>
      <c r="G29" t="s">
        <v>134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11">
        <v>46267</v>
      </c>
      <c r="B30" t="s">
        <v>81</v>
      </c>
      <c r="C30" s="5" t="s">
        <v>135</v>
      </c>
      <c r="D30" t="s">
        <v>12</v>
      </c>
      <c r="E30" t="s">
        <v>10</v>
      </c>
      <c r="F30" t="s">
        <v>10</v>
      </c>
      <c r="G30" t="s">
        <v>136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46267</v>
      </c>
      <c r="B31" t="s">
        <v>137</v>
      </c>
      <c r="C31" s="5" t="s">
        <v>138</v>
      </c>
      <c r="D31" t="s">
        <v>13</v>
      </c>
      <c r="E31" t="s">
        <v>24</v>
      </c>
      <c r="F31" t="s">
        <v>24</v>
      </c>
      <c r="G31" t="s">
        <v>139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Gobernador</v>
      </c>
    </row>
    <row r="32" spans="1:10" ht="30" x14ac:dyDescent="0.25">
      <c r="A32" s="11">
        <v>46267</v>
      </c>
      <c r="B32" t="s">
        <v>137</v>
      </c>
      <c r="C32" s="5" t="s">
        <v>140</v>
      </c>
      <c r="D32" t="s">
        <v>12</v>
      </c>
      <c r="E32" t="s">
        <v>24</v>
      </c>
      <c r="F32" t="s">
        <v>24</v>
      </c>
      <c r="G32" t="s">
        <v>91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Gobernador</v>
      </c>
    </row>
    <row r="33" spans="1:10" x14ac:dyDescent="0.25">
      <c r="A33" s="11">
        <v>46267</v>
      </c>
      <c r="B33" t="s">
        <v>137</v>
      </c>
      <c r="C33" s="5" t="s">
        <v>141</v>
      </c>
      <c r="D33" t="s">
        <v>12</v>
      </c>
      <c r="E33" t="s">
        <v>16</v>
      </c>
      <c r="F33" t="s">
        <v>16</v>
      </c>
      <c r="G33" t="s">
        <v>142</v>
      </c>
      <c r="H33" t="s">
        <v>11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x14ac:dyDescent="0.25">
      <c r="A34" s="11">
        <v>46267</v>
      </c>
      <c r="B34" t="s">
        <v>137</v>
      </c>
      <c r="C34" s="5" t="s">
        <v>143</v>
      </c>
      <c r="D34" t="s">
        <v>12</v>
      </c>
      <c r="E34" t="s">
        <v>10</v>
      </c>
      <c r="F34" t="s">
        <v>10</v>
      </c>
      <c r="G34" t="s">
        <v>72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46267</v>
      </c>
      <c r="B35" t="s">
        <v>137</v>
      </c>
      <c r="C35" s="5" t="s">
        <v>144</v>
      </c>
      <c r="D35" t="s">
        <v>12</v>
      </c>
      <c r="E35" t="s">
        <v>47</v>
      </c>
      <c r="F35" t="s">
        <v>145</v>
      </c>
      <c r="G35" t="s">
        <v>146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46267</v>
      </c>
      <c r="B36" t="s">
        <v>76</v>
      </c>
      <c r="C36" s="5" t="s">
        <v>147</v>
      </c>
      <c r="D36" t="s">
        <v>13</v>
      </c>
      <c r="E36" t="s">
        <v>24</v>
      </c>
      <c r="F36" t="s">
        <v>24</v>
      </c>
      <c r="G36" t="s">
        <v>139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25">
      <c r="A37" s="11">
        <v>46267</v>
      </c>
      <c r="B37" t="s">
        <v>76</v>
      </c>
      <c r="C37" s="5" t="s">
        <v>148</v>
      </c>
      <c r="D37" t="s">
        <v>9</v>
      </c>
      <c r="E37" t="s">
        <v>10</v>
      </c>
      <c r="F37" t="s">
        <v>149</v>
      </c>
      <c r="G37" t="s">
        <v>136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46267</v>
      </c>
      <c r="B38" t="s">
        <v>76</v>
      </c>
      <c r="C38" s="5" t="s">
        <v>150</v>
      </c>
      <c r="D38" t="s">
        <v>12</v>
      </c>
      <c r="E38" t="s">
        <v>24</v>
      </c>
      <c r="F38" t="s">
        <v>24</v>
      </c>
      <c r="G38" t="s">
        <v>88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x14ac:dyDescent="0.25">
      <c r="A39" s="11">
        <v>46267</v>
      </c>
      <c r="B39" t="s">
        <v>76</v>
      </c>
      <c r="C39" s="5" t="s">
        <v>151</v>
      </c>
      <c r="D39" t="s">
        <v>12</v>
      </c>
      <c r="E39" t="s">
        <v>58</v>
      </c>
      <c r="F39" t="s">
        <v>2</v>
      </c>
      <c r="G39" t="s">
        <v>101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46267</v>
      </c>
      <c r="B40" t="s">
        <v>76</v>
      </c>
      <c r="C40" s="5" t="s">
        <v>152</v>
      </c>
      <c r="D40" t="s">
        <v>12</v>
      </c>
      <c r="E40" t="s">
        <v>14</v>
      </c>
      <c r="F40" t="s">
        <v>14</v>
      </c>
      <c r="G40" t="s">
        <v>91</v>
      </c>
      <c r="H40" t="s">
        <v>75</v>
      </c>
      <c r="I40" t="str">
        <f>_xlfn.XLOOKUP(Tabla1[[#This Row],[Dependencia]],Tabla2[Dependencia],Tabla2[Clasificación],"XXX",0)</f>
        <v>Presidencia de la República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46267</v>
      </c>
      <c r="B41" t="s">
        <v>153</v>
      </c>
      <c r="C41" s="5" t="s">
        <v>154</v>
      </c>
      <c r="D41" t="s">
        <v>155</v>
      </c>
      <c r="E41" t="s">
        <v>59</v>
      </c>
      <c r="F41" t="s">
        <v>59</v>
      </c>
      <c r="G41" t="s">
        <v>156</v>
      </c>
      <c r="H41" t="s">
        <v>75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46267</v>
      </c>
      <c r="B42" t="s">
        <v>153</v>
      </c>
      <c r="C42" s="5" t="s">
        <v>157</v>
      </c>
      <c r="D42" t="s">
        <v>13</v>
      </c>
      <c r="E42" t="s">
        <v>24</v>
      </c>
      <c r="F42" t="s">
        <v>24</v>
      </c>
      <c r="G42" t="s">
        <v>91</v>
      </c>
      <c r="H42" t="s">
        <v>75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Gobernador</v>
      </c>
    </row>
    <row r="43" spans="1:10" ht="30" x14ac:dyDescent="0.25">
      <c r="A43" s="11">
        <v>46267</v>
      </c>
      <c r="B43" t="s">
        <v>153</v>
      </c>
      <c r="C43" s="5" t="s">
        <v>158</v>
      </c>
      <c r="D43" t="s">
        <v>12</v>
      </c>
      <c r="E43" t="s">
        <v>23</v>
      </c>
      <c r="F43" t="s">
        <v>2</v>
      </c>
      <c r="G43" t="s">
        <v>159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46267</v>
      </c>
      <c r="B44" t="s">
        <v>153</v>
      </c>
      <c r="C44" s="5" t="s">
        <v>160</v>
      </c>
      <c r="D44" t="s">
        <v>12</v>
      </c>
      <c r="E44" t="s">
        <v>16</v>
      </c>
      <c r="F44" t="s">
        <v>16</v>
      </c>
      <c r="G44" t="s">
        <v>161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46267</v>
      </c>
      <c r="B45" t="s">
        <v>153</v>
      </c>
      <c r="C45" s="5" t="s">
        <v>162</v>
      </c>
      <c r="D45" t="s">
        <v>12</v>
      </c>
      <c r="E45" t="s">
        <v>22</v>
      </c>
      <c r="F45" t="s">
        <v>22</v>
      </c>
      <c r="G45" t="s">
        <v>163</v>
      </c>
      <c r="H45" t="s">
        <v>75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46267</v>
      </c>
      <c r="B46" t="s">
        <v>153</v>
      </c>
      <c r="C46" s="5" t="s">
        <v>164</v>
      </c>
      <c r="D46" t="s">
        <v>12</v>
      </c>
      <c r="E46" t="s">
        <v>122</v>
      </c>
      <c r="F46" t="s">
        <v>165</v>
      </c>
      <c r="G46" t="s">
        <v>166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46267</v>
      </c>
      <c r="B47" t="s">
        <v>153</v>
      </c>
      <c r="C47" s="5" t="s">
        <v>167</v>
      </c>
      <c r="D47" t="s">
        <v>12</v>
      </c>
      <c r="E47" t="s">
        <v>15</v>
      </c>
      <c r="F47" t="s">
        <v>15</v>
      </c>
      <c r="G47" t="s">
        <v>168</v>
      </c>
      <c r="H47" t="s">
        <v>75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11">
        <v>46267</v>
      </c>
      <c r="B48" t="s">
        <v>153</v>
      </c>
      <c r="C48" s="5" t="s">
        <v>169</v>
      </c>
      <c r="D48" t="s">
        <v>12</v>
      </c>
      <c r="E48" t="s">
        <v>16</v>
      </c>
      <c r="F48" t="s">
        <v>80</v>
      </c>
      <c r="G48" t="s">
        <v>163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46267</v>
      </c>
      <c r="B49" t="s">
        <v>153</v>
      </c>
      <c r="C49" s="5" t="s">
        <v>170</v>
      </c>
      <c r="D49" t="s">
        <v>77</v>
      </c>
      <c r="E49" t="s">
        <v>38</v>
      </c>
      <c r="F49" t="s">
        <v>38</v>
      </c>
      <c r="G49" t="s">
        <v>88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11">
        <v>46267</v>
      </c>
      <c r="B50" t="s">
        <v>78</v>
      </c>
      <c r="C50" s="5" t="s">
        <v>171</v>
      </c>
      <c r="D50" t="s">
        <v>13</v>
      </c>
      <c r="E50" t="s">
        <v>16</v>
      </c>
      <c r="F50" t="s">
        <v>16</v>
      </c>
      <c r="G50" t="s">
        <v>136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25">
      <c r="A51" s="11">
        <v>46267</v>
      </c>
      <c r="B51" t="s">
        <v>78</v>
      </c>
      <c r="C51" s="5" t="s">
        <v>172</v>
      </c>
      <c r="D51" t="s">
        <v>12</v>
      </c>
      <c r="E51" t="s">
        <v>27</v>
      </c>
      <c r="F51" t="s">
        <v>173</v>
      </c>
      <c r="G51" t="s">
        <v>174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46267</v>
      </c>
      <c r="B52" t="s">
        <v>78</v>
      </c>
      <c r="C52" s="5" t="s">
        <v>175</v>
      </c>
      <c r="D52" t="s">
        <v>12</v>
      </c>
      <c r="E52" t="s">
        <v>10</v>
      </c>
      <c r="F52" t="s">
        <v>10</v>
      </c>
      <c r="G52" t="s">
        <v>176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46267</v>
      </c>
      <c r="B53" t="s">
        <v>78</v>
      </c>
      <c r="C53" s="5" t="s">
        <v>177</v>
      </c>
      <c r="D53" t="s">
        <v>12</v>
      </c>
      <c r="E53" t="s">
        <v>26</v>
      </c>
      <c r="F53" t="s">
        <v>2</v>
      </c>
      <c r="G53" t="s">
        <v>178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11">
        <v>46267</v>
      </c>
      <c r="B54" t="s">
        <v>78</v>
      </c>
      <c r="C54" s="5" t="s">
        <v>157</v>
      </c>
      <c r="D54" t="s">
        <v>12</v>
      </c>
      <c r="E54" t="s">
        <v>24</v>
      </c>
      <c r="F54" t="s">
        <v>24</v>
      </c>
      <c r="G54" t="s">
        <v>91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Gobernador</v>
      </c>
    </row>
    <row r="55" spans="1:10" ht="30" x14ac:dyDescent="0.25">
      <c r="A55" s="11">
        <v>46267</v>
      </c>
      <c r="B55" t="s">
        <v>78</v>
      </c>
      <c r="C55" s="5" t="s">
        <v>179</v>
      </c>
      <c r="D55" t="s">
        <v>77</v>
      </c>
      <c r="E55" t="s">
        <v>22</v>
      </c>
      <c r="F55" t="s">
        <v>22</v>
      </c>
      <c r="G55" t="s">
        <v>180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46267</v>
      </c>
      <c r="B56" t="s">
        <v>79</v>
      </c>
      <c r="C56" s="5" t="s">
        <v>181</v>
      </c>
      <c r="D56" t="s">
        <v>13</v>
      </c>
      <c r="E56" t="s">
        <v>14</v>
      </c>
      <c r="F56" t="s">
        <v>14</v>
      </c>
      <c r="G56" t="s">
        <v>91</v>
      </c>
      <c r="H56" t="s">
        <v>75</v>
      </c>
      <c r="I56" t="str">
        <f>_xlfn.XLOOKUP(Tabla1[[#This Row],[Dependencia]],Tabla2[Dependencia],Tabla2[Clasificación],"XXX",0)</f>
        <v>Presidencia de la República</v>
      </c>
      <c r="J56" t="str">
        <f>_xlfn.XLOOKUP(Tabla1[[#This Row],[Dependencia]],Tabla3[Dependencia],Tabla3[Nivel],"Otros",0)</f>
        <v>Otros</v>
      </c>
    </row>
    <row r="57" spans="1:10" x14ac:dyDescent="0.25">
      <c r="A57" s="11">
        <v>46267</v>
      </c>
      <c r="B57" t="s">
        <v>79</v>
      </c>
      <c r="C57" s="5" t="s">
        <v>182</v>
      </c>
      <c r="D57" t="s">
        <v>12</v>
      </c>
      <c r="E57" t="s">
        <v>24</v>
      </c>
      <c r="F57" t="s">
        <v>24</v>
      </c>
      <c r="G57" t="s">
        <v>85</v>
      </c>
      <c r="H57" t="s">
        <v>75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Gobernador</v>
      </c>
    </row>
    <row r="58" spans="1:10" x14ac:dyDescent="0.25">
      <c r="A58" s="11">
        <v>46267</v>
      </c>
      <c r="B58" t="s">
        <v>79</v>
      </c>
      <c r="C58" s="5" t="s">
        <v>183</v>
      </c>
      <c r="D58" t="s">
        <v>12</v>
      </c>
      <c r="E58" t="s">
        <v>16</v>
      </c>
      <c r="F58" t="s">
        <v>16</v>
      </c>
      <c r="G58" t="s">
        <v>136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46267</v>
      </c>
      <c r="B59" t="s">
        <v>79</v>
      </c>
      <c r="C59" s="5" t="s">
        <v>184</v>
      </c>
      <c r="D59" t="s">
        <v>12</v>
      </c>
      <c r="E59" t="s">
        <v>59</v>
      </c>
      <c r="F59" t="s">
        <v>59</v>
      </c>
      <c r="G59" t="s">
        <v>185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46267</v>
      </c>
      <c r="B60" t="s">
        <v>79</v>
      </c>
      <c r="C60" s="5" t="s">
        <v>186</v>
      </c>
      <c r="D60" t="s">
        <v>89</v>
      </c>
      <c r="E60" t="s">
        <v>14</v>
      </c>
      <c r="F60" t="s">
        <v>14</v>
      </c>
      <c r="G60" t="s">
        <v>91</v>
      </c>
      <c r="H60" t="s">
        <v>75</v>
      </c>
      <c r="I60" t="str">
        <f>_xlfn.XLOOKUP(Tabla1[[#This Row],[Dependencia]],Tabla2[Dependencia],Tabla2[Clasificación],"XXX",0)</f>
        <v>Presidencia de la República</v>
      </c>
      <c r="J6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2026-09-02T15:04:29Z</dcterms:modified>
</cp:coreProperties>
</file>