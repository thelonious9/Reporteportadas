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F4FAB1A0-7E99-4414-97BE-1BE76E5251AE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</calcChain>
</file>

<file path=xl/sharedStrings.xml><?xml version="1.0" encoding="utf-8"?>
<sst xmlns="http://schemas.openxmlformats.org/spreadsheetml/2006/main" count="603" uniqueCount="180">
  <si>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</si>
  <si>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</si>
  <si>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</si>
  <si>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</si>
  <si>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</si>
  <si>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</si>
  <si>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</si>
  <si>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</si>
  <si>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</si>
  <si>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</si>
  <si>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</si>
  <si>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</si>
  <si>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</si>
  <si>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</si>
  <si>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</si>
  <si>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</si>
  <si>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</si>
  <si>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</si>
  <si>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</si>
  <si>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</si>
  <si>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</si>
  <si>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</si>
  <si>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</si>
  <si>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</si>
  <si>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</si>
  <si>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</si>
  <si>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</si>
  <si>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</si>
  <si>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</si>
  <si>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</si>
  <si>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</si>
  <si>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</si>
  <si>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</si>
  <si>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</si>
  <si>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</si>
  <si>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</si>
  <si>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</si>
  <si>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</si>
  <si>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</si>
  <si>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</si>
  <si>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</si>
  <si>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</si>
  <si>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</si>
  <si>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</si>
  <si>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</si>
  <si>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</si>
  <si>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</si>
  <si>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</si>
  <si>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</si>
  <si>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</si>
  <si>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</si>
  <si>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</si>
  <si>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</si>
  <si>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</si>
  <si>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</si>
  <si>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</si>
  <si>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</si>
  <si>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</si>
  <si>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</si>
  <si>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</si>
  <si>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</si>
  <si>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</si>
  <si>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</si>
  <si>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</si>
  <si>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</si>
  <si>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</si>
  <si>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</si>
  <si>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</si>
  <si>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</si>
  <si>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</si>
  <si>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</si>
  <si>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</si>
  <si>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</si>
  <si>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</si>
  <si>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</si>
  <si>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</si>
  <si>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Plaza Juárez</t>
  </si>
  <si>
    <t>Síntesis</t>
  </si>
  <si>
    <t>Marfeca</t>
  </si>
  <si>
    <t>Milenio Hidalgo</t>
  </si>
  <si>
    <t>Alcalde</t>
  </si>
  <si>
    <t>Publicidad</t>
  </si>
  <si>
    <t>Temas varios</t>
  </si>
  <si>
    <t>Afectaciones Por Lluvias</t>
  </si>
  <si>
    <t>PAZ</t>
  </si>
  <si>
    <t>Cintillo</t>
  </si>
  <si>
    <t>Rehabilitación Vial</t>
  </si>
  <si>
    <t>Fiestas Patrias</t>
  </si>
  <si>
    <t>Reforma Electoral</t>
  </si>
  <si>
    <t>Suicidio</t>
  </si>
  <si>
    <t>El Mexe</t>
  </si>
  <si>
    <t>Grito De Independencia</t>
  </si>
  <si>
    <t>Alcoholímetro operará durante toda la semana</t>
  </si>
  <si>
    <t>Alcoholímetro</t>
  </si>
  <si>
    <t>Charros y escaramuzas recorren calles céntricas</t>
  </si>
  <si>
    <t>Piden ampliar estudio para cuidar especies</t>
  </si>
  <si>
    <t>Tren AIFA</t>
  </si>
  <si>
    <t>Rechazó el Congreso división de municipios</t>
  </si>
  <si>
    <t>Colapsa puente por tercera vez en Huautla</t>
  </si>
  <si>
    <t>Aprueban reforma sin paridad de género</t>
  </si>
  <si>
    <t>Charros y escaramuzas toman calles</t>
  </si>
  <si>
    <t>Todo listo para el festejo del Gritoi</t>
  </si>
  <si>
    <t>Hidalguense presenta corto en Nueva York</t>
  </si>
  <si>
    <t>Producción audiovisual</t>
  </si>
  <si>
    <t>Incomunicadas 18 localidades en Huautla por precipitaciones</t>
  </si>
  <si>
    <t>Preparan diagnóstico con IA por tráfico en Pachuca</t>
  </si>
  <si>
    <t>Ordenamiento vial</t>
  </si>
  <si>
    <t>Retiran la concesión a la combi que se accidentó</t>
  </si>
  <si>
    <t>Concesiones transporte público</t>
  </si>
  <si>
    <t>Busca SNTE Hidalgo blindar autonomía</t>
  </si>
  <si>
    <t>Autonomía</t>
  </si>
  <si>
    <t>Aprueba el Congreso la reforma electoral</t>
  </si>
  <si>
    <t>Tradición charra se apoderó de la ciudad</t>
  </si>
  <si>
    <t>El Reloj de Pachuca: 116 años contando la historia</t>
  </si>
  <si>
    <t>Reloj De Pachuca</t>
  </si>
  <si>
    <t>¡Se hunden las Tuzas!</t>
  </si>
  <si>
    <t>Reforma achica cabildos; ahorro será destinado a obras públicas</t>
  </si>
  <si>
    <t>Transparencia útil: Julio Menchaca envía iniciativa al Legislativo</t>
  </si>
  <si>
    <t>Iniciativa</t>
  </si>
  <si>
    <t>Anuncian cierres viales y emiten recomendaciones</t>
  </si>
  <si>
    <t>Defienden exclusividad de carril para el Tuzobús</t>
  </si>
  <si>
    <t>Carril confinado</t>
  </si>
  <si>
    <t>Festejan charros su día con recorrido por Pachuca</t>
  </si>
  <si>
    <t>Pasa de 75 a 99% la eficiencia del servicio de transporte</t>
  </si>
  <si>
    <t>Eficiencia de transporte público</t>
  </si>
  <si>
    <t>Aseguran vivienda ligada al grupo criminal La Barredora</t>
  </si>
  <si>
    <t>Sedena</t>
  </si>
  <si>
    <t>Combate a la delincuencia</t>
  </si>
  <si>
    <t>Influencers: cuando la vida vale unos clics</t>
  </si>
  <si>
    <t>Empresarios ven al T-Mec ""en el limbo"" y temen por las cadenas productivas</t>
  </si>
  <si>
    <t>T-Mec</t>
  </si>
  <si>
    <t>Canadá convoca a Europa a estrechar los lazos económicos</t>
  </si>
  <si>
    <t>Falsificación cae 24% y el crimen privilegia los de 500</t>
  </si>
  <si>
    <t>Charros desfilan en conmemoración de su día</t>
  </si>
  <si>
    <t>Medirán flujo vehicular para solucionar embotellamientos</t>
  </si>
  <si>
    <t>Congreso local aprueba desaparecer regidores y síndicos de minoría</t>
  </si>
  <si>
    <t>Suspende Grito Esuinapa tras asesinato de maestra de kínder</t>
  </si>
  <si>
    <t>No hay manera de defender la patria de intervencionismos extranjeros si el municipio de al lado no tiene  agua, si la gente sigue esperando lo más básico para vivir con dignidad”.</t>
  </si>
  <si>
    <t>Intervención extranjera</t>
  </si>
  <si>
    <t>Todo listo para celebrar el Grito de Independencia en Plaza Juárez</t>
  </si>
  <si>
    <t>Aprueba Congreso reforma electoral con menos cargos municipales y cambio en registros</t>
  </si>
  <si>
    <t>Pierde concesión ruta Tilcuautla-Pachuca involucrada en accidente en Bulevar Minero</t>
  </si>
  <si>
    <t>Impulsa Menchaca la creación de nueva estructura de transparencia en Hidalgo</t>
  </si>
  <si>
    <t>Extinción ITAIH</t>
  </si>
  <si>
    <t>Tizayuca, entre las zonas con mayor riesgo suicida en Hidalgo</t>
  </si>
  <si>
    <t>Congreso de hidalgo aprueba reforma electoral para 2027</t>
  </si>
  <si>
    <t>Pachuca ampliará operativo alcoholímetro durante festejos patrios</t>
  </si>
  <si>
    <t>Con cámaras e Inteligencia Artificial analizarán el tráfico de Pachuca</t>
  </si>
  <si>
    <t>Normalistas del El Mexe reconocen avances de la Procuraduría en investigación por homicidio de estudiante</t>
  </si>
  <si>
    <t>Carril confinado del Tuzobús seguirá cerrado a autos particulares</t>
  </si>
  <si>
    <t>Hidalgo reorganizará transparencia y protección de datos</t>
  </si>
  <si>
    <t>Congreso de Hidalgo aprueba reforma electoral: reduce regidurías para 2027</t>
  </si>
  <si>
    <t>Continúan las jornadas de faena para mejorar caminos y vialidades de Ajacuba</t>
  </si>
  <si>
    <t>Envía Menchaca iniciativas para fortalecer la transparencia, protección de datos y simplificación administrativa</t>
  </si>
  <si>
    <t>Esperan más de 1000 corredores en Trail Expo Feria San Francisco Tlahuelilpan 2026</t>
  </si>
  <si>
    <t>Carrera atlética</t>
  </si>
  <si>
    <t>Claudia Sandoval refuerza identidad de Atitalaquia con nuevo mural</t>
  </si>
  <si>
    <t>Muralismo</t>
  </si>
  <si>
    <t>Mujeres emprendedoras llevan su arte a la sala Quetzalcóatl de Tula</t>
  </si>
  <si>
    <t>Más de 5 mil policías resguardarán a familias hidalguenses durante festejos patrios</t>
  </si>
  <si>
    <t>Reunión Gabinete De Seguridad</t>
  </si>
  <si>
    <t>Capacitación gratuita de conducción responsable</t>
  </si>
  <si>
    <t>Educación vial</t>
  </si>
  <si>
    <t>Pachuca Brilla</t>
  </si>
  <si>
    <t>Incrementa demanda del Transporte Metropolitano; aumentan más de 23 mil usuarios</t>
  </si>
  <si>
    <t>Afluencia Tuzobús</t>
  </si>
  <si>
    <t>Habrpa operativo alcoholímetro en estas fiestas patrias en Pachuca</t>
  </si>
  <si>
    <t>SSPH desmantela taller de regrabado y clonación de identificaciones vehiculares en Pachuca</t>
  </si>
  <si>
    <t>Envía Julio Menchaca iniciativas para fortalecer la transparencia, protección de datos y simplificación administrativa</t>
  </si>
  <si>
    <t>Celebraron Día del Charro</t>
  </si>
  <si>
    <t>116 aniversario del Reloj de Pachuca</t>
  </si>
  <si>
    <t>Al grito de Hidalgo: Carlos Rivera</t>
  </si>
  <si>
    <t>Aprueban reforma al Código Electoral</t>
  </si>
  <si>
    <t>Prometen dar con responsable del asesinato de estudiante</t>
  </si>
  <si>
    <t>Feminicidio</t>
  </si>
  <si>
    <t>Urgen a reformar impuestos a bebidas alcohólicas</t>
  </si>
  <si>
    <t>Consumo de alcohol</t>
  </si>
  <si>
    <t>Es un hecho que uno de los principales problemas en Pachuca es la falta de transporte público eficiente y digno, por lo que la remodelación del Tuzobús es un buen principio para mejorar el servicio.</t>
  </si>
  <si>
    <t>Editorial</t>
  </si>
  <si>
    <t>Modernización Tuzobús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</si>
</sst>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4" totalsRowShown="0" headerRowDxfId="5" headerRowBorderDxfId="4">
  <autoFilter ref="A1:J64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4"/>
  <sheetViews>
    <sheetView tabSelected="1" topLeftCell="A34" workbookViewId="0">
      <selection activeCell="A2" sqref="A2:H64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46280</v>
      </c>
      <c r="B2" t="s">
        <v>67</v>
      </c>
      <c r="C2" s="5" t="s">
        <v>92</v>
      </c>
      <c r="D2" t="s">
        <v>12</v>
      </c>
      <c r="E2" t="s">
        <v>16</v>
      </c>
      <c r="F2" t="s">
        <v>16</v>
      </c>
      <c r="G2" t="s">
        <v>93</v>
      </c>
      <c r="H2" t="s">
        <v>11</v>
      </c>
      <c r="I2" t="str">
        <f>_xlfn.XLOOKUP(Tabla1[[#This Row],[Dependencia]],Tabla2[Dependencia],Tabla2[Clasificación],"XXX",0)</f>
        <v>Alcaldías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46280</v>
      </c>
      <c r="B3" t="s">
        <v>67</v>
      </c>
      <c r="C3" s="5" t="s">
        <v>94</v>
      </c>
      <c r="D3" t="s">
        <v>12</v>
      </c>
      <c r="E3" t="s">
        <v>10</v>
      </c>
      <c r="F3" t="s">
        <v>10</v>
      </c>
      <c r="G3" t="s">
        <v>87</v>
      </c>
      <c r="H3" t="s">
        <v>11</v>
      </c>
      <c r="I3" t="str">
        <f>_xlfn.XLOOKUP(Tabla1[[#This Row],[Dependencia]],Tabla2[Dependencia],Tabla2[Clasificación],"XXX",0)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46280</v>
      </c>
      <c r="B4" t="s">
        <v>67</v>
      </c>
      <c r="C4" s="5" t="s">
        <v>95</v>
      </c>
      <c r="D4" t="s">
        <v>12</v>
      </c>
      <c r="E4" t="s">
        <v>20</v>
      </c>
      <c r="F4" t="s">
        <v>20</v>
      </c>
      <c r="G4" t="s">
        <v>96</v>
      </c>
      <c r="H4" t="s">
        <v>70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11">
        <v>46280</v>
      </c>
      <c r="B5" t="s">
        <v>67</v>
      </c>
      <c r="C5" s="5" t="s">
        <v>97</v>
      </c>
      <c r="D5" t="s">
        <v>13</v>
      </c>
      <c r="E5" t="s">
        <v>33</v>
      </c>
      <c r="F5" t="s">
        <v>33</v>
      </c>
      <c r="G5" t="s">
        <v>88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46280</v>
      </c>
      <c r="B6" t="s">
        <v>67</v>
      </c>
      <c r="C6" s="5" t="s">
        <v>98</v>
      </c>
      <c r="D6" t="s">
        <v>9</v>
      </c>
      <c r="E6" t="s">
        <v>10</v>
      </c>
      <c r="F6" t="s">
        <v>10</v>
      </c>
      <c r="G6" t="s">
        <v>83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46280</v>
      </c>
      <c r="B7" t="s">
        <v>71</v>
      </c>
      <c r="C7" s="5" t="s">
        <v>99</v>
      </c>
      <c r="D7" t="s">
        <v>13</v>
      </c>
      <c r="E7" t="s">
        <v>33</v>
      </c>
      <c r="F7" t="s">
        <v>33</v>
      </c>
      <c r="G7" t="s">
        <v>88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46280</v>
      </c>
      <c r="B8" t="s">
        <v>71</v>
      </c>
      <c r="C8" s="5" t="s">
        <v>100</v>
      </c>
      <c r="D8" t="s">
        <v>9</v>
      </c>
      <c r="E8" t="s">
        <v>10</v>
      </c>
      <c r="F8" t="s">
        <v>10</v>
      </c>
      <c r="G8" t="s">
        <v>87</v>
      </c>
      <c r="H8" t="s">
        <v>11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46280</v>
      </c>
      <c r="B9" t="s">
        <v>71</v>
      </c>
      <c r="C9" s="5" t="s">
        <v>101</v>
      </c>
      <c r="D9" t="s">
        <v>12</v>
      </c>
      <c r="E9" t="s">
        <v>21</v>
      </c>
      <c r="F9" t="s">
        <v>21</v>
      </c>
      <c r="G9" t="s">
        <v>91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11">
        <v>46280</v>
      </c>
      <c r="B10" t="s">
        <v>71</v>
      </c>
      <c r="C10" s="5" t="s">
        <v>102</v>
      </c>
      <c r="D10" t="s">
        <v>12</v>
      </c>
      <c r="E10" t="s">
        <v>10</v>
      </c>
      <c r="F10" t="s">
        <v>10</v>
      </c>
      <c r="G10" t="s">
        <v>103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ht="30" x14ac:dyDescent="0.25">
      <c r="A11" s="11">
        <v>46280</v>
      </c>
      <c r="B11" t="s">
        <v>71</v>
      </c>
      <c r="C11" s="5" t="s">
        <v>104</v>
      </c>
      <c r="D11" t="s">
        <v>12</v>
      </c>
      <c r="E11" t="s">
        <v>10</v>
      </c>
      <c r="F11" t="s">
        <v>10</v>
      </c>
      <c r="G11" t="s">
        <v>83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46280</v>
      </c>
      <c r="B12" t="s">
        <v>71</v>
      </c>
      <c r="C12" s="5" t="s">
        <v>105</v>
      </c>
      <c r="D12" t="s">
        <v>12</v>
      </c>
      <c r="E12" t="s">
        <v>21</v>
      </c>
      <c r="F12" t="s">
        <v>21</v>
      </c>
      <c r="G12" t="s">
        <v>106</v>
      </c>
      <c r="H12" t="s">
        <v>11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11">
        <v>46280</v>
      </c>
      <c r="B13" t="s">
        <v>73</v>
      </c>
      <c r="C13" s="5" t="s">
        <v>107</v>
      </c>
      <c r="D13" t="s">
        <v>12</v>
      </c>
      <c r="E13" t="s">
        <v>27</v>
      </c>
      <c r="F13" t="s">
        <v>27</v>
      </c>
      <c r="G13" t="s">
        <v>108</v>
      </c>
      <c r="H13" t="s">
        <v>11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25">
      <c r="A14" s="11">
        <v>46280</v>
      </c>
      <c r="B14" t="s">
        <v>73</v>
      </c>
      <c r="C14" s="5" t="s">
        <v>109</v>
      </c>
      <c r="D14" t="s">
        <v>12</v>
      </c>
      <c r="E14" t="s">
        <v>10</v>
      </c>
      <c r="F14" t="s">
        <v>10</v>
      </c>
      <c r="G14" t="s">
        <v>110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46280</v>
      </c>
      <c r="B15" t="s">
        <v>73</v>
      </c>
      <c r="C15" s="5" t="s">
        <v>111</v>
      </c>
      <c r="D15" t="s">
        <v>12</v>
      </c>
      <c r="E15" t="s">
        <v>33</v>
      </c>
      <c r="F15" t="s">
        <v>33</v>
      </c>
      <c r="G15" t="s">
        <v>88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11">
        <v>46280</v>
      </c>
      <c r="B16" t="s">
        <v>73</v>
      </c>
      <c r="C16" s="5" t="s">
        <v>112</v>
      </c>
      <c r="D16" t="s">
        <v>12</v>
      </c>
      <c r="E16" t="s">
        <v>10</v>
      </c>
      <c r="F16" t="s">
        <v>10</v>
      </c>
      <c r="G16" t="s">
        <v>87</v>
      </c>
      <c r="H16" t="s">
        <v>11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x14ac:dyDescent="0.25">
      <c r="A17" s="11">
        <v>46280</v>
      </c>
      <c r="B17" t="s">
        <v>73</v>
      </c>
      <c r="C17" s="5" t="s">
        <v>113</v>
      </c>
      <c r="D17" t="s">
        <v>9</v>
      </c>
      <c r="E17" t="s">
        <v>10</v>
      </c>
      <c r="F17" t="s">
        <v>10</v>
      </c>
      <c r="G17" t="s">
        <v>114</v>
      </c>
      <c r="H17" t="s">
        <v>11</v>
      </c>
      <c r="I17" t="str">
        <f>_xlfn.XLOOKUP(Tabla1[[#This Row],[Dependencia]],Tabla2[Dependencia],Tabla2[Clasificación],"XXX",0)</f>
        <v>Otros</v>
      </c>
      <c r="J17" t="str">
        <f>_xlfn.XLOOKUP(Tabla1[[#This Row],[Dependencia]],Tabla3[Dependencia],Tabla3[Nivel],"Otros",0)</f>
        <v>Otros</v>
      </c>
    </row>
    <row r="18" spans="1:10" x14ac:dyDescent="0.25">
      <c r="A18" s="11">
        <v>46280</v>
      </c>
      <c r="B18" t="s">
        <v>73</v>
      </c>
      <c r="C18" s="5" t="s">
        <v>115</v>
      </c>
      <c r="D18" t="s">
        <v>12</v>
      </c>
      <c r="E18" t="s">
        <v>10</v>
      </c>
      <c r="F18" t="s">
        <v>10</v>
      </c>
      <c r="G18" t="s">
        <v>72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ht="30" x14ac:dyDescent="0.25">
      <c r="A19" s="11">
        <v>46280</v>
      </c>
      <c r="B19" t="s">
        <v>79</v>
      </c>
      <c r="C19" s="5" t="s">
        <v>116</v>
      </c>
      <c r="D19" t="s">
        <v>13</v>
      </c>
      <c r="E19" t="s">
        <v>33</v>
      </c>
      <c r="F19" t="s">
        <v>33</v>
      </c>
      <c r="G19" t="s">
        <v>88</v>
      </c>
      <c r="H19" t="s">
        <v>74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ht="30" x14ac:dyDescent="0.25">
      <c r="A20" s="11">
        <v>46280</v>
      </c>
      <c r="B20" t="s">
        <v>79</v>
      </c>
      <c r="C20" s="5" t="s">
        <v>117</v>
      </c>
      <c r="D20" t="s">
        <v>12</v>
      </c>
      <c r="E20" t="s">
        <v>24</v>
      </c>
      <c r="F20" t="s">
        <v>24</v>
      </c>
      <c r="G20" t="s">
        <v>118</v>
      </c>
      <c r="H20" t="s">
        <v>74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Gobernador</v>
      </c>
    </row>
    <row r="21" spans="1:10" x14ac:dyDescent="0.25">
      <c r="A21" s="11">
        <v>46280</v>
      </c>
      <c r="B21" t="s">
        <v>79</v>
      </c>
      <c r="C21" s="5" t="s">
        <v>119</v>
      </c>
      <c r="D21" t="s">
        <v>12</v>
      </c>
      <c r="E21" t="s">
        <v>38</v>
      </c>
      <c r="F21" t="s">
        <v>38</v>
      </c>
      <c r="G21" t="s">
        <v>87</v>
      </c>
      <c r="H21" t="s">
        <v>11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11">
        <v>46280</v>
      </c>
      <c r="B22" t="s">
        <v>79</v>
      </c>
      <c r="C22" s="5" t="s">
        <v>120</v>
      </c>
      <c r="D22" t="s">
        <v>12</v>
      </c>
      <c r="E22" t="s">
        <v>27</v>
      </c>
      <c r="F22" t="s">
        <v>2</v>
      </c>
      <c r="G22" t="s">
        <v>121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11">
        <v>46280</v>
      </c>
      <c r="B23" t="s">
        <v>79</v>
      </c>
      <c r="C23" s="5" t="s">
        <v>122</v>
      </c>
      <c r="D23" t="s">
        <v>9</v>
      </c>
      <c r="E23" t="s">
        <v>10</v>
      </c>
      <c r="F23" t="s">
        <v>10</v>
      </c>
      <c r="G23" t="s">
        <v>87</v>
      </c>
      <c r="H23" t="s">
        <v>11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x14ac:dyDescent="0.25">
      <c r="A24" s="11">
        <v>46280</v>
      </c>
      <c r="B24" t="s">
        <v>79</v>
      </c>
      <c r="C24" s="5" t="s">
        <v>123</v>
      </c>
      <c r="D24" t="s">
        <v>12</v>
      </c>
      <c r="E24" t="s">
        <v>27</v>
      </c>
      <c r="F24" t="s">
        <v>27</v>
      </c>
      <c r="G24" t="s">
        <v>124</v>
      </c>
      <c r="H24" t="s">
        <v>74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ht="30" x14ac:dyDescent="0.25">
      <c r="A25" s="11">
        <v>46280</v>
      </c>
      <c r="B25" t="s">
        <v>79</v>
      </c>
      <c r="C25" s="5" t="s">
        <v>125</v>
      </c>
      <c r="D25" t="s">
        <v>12</v>
      </c>
      <c r="E25" t="s">
        <v>14</v>
      </c>
      <c r="F25" t="s">
        <v>126</v>
      </c>
      <c r="G25" t="s">
        <v>127</v>
      </c>
      <c r="H25" t="s">
        <v>74</v>
      </c>
      <c r="I25" t="str">
        <f>_xlfn.XLOOKUP(Tabla1[[#This Row],[Dependencia]],Tabla2[Dependencia],Tabla2[Clasificación],"XXX",0)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25">
      <c r="A26" s="11">
        <v>46280</v>
      </c>
      <c r="B26" t="s">
        <v>79</v>
      </c>
      <c r="C26" s="5" t="s">
        <v>128</v>
      </c>
      <c r="D26" t="s">
        <v>12</v>
      </c>
      <c r="E26" t="s">
        <v>10</v>
      </c>
      <c r="F26" t="s">
        <v>10</v>
      </c>
      <c r="G26" t="s">
        <v>82</v>
      </c>
      <c r="H26" t="s">
        <v>11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11">
        <v>46280</v>
      </c>
      <c r="B27" t="s">
        <v>79</v>
      </c>
      <c r="C27" s="5" t="s">
        <v>129</v>
      </c>
      <c r="D27" t="s">
        <v>12</v>
      </c>
      <c r="E27" t="s">
        <v>10</v>
      </c>
      <c r="F27" t="s">
        <v>10</v>
      </c>
      <c r="G27" t="s">
        <v>130</v>
      </c>
      <c r="H27" t="s">
        <v>70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46280</v>
      </c>
      <c r="B28" t="s">
        <v>79</v>
      </c>
      <c r="C28" s="5" t="s">
        <v>131</v>
      </c>
      <c r="D28" t="s">
        <v>12</v>
      </c>
      <c r="E28" t="s">
        <v>10</v>
      </c>
      <c r="F28" t="s">
        <v>10</v>
      </c>
      <c r="G28" t="s">
        <v>82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x14ac:dyDescent="0.25">
      <c r="A29" s="11">
        <v>46280</v>
      </c>
      <c r="B29" t="s">
        <v>79</v>
      </c>
      <c r="C29" s="5" t="s">
        <v>132</v>
      </c>
      <c r="D29" t="s">
        <v>12</v>
      </c>
      <c r="E29" t="s">
        <v>10</v>
      </c>
      <c r="F29" t="s">
        <v>10</v>
      </c>
      <c r="G29" t="s">
        <v>82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x14ac:dyDescent="0.25">
      <c r="A30" s="11">
        <v>46280</v>
      </c>
      <c r="B30" t="s">
        <v>68</v>
      </c>
      <c r="C30" s="5" t="s">
        <v>133</v>
      </c>
      <c r="D30" t="s">
        <v>9</v>
      </c>
      <c r="E30" t="s">
        <v>10</v>
      </c>
      <c r="F30" t="s">
        <v>10</v>
      </c>
      <c r="G30" t="s">
        <v>87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ht="30" x14ac:dyDescent="0.25">
      <c r="A31" s="11">
        <v>46280</v>
      </c>
      <c r="B31" t="s">
        <v>68</v>
      </c>
      <c r="C31" s="5" t="s">
        <v>134</v>
      </c>
      <c r="D31" t="s">
        <v>12</v>
      </c>
      <c r="E31" t="s">
        <v>21</v>
      </c>
      <c r="F31" t="s">
        <v>21</v>
      </c>
      <c r="G31" t="s">
        <v>106</v>
      </c>
      <c r="H31" t="s">
        <v>74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Gabinete</v>
      </c>
    </row>
    <row r="32" spans="1:10" ht="30" x14ac:dyDescent="0.25">
      <c r="A32" s="11">
        <v>46280</v>
      </c>
      <c r="B32" t="s">
        <v>68</v>
      </c>
      <c r="C32" s="5" t="s">
        <v>135</v>
      </c>
      <c r="D32" t="s">
        <v>13</v>
      </c>
      <c r="E32" t="s">
        <v>33</v>
      </c>
      <c r="F32" t="s">
        <v>33</v>
      </c>
      <c r="G32" t="s">
        <v>88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ht="30" x14ac:dyDescent="0.25">
      <c r="A33" s="11">
        <v>46280</v>
      </c>
      <c r="B33" t="s">
        <v>68</v>
      </c>
      <c r="C33" s="5" t="s">
        <v>136</v>
      </c>
      <c r="D33" t="s">
        <v>12</v>
      </c>
      <c r="E33" t="s">
        <v>16</v>
      </c>
      <c r="F33" t="s">
        <v>16</v>
      </c>
      <c r="G33" t="s">
        <v>91</v>
      </c>
      <c r="H33" t="s">
        <v>70</v>
      </c>
      <c r="I33" t="str">
        <f>_xlfn.XLOOKUP(Tabla1[[#This Row],[Dependencia]],Tabla2[Dependencia],Tabla2[Clasificación],"XXX",0)</f>
        <v>Alcaldías</v>
      </c>
      <c r="J33" t="str">
        <f>_xlfn.XLOOKUP(Tabla1[[#This Row],[Dependencia]],Tabla3[Dependencia],Tabla3[Nivel],"Otros",0)</f>
        <v>Otros</v>
      </c>
    </row>
    <row r="34" spans="1:10" ht="60" x14ac:dyDescent="0.25">
      <c r="A34" s="11">
        <v>46280</v>
      </c>
      <c r="B34" t="s">
        <v>68</v>
      </c>
      <c r="C34" s="5" t="s">
        <v>137</v>
      </c>
      <c r="D34" t="s">
        <v>12</v>
      </c>
      <c r="E34" t="s">
        <v>38</v>
      </c>
      <c r="F34" t="s">
        <v>38</v>
      </c>
      <c r="G34" t="s">
        <v>138</v>
      </c>
      <c r="H34" t="s">
        <v>70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11">
        <v>46280</v>
      </c>
      <c r="B35" t="s">
        <v>77</v>
      </c>
      <c r="C35" s="5" t="s">
        <v>139</v>
      </c>
      <c r="D35" t="s">
        <v>13</v>
      </c>
      <c r="E35" t="s">
        <v>38</v>
      </c>
      <c r="F35" t="s">
        <v>38</v>
      </c>
      <c r="G35" t="s">
        <v>91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46280</v>
      </c>
      <c r="B36" t="s">
        <v>77</v>
      </c>
      <c r="C36" s="5" t="s">
        <v>140</v>
      </c>
      <c r="D36" t="s">
        <v>12</v>
      </c>
      <c r="E36" t="s">
        <v>33</v>
      </c>
      <c r="F36" t="s">
        <v>33</v>
      </c>
      <c r="G36" t="s">
        <v>88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ht="30" x14ac:dyDescent="0.25">
      <c r="A37" s="11">
        <v>46280</v>
      </c>
      <c r="B37" t="s">
        <v>77</v>
      </c>
      <c r="C37" s="5" t="s">
        <v>141</v>
      </c>
      <c r="D37" t="s">
        <v>12</v>
      </c>
      <c r="E37" t="s">
        <v>27</v>
      </c>
      <c r="F37" t="s">
        <v>27</v>
      </c>
      <c r="G37" t="s">
        <v>108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11">
        <v>46280</v>
      </c>
      <c r="B38" t="s">
        <v>77</v>
      </c>
      <c r="C38" s="5" t="s">
        <v>142</v>
      </c>
      <c r="D38" t="s">
        <v>12</v>
      </c>
      <c r="E38" t="s">
        <v>24</v>
      </c>
      <c r="F38" t="s">
        <v>24</v>
      </c>
      <c r="G38" t="s">
        <v>143</v>
      </c>
      <c r="H38" t="s">
        <v>74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Gobernador</v>
      </c>
    </row>
    <row r="39" spans="1:10" ht="30" x14ac:dyDescent="0.25">
      <c r="A39" s="11">
        <v>46280</v>
      </c>
      <c r="B39" t="s">
        <v>77</v>
      </c>
      <c r="C39" s="5" t="s">
        <v>144</v>
      </c>
      <c r="D39" t="s">
        <v>12</v>
      </c>
      <c r="E39" t="s">
        <v>15</v>
      </c>
      <c r="F39" t="s">
        <v>15</v>
      </c>
      <c r="G39" t="s">
        <v>89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11">
        <v>46280</v>
      </c>
      <c r="B40" t="s">
        <v>75</v>
      </c>
      <c r="C40" s="5" t="s">
        <v>145</v>
      </c>
      <c r="D40" t="s">
        <v>13</v>
      </c>
      <c r="E40" t="s">
        <v>33</v>
      </c>
      <c r="F40" t="s">
        <v>33</v>
      </c>
      <c r="G40" t="s">
        <v>88</v>
      </c>
      <c r="H40" t="s">
        <v>11</v>
      </c>
      <c r="I40" t="str">
        <f>_xlfn.XLOOKUP(Tabla1[[#This Row],[Dependencia]],Tabla2[Dependencia],Tabla2[Clasificación],"XXX",0)</f>
        <v>Otros</v>
      </c>
      <c r="J40" t="str">
        <f>_xlfn.XLOOKUP(Tabla1[[#This Row],[Dependencia]],Tabla3[Dependencia],Tabla3[Nivel],"Otros",0)</f>
        <v>Otros</v>
      </c>
    </row>
    <row r="41" spans="1:10" ht="30" x14ac:dyDescent="0.25">
      <c r="A41" s="11">
        <v>46280</v>
      </c>
      <c r="B41" t="s">
        <v>75</v>
      </c>
      <c r="C41" s="5" t="s">
        <v>146</v>
      </c>
      <c r="D41" t="s">
        <v>12</v>
      </c>
      <c r="E41" t="s">
        <v>16</v>
      </c>
      <c r="F41" t="s">
        <v>16</v>
      </c>
      <c r="G41" t="s">
        <v>93</v>
      </c>
      <c r="H41" t="s">
        <v>11</v>
      </c>
      <c r="I41" t="str">
        <f>_xlfn.XLOOKUP(Tabla1[[#This Row],[Dependencia]],Tabla2[Dependencia],Tabla2[Clasificación],"XXX",0)</f>
        <v>Alcaldías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46280</v>
      </c>
      <c r="B42" t="s">
        <v>75</v>
      </c>
      <c r="C42" s="5" t="s">
        <v>147</v>
      </c>
      <c r="D42" t="s">
        <v>9</v>
      </c>
      <c r="E42" t="s">
        <v>21</v>
      </c>
      <c r="F42" t="s">
        <v>21</v>
      </c>
      <c r="G42" t="s">
        <v>106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ht="45" x14ac:dyDescent="0.25">
      <c r="A43" s="11">
        <v>46280</v>
      </c>
      <c r="B43" t="s">
        <v>75</v>
      </c>
      <c r="C43" s="5" t="s">
        <v>148</v>
      </c>
      <c r="D43" t="s">
        <v>12</v>
      </c>
      <c r="E43" t="s">
        <v>17</v>
      </c>
      <c r="F43" t="s">
        <v>17</v>
      </c>
      <c r="G43" t="s">
        <v>90</v>
      </c>
      <c r="H43" t="s">
        <v>74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11">
        <v>46280</v>
      </c>
      <c r="B44" t="s">
        <v>75</v>
      </c>
      <c r="C44" s="5" t="s">
        <v>149</v>
      </c>
      <c r="D44" t="s">
        <v>12</v>
      </c>
      <c r="E44" t="s">
        <v>27</v>
      </c>
      <c r="F44" t="s">
        <v>27</v>
      </c>
      <c r="G44" t="s">
        <v>121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ht="30" x14ac:dyDescent="0.25">
      <c r="A45" s="11">
        <v>46280</v>
      </c>
      <c r="B45" t="s">
        <v>75</v>
      </c>
      <c r="C45" s="5" t="s">
        <v>150</v>
      </c>
      <c r="D45" t="s">
        <v>12</v>
      </c>
      <c r="E45" t="s">
        <v>24</v>
      </c>
      <c r="F45" t="s">
        <v>24</v>
      </c>
      <c r="G45" t="s">
        <v>143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Gobernador</v>
      </c>
    </row>
    <row r="46" spans="1:10" ht="30" x14ac:dyDescent="0.25">
      <c r="A46" s="11">
        <v>46280</v>
      </c>
      <c r="B46" t="s">
        <v>78</v>
      </c>
      <c r="C46" s="5" t="s">
        <v>151</v>
      </c>
      <c r="D46" t="s">
        <v>85</v>
      </c>
      <c r="E46" t="s">
        <v>33</v>
      </c>
      <c r="F46" t="s">
        <v>33</v>
      </c>
      <c r="G46" t="s">
        <v>88</v>
      </c>
      <c r="H46" t="s">
        <v>11</v>
      </c>
      <c r="I46" t="str">
        <f>_xlfn.XLOOKUP(Tabla1[[#This Row],[Dependencia]],Tabla2[Dependencia],Tabla2[Clasificación],"XXX",0)</f>
        <v>Otros</v>
      </c>
      <c r="J46" t="str">
        <f>_xlfn.XLOOKUP(Tabla1[[#This Row],[Dependencia]],Tabla3[Dependencia],Tabla3[Nivel],"Otros",0)</f>
        <v>Otros</v>
      </c>
    </row>
    <row r="47" spans="1:10" ht="30" x14ac:dyDescent="0.25">
      <c r="A47" s="11">
        <v>46280</v>
      </c>
      <c r="B47" t="s">
        <v>78</v>
      </c>
      <c r="C47" s="5" t="s">
        <v>152</v>
      </c>
      <c r="D47" t="s">
        <v>12</v>
      </c>
      <c r="E47" t="s">
        <v>16</v>
      </c>
      <c r="F47" t="s">
        <v>16</v>
      </c>
      <c r="G47" t="s">
        <v>86</v>
      </c>
      <c r="H47" t="s">
        <v>11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ht="45" x14ac:dyDescent="0.25">
      <c r="A48" s="11">
        <v>46280</v>
      </c>
      <c r="B48" t="s">
        <v>78</v>
      </c>
      <c r="C48" s="5" t="s">
        <v>153</v>
      </c>
      <c r="D48" t="s">
        <v>13</v>
      </c>
      <c r="E48" t="s">
        <v>24</v>
      </c>
      <c r="F48" t="s">
        <v>24</v>
      </c>
      <c r="G48" t="s">
        <v>143</v>
      </c>
      <c r="H48" t="s">
        <v>74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Gobernador</v>
      </c>
    </row>
    <row r="49" spans="1:10" ht="30" x14ac:dyDescent="0.25">
      <c r="A49" s="11">
        <v>46280</v>
      </c>
      <c r="B49" t="s">
        <v>78</v>
      </c>
      <c r="C49" s="5" t="s">
        <v>154</v>
      </c>
      <c r="D49" t="s">
        <v>12</v>
      </c>
      <c r="E49" t="s">
        <v>16</v>
      </c>
      <c r="F49" t="s">
        <v>16</v>
      </c>
      <c r="G49" t="s">
        <v>155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46280</v>
      </c>
      <c r="B50" t="s">
        <v>78</v>
      </c>
      <c r="C50" s="5" t="s">
        <v>156</v>
      </c>
      <c r="D50" t="s">
        <v>12</v>
      </c>
      <c r="E50" t="s">
        <v>16</v>
      </c>
      <c r="F50" t="s">
        <v>80</v>
      </c>
      <c r="G50" t="s">
        <v>157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46280</v>
      </c>
      <c r="B51" t="s">
        <v>78</v>
      </c>
      <c r="C51" s="5" t="s">
        <v>158</v>
      </c>
      <c r="D51" t="s">
        <v>12</v>
      </c>
      <c r="E51" t="s">
        <v>16</v>
      </c>
      <c r="F51" t="s">
        <v>16</v>
      </c>
      <c r="G51" t="s">
        <v>82</v>
      </c>
      <c r="H51" t="s">
        <v>11</v>
      </c>
      <c r="I51" t="str">
        <f>_xlfn.XLOOKUP(Tabla1[[#This Row],[Dependencia]],Tabla2[Dependencia],Tabla2[Clasificación],"XXX",0)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11">
        <v>46280</v>
      </c>
      <c r="B52" t="s">
        <v>78</v>
      </c>
      <c r="C52" s="5" t="s">
        <v>159</v>
      </c>
      <c r="D52" t="s">
        <v>12</v>
      </c>
      <c r="E52" t="s">
        <v>24</v>
      </c>
      <c r="F52" t="s">
        <v>24</v>
      </c>
      <c r="G52" t="s">
        <v>160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Gobernador</v>
      </c>
    </row>
    <row r="53" spans="1:10" x14ac:dyDescent="0.25">
      <c r="A53" s="11">
        <v>46280</v>
      </c>
      <c r="B53" t="s">
        <v>78</v>
      </c>
      <c r="C53" s="5" t="s">
        <v>161</v>
      </c>
      <c r="D53" t="s">
        <v>81</v>
      </c>
      <c r="E53" t="s">
        <v>16</v>
      </c>
      <c r="F53" t="s">
        <v>16</v>
      </c>
      <c r="G53" t="s">
        <v>162</v>
      </c>
      <c r="H53" t="s">
        <v>11</v>
      </c>
      <c r="I53" t="str">
        <f>_xlfn.XLOOKUP(Tabla1[[#This Row],[Dependencia]],Tabla2[Dependencia],Tabla2[Clasificación],"XXX",0)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11">
        <v>46280</v>
      </c>
      <c r="B54" t="s">
        <v>163</v>
      </c>
      <c r="C54" s="5" t="s">
        <v>164</v>
      </c>
      <c r="D54" t="s">
        <v>13</v>
      </c>
      <c r="E54" t="s">
        <v>27</v>
      </c>
      <c r="F54" t="s">
        <v>27</v>
      </c>
      <c r="G54" t="s">
        <v>165</v>
      </c>
      <c r="H54" t="s">
        <v>74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11">
        <v>46280</v>
      </c>
      <c r="B55" t="s">
        <v>163</v>
      </c>
      <c r="C55" s="5" t="s">
        <v>166</v>
      </c>
      <c r="D55" t="s">
        <v>12</v>
      </c>
      <c r="E55" t="s">
        <v>16</v>
      </c>
      <c r="F55" t="s">
        <v>80</v>
      </c>
      <c r="G55" t="s">
        <v>93</v>
      </c>
      <c r="H55" t="s">
        <v>11</v>
      </c>
      <c r="I55" t="str">
        <f>_xlfn.XLOOKUP(Tabla1[[#This Row],[Dependencia]],Tabla2[Dependencia],Tabla2[Clasificación],"XXX",0)</f>
        <v>Alcaldías</v>
      </c>
      <c r="J55" t="str">
        <f>_xlfn.XLOOKUP(Tabla1[[#This Row],[Dependencia]],Tabla3[Dependencia],Tabla3[Nivel],"Otros",0)</f>
        <v>Otros</v>
      </c>
    </row>
    <row r="56" spans="1:10" ht="30" x14ac:dyDescent="0.25">
      <c r="A56" s="11">
        <v>46280</v>
      </c>
      <c r="B56" t="s">
        <v>163</v>
      </c>
      <c r="C56" s="5" t="s">
        <v>167</v>
      </c>
      <c r="D56" t="s">
        <v>12</v>
      </c>
      <c r="E56" t="s">
        <v>22</v>
      </c>
      <c r="F56" t="s">
        <v>22</v>
      </c>
      <c r="G56" t="s">
        <v>127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ht="45" x14ac:dyDescent="0.25">
      <c r="A57" s="11">
        <v>46280</v>
      </c>
      <c r="B57" t="s">
        <v>163</v>
      </c>
      <c r="C57" s="5" t="s">
        <v>168</v>
      </c>
      <c r="D57" t="s">
        <v>12</v>
      </c>
      <c r="E57" t="s">
        <v>24</v>
      </c>
      <c r="F57" t="s">
        <v>24</v>
      </c>
      <c r="G57" t="s">
        <v>143</v>
      </c>
      <c r="H57" t="s">
        <v>11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Gobernador</v>
      </c>
    </row>
    <row r="58" spans="1:10" x14ac:dyDescent="0.25">
      <c r="A58" s="11">
        <v>46280</v>
      </c>
      <c r="B58" t="s">
        <v>163</v>
      </c>
      <c r="C58" s="5" t="s">
        <v>169</v>
      </c>
      <c r="D58" t="s">
        <v>12</v>
      </c>
      <c r="E58" t="s">
        <v>10</v>
      </c>
      <c r="F58" t="s">
        <v>10</v>
      </c>
      <c r="G58" t="s">
        <v>87</v>
      </c>
      <c r="H58" t="s">
        <v>11</v>
      </c>
      <c r="I58" t="str">
        <f>_xlfn.XLOOKUP(Tabla1[[#This Row],[Dependencia]],Tabla2[Dependencia],Tabla2[Clasificación],"XXX",0)</f>
        <v>Otros</v>
      </c>
      <c r="J58" t="str">
        <f>_xlfn.XLOOKUP(Tabla1[[#This Row],[Dependencia]],Tabla3[Dependencia],Tabla3[Nivel],"Otros",0)</f>
        <v>Otros</v>
      </c>
    </row>
    <row r="59" spans="1:10" x14ac:dyDescent="0.25">
      <c r="A59" s="11">
        <v>46280</v>
      </c>
      <c r="B59" t="s">
        <v>163</v>
      </c>
      <c r="C59" s="5" t="s">
        <v>170</v>
      </c>
      <c r="D59" t="s">
        <v>12</v>
      </c>
      <c r="E59" t="s">
        <v>10</v>
      </c>
      <c r="F59" t="s">
        <v>10</v>
      </c>
      <c r="G59" t="s">
        <v>114</v>
      </c>
      <c r="H59" t="s">
        <v>11</v>
      </c>
      <c r="I59" t="str">
        <f>_xlfn.XLOOKUP(Tabla1[[#This Row],[Dependencia]],Tabla2[Dependencia],Tabla2[Clasificación],"XXX",0)</f>
        <v>Otros</v>
      </c>
      <c r="J59" t="str">
        <f>_xlfn.XLOOKUP(Tabla1[[#This Row],[Dependencia]],Tabla3[Dependencia],Tabla3[Nivel],"Otros",0)</f>
        <v>Otros</v>
      </c>
    </row>
    <row r="60" spans="1:10" x14ac:dyDescent="0.25">
      <c r="A60" s="11">
        <v>46280</v>
      </c>
      <c r="B60" t="s">
        <v>163</v>
      </c>
      <c r="C60" s="5" t="s">
        <v>171</v>
      </c>
      <c r="D60" t="s">
        <v>81</v>
      </c>
      <c r="E60" t="s">
        <v>21</v>
      </c>
      <c r="F60" t="s">
        <v>21</v>
      </c>
      <c r="G60" t="s">
        <v>91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25">
      <c r="A61" s="11">
        <v>46280</v>
      </c>
      <c r="B61" t="s">
        <v>76</v>
      </c>
      <c r="C61" s="5" t="s">
        <v>172</v>
      </c>
      <c r="D61" t="s">
        <v>13</v>
      </c>
      <c r="E61" t="s">
        <v>33</v>
      </c>
      <c r="F61" t="s">
        <v>33</v>
      </c>
      <c r="G61" t="s">
        <v>88</v>
      </c>
      <c r="H61" t="s">
        <v>11</v>
      </c>
      <c r="I61" t="str">
        <f>_xlfn.XLOOKUP(Tabla1[[#This Row],[Dependencia]],Tabla2[Dependencia],Tabla2[Clasificación],"XXX",0)</f>
        <v>Otros</v>
      </c>
      <c r="J61" t="str">
        <f>_xlfn.XLOOKUP(Tabla1[[#This Row],[Dependencia]],Tabla3[Dependencia],Tabla3[Nivel],"Otros",0)</f>
        <v>Otros</v>
      </c>
    </row>
    <row r="62" spans="1:10" ht="30" x14ac:dyDescent="0.25">
      <c r="A62" s="11">
        <v>46280</v>
      </c>
      <c r="B62" t="s">
        <v>76</v>
      </c>
      <c r="C62" s="5" t="s">
        <v>173</v>
      </c>
      <c r="D62" t="s">
        <v>12</v>
      </c>
      <c r="E62" t="s">
        <v>10</v>
      </c>
      <c r="F62" t="s">
        <v>10</v>
      </c>
      <c r="G62" t="s">
        <v>174</v>
      </c>
      <c r="H62" t="s">
        <v>11</v>
      </c>
      <c r="I62" t="str">
        <f>_xlfn.XLOOKUP(Tabla1[[#This Row],[Dependencia]],Tabla2[Dependencia],Tabla2[Clasificación],"XXX",0)</f>
        <v>Otros</v>
      </c>
      <c r="J62" t="str">
        <f>_xlfn.XLOOKUP(Tabla1[[#This Row],[Dependencia]],Tabla3[Dependencia],Tabla3[Nivel],"Otros",0)</f>
        <v>Otros</v>
      </c>
    </row>
    <row r="63" spans="1:10" x14ac:dyDescent="0.25">
      <c r="A63" s="11">
        <v>46280</v>
      </c>
      <c r="B63" t="s">
        <v>76</v>
      </c>
      <c r="C63" s="5" t="s">
        <v>175</v>
      </c>
      <c r="D63" t="s">
        <v>12</v>
      </c>
      <c r="E63" t="s">
        <v>10</v>
      </c>
      <c r="F63" t="s">
        <v>10</v>
      </c>
      <c r="G63" t="s">
        <v>176</v>
      </c>
      <c r="H63" t="s">
        <v>11</v>
      </c>
      <c r="I63" t="str">
        <f>_xlfn.XLOOKUP(Tabla1[[#This Row],[Dependencia]],Tabla2[Dependencia],Tabla2[Clasificación],"XXX",0)</f>
        <v>Otros</v>
      </c>
      <c r="J63" t="str">
        <f>_xlfn.XLOOKUP(Tabla1[[#This Row],[Dependencia]],Tabla3[Dependencia],Tabla3[Nivel],"Otros",0)</f>
        <v>Otros</v>
      </c>
    </row>
    <row r="64" spans="1:10" ht="60" x14ac:dyDescent="0.25">
      <c r="A64" s="11">
        <v>46280</v>
      </c>
      <c r="B64" t="s">
        <v>76</v>
      </c>
      <c r="C64" s="5" t="s">
        <v>177</v>
      </c>
      <c r="D64" t="s">
        <v>178</v>
      </c>
      <c r="E64" t="s">
        <v>27</v>
      </c>
      <c r="F64" t="s">
        <v>27</v>
      </c>
      <c r="G64" t="s">
        <v>179</v>
      </c>
      <c r="H64" t="s">
        <v>74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69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69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84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2026-09-15T14:44:46Z</dcterms:modified>
</cp:coreProperties>
</file>