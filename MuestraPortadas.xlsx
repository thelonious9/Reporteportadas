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E9A3C5BB-15CD-433C-9DE1-128FC474DFAB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</calcChain>
</file>

<file path=xl/sharedStrings.xml><?xml version="1.0" encoding="utf-8"?>
<sst xmlns="http://schemas.openxmlformats.org/spreadsheetml/2006/main" count="526" uniqueCount="179">
  <si>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</si>
  <si>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</si>
  <si>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</si>
  <si>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</si>
  <si>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</si>
  <si>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</si>
  <si>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</si>
  <si>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</si>
  <si>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</si>
  <si>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</si>
  <si>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</si>
  <si>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</si>
  <si>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</si>
  <si>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</si>
  <si>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</si>
  <si>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</si>
  <si>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</si>
  <si>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</si>
  <si>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</si>
  <si>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</si>
  <si>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</si>
  <si>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</si>
  <si>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</si>
  <si>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</si>
  <si>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</si>
  <si>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</si>
  <si>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</si>
  <si>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</si>
  <si>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</si>
  <si>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</si>
  <si>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</si>
  <si>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</si>
  <si>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</si>
  <si>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</si>
  <si>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</si>
  <si>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</si>
  <si>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</si>
  <si>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</si>
  <si>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</si>
  <si>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</si>
  <si>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</si>
  <si>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</si>
  <si>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</si>
  <si>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</si>
  <si>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</si>
  <si>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</si>
  <si>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</si>
  <si>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</si>
  <si>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</si>
  <si>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</si>
  <si>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</si>
  <si>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</si>
  <si>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</si>
  <si>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</si>
  <si>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</si>
  <si>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</si>
  <si>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</si>
  <si>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</si>
  <si>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</si>
  <si>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</si>
  <si>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</si>
  <si>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</si>
  <si>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</si>
  <si>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</si>
  <si>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</si>
  <si>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</si>
  <si>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</si>
  <si>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</si>
  <si>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</si>
  <si>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</si>
  <si>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</si>
  <si>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</si>
  <si>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Deportes</t>
  </si>
  <si>
    <t>Criterio</t>
  </si>
  <si>
    <t>Positiva</t>
  </si>
  <si>
    <t>Effetá</t>
  </si>
  <si>
    <t>Síntesis</t>
  </si>
  <si>
    <t>Marfeca</t>
  </si>
  <si>
    <t>Milenio Hidalgo</t>
  </si>
  <si>
    <t>Alcalde</t>
  </si>
  <si>
    <t>Publicidad</t>
  </si>
  <si>
    <t>PAZ</t>
  </si>
  <si>
    <t>El Mexe</t>
  </si>
  <si>
    <t>Grito De Independencia</t>
  </si>
  <si>
    <t>Pachuca Brilla</t>
  </si>
  <si>
    <t>Sipdus</t>
  </si>
  <si>
    <t>Pirotecnia</t>
  </si>
  <si>
    <t>Denuncian falta de respuesta del Congreso</t>
  </si>
  <si>
    <t>Municipio 85</t>
  </si>
  <si>
    <t>Cierran dos calles por obras de rehabilitación</t>
  </si>
  <si>
    <t>Rehabilitación Vial</t>
  </si>
  <si>
    <t>Pide Julio Menchaca prudencia en Jaltocán</t>
  </si>
  <si>
    <t>Homicidio de sacerdote</t>
  </si>
  <si>
    <t>Retiran lote de medicamento para diabetes</t>
  </si>
  <si>
    <t>Salud</t>
  </si>
  <si>
    <t>Farmacovigilancia</t>
  </si>
  <si>
    <t>Exigen restituir a profesora en Jardín de Niños, en Tula</t>
  </si>
  <si>
    <t>Básica</t>
  </si>
  <si>
    <t>Exigen Restitución De Docente</t>
  </si>
  <si>
    <t>Destinan 26 mil mdp para pista alterna Hidalgo-Querétaro</t>
  </si>
  <si>
    <t>Ampliación carretera</t>
  </si>
  <si>
    <t>Aumenta huachicoleo 17 por ciento en la entidad</t>
  </si>
  <si>
    <t>Pemex</t>
  </si>
  <si>
    <t>Huachicol</t>
  </si>
  <si>
    <t>Menchaca, cuarto en aprobación nacional</t>
  </si>
  <si>
    <t>Aprobación Gobernador</t>
  </si>
  <si>
    <t>Buscan revivir parquímetros en Pachuca</t>
  </si>
  <si>
    <t>Parquímetros</t>
  </si>
  <si>
    <t>Desmontan el escenario en la Plaza Juárez</t>
  </si>
  <si>
    <t>Reportan cuatro muertes violentas en solo 15 días</t>
  </si>
  <si>
    <t>Homicidios</t>
  </si>
  <si>
    <t>Pachuca esperará foros antes de fijar su postura sobre el carril confinado</t>
  </si>
  <si>
    <t>Carril confinado</t>
  </si>
  <si>
    <t>Dictan 142 sentencias penales a adolescentes</t>
  </si>
  <si>
    <t>Sentencia a adolescentes</t>
  </si>
  <si>
    <t>Ladran, pero no muerden</t>
  </si>
  <si>
    <t>Anuncian histórica justa internacional</t>
  </si>
  <si>
    <t>Paranacionales Conade</t>
  </si>
  <si>
    <t>Congreso acumula tres diputados fallecidos estando en funciones</t>
  </si>
  <si>
    <t>Deceso diputado</t>
  </si>
  <si>
    <t>Clásico nacional de cuentas pendientes</t>
  </si>
  <si>
    <t>El gobierno federal apuesta por reforzar la conexión terrestre</t>
  </si>
  <si>
    <t>SICT</t>
  </si>
  <si>
    <t>Es la segunda fase de la vía Tamazunchale-Huejutla</t>
  </si>
  <si>
    <t>Carretera Huejutla</t>
  </si>
  <si>
    <t>Endhó: una zona tóxica y cancerígena</t>
  </si>
  <si>
    <t>Conagua</t>
  </si>
  <si>
    <t>Presa Endhó</t>
  </si>
  <si>
    <t>investiga la PGJEH crimen de sacerdsote en la sierra; piden evitar especulación</t>
  </si>
  <si>
    <t>Inicia la intervención de 34 estaciones del Tuzobús en octubre</t>
  </si>
  <si>
    <t>Sitmah</t>
  </si>
  <si>
    <t>Rehabilitación estaciones Tuzobús</t>
  </si>
  <si>
    <t>Van 72 paratletas a competencia nacional</t>
  </si>
  <si>
    <t>En Guanajuato decomisan 59 millones de litros de huachicol</t>
  </si>
  <si>
    <t>Combate Al Huachicol</t>
  </si>
  <si>
    <t>No detectar a tiempo la diabetes agrava su impacto</t>
  </si>
  <si>
    <t>Control de enfermedades</t>
  </si>
  <si>
    <t>Invertirán 3 mdp para transformar Centro Veterinario en hospital</t>
  </si>
  <si>
    <t>Hospital veterinario</t>
  </si>
  <si>
    <t>Menchaca abandera a delegación paralímpica para nacional de Conade</t>
  </si>
  <si>
    <t>Sin certeza, el cobro de 800 mdp de Accendo  pendientes: Hacienda</t>
  </si>
  <si>
    <t>Accendo</t>
  </si>
  <si>
    <t>Megaalmacén de Guanajuato: 59 millones de litros de huachicol</t>
  </si>
  <si>
    <t>Todavía no arranca el proceso electoral local, pero los tiempos apremian y ya varios andan en  campaña. Algunos lo hacen de manera discreta y otros aprovechan los resquicios que deja la ley  para promover su imagen de manera anticipada”.</t>
  </si>
  <si>
    <t>Investiga Procuraduría homicidio de párroco de Huejutla</t>
  </si>
  <si>
    <t>Pachuca, único municipio mexicano presente en congreso internacional de bomberos</t>
  </si>
  <si>
    <t>Congreso internacional de bomberos</t>
  </si>
  <si>
    <t>Representarán 72 paradeportistas a Hidalgo en la justa Conade 2026</t>
  </si>
  <si>
    <t>Inhide</t>
  </si>
  <si>
    <t>Tendrá representación  indígena participación  limitada en cabildo de  Cardonal</t>
  </si>
  <si>
    <t>Temas varios</t>
  </si>
  <si>
    <t>Prevén rehabilitación de 20 fuentes en Pachuca</t>
  </si>
  <si>
    <t>Rehabilitación de espacios públicos</t>
  </si>
  <si>
    <t>Medécigo reporta avances en seguridad</t>
  </si>
  <si>
    <t>Equipamiento policiaco</t>
  </si>
  <si>
    <t>Menchaca, el cuarto gobernador con mayor aprobación del país: Mitofsky</t>
  </si>
  <si>
    <t>Revés al TEEH</t>
  </si>
  <si>
    <t>Resolución de juicio</t>
  </si>
  <si>
    <t>Es todo un tema las normales rurales""</t>
  </si>
  <si>
    <t>Menchaca confirma diálogo con Segob e Iglesia por crimen de sacerdote</t>
  </si>
  <si>
    <t>Retienen 64 vehículos por dar transporte sin autorización</t>
  </si>
  <si>
    <t>Concesiones transporte público</t>
  </si>
  <si>
    <t>Menchaca pide prudencia tras dichos de alcalde contra sacerdote</t>
  </si>
  <si>
    <t>Menchaca abandera a paratletas rumbo a la Conade 2026</t>
  </si>
  <si>
    <t>Pachuca destaca como único municipio mexicano en congreso internacional de bomberos</t>
  </si>
  <si>
    <t>Congreso Internacional</t>
  </si>
  <si>
    <t>Impulsa Saderh al campo hidalguense con entrega de apoyos productivos en La Misión y Zimapán</t>
  </si>
  <si>
    <t>Entrega De Apoyos</t>
  </si>
  <si>
    <t>Revocan concesión y revisan paraderos tras accidente en Pachuca</t>
  </si>
  <si>
    <t>Alistan definición de tarifas para taxis en Hidalgo</t>
  </si>
  <si>
    <t>Tarifario de taxis</t>
  </si>
  <si>
    <t>La pirotecnia no es un juego</t>
  </si>
  <si>
    <t>Julio Menchaca abandera a paratletas rumbo a la Paralimpiada Nacional 2026</t>
  </si>
  <si>
    <t>DIFH fortalece accesibilidad para personas con discapacidad</t>
  </si>
  <si>
    <t>Apoyo a personas con discapacidad</t>
  </si>
  <si>
    <t>Docente de la UTVM realiza estancia académica en Estados Unidos</t>
  </si>
  <si>
    <t>Universidades</t>
  </si>
  <si>
    <t>Movilidad Académica</t>
  </si>
  <si>
    <t>Menchaca, cuarto gobernador con mayor aprobación ciudadana: Mitofsky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</si>
</sst>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3" totalsRowShown="0" headerRowDxfId="5" headerRowBorderDxfId="4">
  <autoFilter ref="A1:J53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3"/>
  <sheetViews>
    <sheetView tabSelected="1" workbookViewId="0">
      <selection activeCell="I38" sqref="I38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46283</v>
      </c>
      <c r="B2" t="s">
        <v>67</v>
      </c>
      <c r="C2" s="5" t="s">
        <v>87</v>
      </c>
      <c r="D2" t="s">
        <v>12</v>
      </c>
      <c r="E2" t="s">
        <v>33</v>
      </c>
      <c r="F2" t="s">
        <v>33</v>
      </c>
      <c r="G2" t="s">
        <v>88</v>
      </c>
      <c r="H2" t="s">
        <v>70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46283</v>
      </c>
      <c r="B3" t="s">
        <v>67</v>
      </c>
      <c r="C3" s="5" t="s">
        <v>89</v>
      </c>
      <c r="D3" t="s">
        <v>12</v>
      </c>
      <c r="E3" t="s">
        <v>85</v>
      </c>
      <c r="F3" t="s">
        <v>85</v>
      </c>
      <c r="G3" t="s">
        <v>90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46283</v>
      </c>
      <c r="B4" t="s">
        <v>67</v>
      </c>
      <c r="C4" s="5" t="s">
        <v>91</v>
      </c>
      <c r="D4" t="s">
        <v>13</v>
      </c>
      <c r="E4" t="s">
        <v>24</v>
      </c>
      <c r="F4" t="s">
        <v>24</v>
      </c>
      <c r="G4" t="s">
        <v>92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Gobernador</v>
      </c>
    </row>
    <row r="5" spans="1:10" x14ac:dyDescent="0.25">
      <c r="A5" s="11">
        <v>46283</v>
      </c>
      <c r="B5" t="s">
        <v>67</v>
      </c>
      <c r="C5" s="5" t="s">
        <v>93</v>
      </c>
      <c r="D5" t="s">
        <v>12</v>
      </c>
      <c r="E5" t="s">
        <v>14</v>
      </c>
      <c r="F5" t="s">
        <v>94</v>
      </c>
      <c r="G5" t="s">
        <v>95</v>
      </c>
      <c r="H5" t="s">
        <v>11</v>
      </c>
      <c r="I5" t="str">
        <f>_xlfn.XLOOKUP(Tabla1[[#This Row],[Dependencia]],Tabla2[Dependencia],Tabla2[Clasificación],"XXX",0)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46283</v>
      </c>
      <c r="B6" t="s">
        <v>67</v>
      </c>
      <c r="C6" s="5" t="s">
        <v>96</v>
      </c>
      <c r="D6" t="s">
        <v>9</v>
      </c>
      <c r="E6" t="s">
        <v>26</v>
      </c>
      <c r="F6" t="s">
        <v>97</v>
      </c>
      <c r="G6" t="s">
        <v>98</v>
      </c>
      <c r="H6" t="s">
        <v>11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ht="30" x14ac:dyDescent="0.25">
      <c r="A7" s="11">
        <v>46283</v>
      </c>
      <c r="B7" t="s">
        <v>71</v>
      </c>
      <c r="C7" s="5" t="s">
        <v>99</v>
      </c>
      <c r="D7" t="s">
        <v>13</v>
      </c>
      <c r="E7" t="s">
        <v>14</v>
      </c>
      <c r="F7" t="s">
        <v>14</v>
      </c>
      <c r="G7" t="s">
        <v>100</v>
      </c>
      <c r="H7" t="s">
        <v>11</v>
      </c>
      <c r="I7" t="str">
        <f>_xlfn.XLOOKUP(Tabla1[[#This Row],[Dependencia]],Tabla2[Dependencia],Tabla2[Clasificación],"XXX",0)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46283</v>
      </c>
      <c r="B8" t="s">
        <v>71</v>
      </c>
      <c r="C8" s="5" t="s">
        <v>101</v>
      </c>
      <c r="D8" t="s">
        <v>12</v>
      </c>
      <c r="E8" t="s">
        <v>14</v>
      </c>
      <c r="F8" t="s">
        <v>102</v>
      </c>
      <c r="G8" t="s">
        <v>103</v>
      </c>
      <c r="H8" t="s">
        <v>70</v>
      </c>
      <c r="I8" t="str">
        <f>_xlfn.XLOOKUP(Tabla1[[#This Row],[Dependencia]],Tabla2[Dependencia],Tabla2[Clasificación],"XXX",0)</f>
        <v>Presidencia de la República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46283</v>
      </c>
      <c r="B9" t="s">
        <v>71</v>
      </c>
      <c r="C9" s="5" t="s">
        <v>104</v>
      </c>
      <c r="D9" t="s">
        <v>12</v>
      </c>
      <c r="E9" t="s">
        <v>24</v>
      </c>
      <c r="F9" t="s">
        <v>24</v>
      </c>
      <c r="G9" t="s">
        <v>105</v>
      </c>
      <c r="H9" t="s">
        <v>74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25">
      <c r="A10" s="11">
        <v>46283</v>
      </c>
      <c r="B10" t="s">
        <v>71</v>
      </c>
      <c r="C10" s="5" t="s">
        <v>106</v>
      </c>
      <c r="D10" t="s">
        <v>12</v>
      </c>
      <c r="E10" t="s">
        <v>16</v>
      </c>
      <c r="F10" t="s">
        <v>16</v>
      </c>
      <c r="G10" t="s">
        <v>107</v>
      </c>
      <c r="H10" t="s">
        <v>11</v>
      </c>
      <c r="I10" t="str">
        <f>_xlfn.XLOOKUP(Tabla1[[#This Row],[Dependencia]],Tabla2[Dependencia],Tabla2[Clasificación],"XXX",0)</f>
        <v>Alcaldías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46283</v>
      </c>
      <c r="B11" t="s">
        <v>71</v>
      </c>
      <c r="C11" s="5" t="s">
        <v>108</v>
      </c>
      <c r="D11" t="s">
        <v>9</v>
      </c>
      <c r="E11" t="s">
        <v>38</v>
      </c>
      <c r="F11" t="s">
        <v>38</v>
      </c>
      <c r="G11" t="s">
        <v>83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25">
      <c r="A12" s="11">
        <v>46283</v>
      </c>
      <c r="B12" t="s">
        <v>73</v>
      </c>
      <c r="C12" s="5" t="s">
        <v>109</v>
      </c>
      <c r="D12" t="s">
        <v>12</v>
      </c>
      <c r="E12" t="s">
        <v>17</v>
      </c>
      <c r="F12" t="s">
        <v>17</v>
      </c>
      <c r="G12" t="s">
        <v>110</v>
      </c>
      <c r="H12" t="s">
        <v>70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ht="30" x14ac:dyDescent="0.25">
      <c r="A13" s="11">
        <v>46283</v>
      </c>
      <c r="B13" t="s">
        <v>73</v>
      </c>
      <c r="C13" s="5" t="s">
        <v>111</v>
      </c>
      <c r="D13" t="s">
        <v>12</v>
      </c>
      <c r="E13" t="s">
        <v>16</v>
      </c>
      <c r="F13" t="s">
        <v>79</v>
      </c>
      <c r="G13" t="s">
        <v>112</v>
      </c>
      <c r="H13" t="s">
        <v>11</v>
      </c>
      <c r="I13" t="str">
        <f>_xlfn.XLOOKUP(Tabla1[[#This Row],[Dependencia]],Tabla2[Dependencia],Tabla2[Clasificación],"XXX",0)</f>
        <v>Alcaldías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46283</v>
      </c>
      <c r="B14" t="s">
        <v>73</v>
      </c>
      <c r="C14" s="5" t="s">
        <v>113</v>
      </c>
      <c r="D14" t="s">
        <v>13</v>
      </c>
      <c r="E14" t="s">
        <v>58</v>
      </c>
      <c r="F14" t="s">
        <v>58</v>
      </c>
      <c r="G14" t="s">
        <v>114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46283</v>
      </c>
      <c r="B15" t="s">
        <v>73</v>
      </c>
      <c r="C15" s="5" t="s">
        <v>115</v>
      </c>
      <c r="D15" t="s">
        <v>12</v>
      </c>
      <c r="E15" t="s">
        <v>10</v>
      </c>
      <c r="F15" t="s">
        <v>10</v>
      </c>
      <c r="G15" t="s">
        <v>72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46283</v>
      </c>
      <c r="B16" t="s">
        <v>73</v>
      </c>
      <c r="C16" s="5" t="s">
        <v>116</v>
      </c>
      <c r="D16" t="s">
        <v>9</v>
      </c>
      <c r="E16" t="s">
        <v>24</v>
      </c>
      <c r="F16" t="s">
        <v>24</v>
      </c>
      <c r="G16" t="s">
        <v>117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Gobernador</v>
      </c>
    </row>
    <row r="17" spans="1:10" ht="30" x14ac:dyDescent="0.25">
      <c r="A17" s="11">
        <v>46283</v>
      </c>
      <c r="B17" t="s">
        <v>73</v>
      </c>
      <c r="C17" s="5" t="s">
        <v>118</v>
      </c>
      <c r="D17" t="s">
        <v>12</v>
      </c>
      <c r="E17" t="s">
        <v>33</v>
      </c>
      <c r="F17" t="s">
        <v>33</v>
      </c>
      <c r="G17" t="s">
        <v>119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46283</v>
      </c>
      <c r="B18" t="s">
        <v>73</v>
      </c>
      <c r="C18" s="5" t="s">
        <v>120</v>
      </c>
      <c r="D18" t="s">
        <v>12</v>
      </c>
      <c r="E18" t="s">
        <v>10</v>
      </c>
      <c r="F18" t="s">
        <v>10</v>
      </c>
      <c r="G18" t="s">
        <v>72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11">
        <v>46283</v>
      </c>
      <c r="B19" t="s">
        <v>78</v>
      </c>
      <c r="C19" s="5" t="s">
        <v>121</v>
      </c>
      <c r="D19" t="s">
        <v>13</v>
      </c>
      <c r="E19" t="s">
        <v>14</v>
      </c>
      <c r="F19" t="s">
        <v>122</v>
      </c>
      <c r="G19" t="s">
        <v>100</v>
      </c>
      <c r="H19" t="s">
        <v>11</v>
      </c>
      <c r="I19" t="str">
        <f>_xlfn.XLOOKUP(Tabla1[[#This Row],[Dependencia]],Tabla2[Dependencia],Tabla2[Clasificación],"XXX",0)</f>
        <v>Presidencia de la República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46283</v>
      </c>
      <c r="B20" t="s">
        <v>78</v>
      </c>
      <c r="C20" s="5" t="s">
        <v>123</v>
      </c>
      <c r="D20" t="s">
        <v>12</v>
      </c>
      <c r="E20" t="s">
        <v>14</v>
      </c>
      <c r="F20" t="s">
        <v>122</v>
      </c>
      <c r="G20" t="s">
        <v>124</v>
      </c>
      <c r="H20" t="s">
        <v>11</v>
      </c>
      <c r="I20" t="str">
        <f>_xlfn.XLOOKUP(Tabla1[[#This Row],[Dependencia]],Tabla2[Dependencia],Tabla2[Clasificación],"XXX",0)</f>
        <v>Presidencia de la República</v>
      </c>
      <c r="J20" t="str">
        <f>_xlfn.XLOOKUP(Tabla1[[#This Row],[Dependencia]],Tabla3[Dependencia],Tabla3[Nivel],"Otros",0)</f>
        <v>Otros</v>
      </c>
    </row>
    <row r="21" spans="1:10" x14ac:dyDescent="0.25">
      <c r="A21" s="11">
        <v>46283</v>
      </c>
      <c r="B21" t="s">
        <v>78</v>
      </c>
      <c r="C21" s="5" t="s">
        <v>125</v>
      </c>
      <c r="D21" t="s">
        <v>12</v>
      </c>
      <c r="E21" t="s">
        <v>14</v>
      </c>
      <c r="F21" t="s">
        <v>126</v>
      </c>
      <c r="G21" t="s">
        <v>127</v>
      </c>
      <c r="H21" t="s">
        <v>70</v>
      </c>
      <c r="I21" t="str">
        <f>_xlfn.XLOOKUP(Tabla1[[#This Row],[Dependencia]],Tabla2[Dependencia],Tabla2[Clasificación],"XXX",0)</f>
        <v>Presidencia de la República</v>
      </c>
      <c r="J21" t="str">
        <f>_xlfn.XLOOKUP(Tabla1[[#This Row],[Dependencia]],Tabla3[Dependencia],Tabla3[Nivel],"Otros",0)</f>
        <v>Otros</v>
      </c>
    </row>
    <row r="22" spans="1:10" ht="30" x14ac:dyDescent="0.25">
      <c r="A22" s="11">
        <v>46283</v>
      </c>
      <c r="B22" t="s">
        <v>78</v>
      </c>
      <c r="C22" s="5" t="s">
        <v>128</v>
      </c>
      <c r="D22" t="s">
        <v>12</v>
      </c>
      <c r="E22" t="s">
        <v>17</v>
      </c>
      <c r="F22" t="s">
        <v>17</v>
      </c>
      <c r="G22" t="s">
        <v>92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ht="30" x14ac:dyDescent="0.25">
      <c r="A23" s="11">
        <v>46283</v>
      </c>
      <c r="B23" t="s">
        <v>78</v>
      </c>
      <c r="C23" s="5" t="s">
        <v>129</v>
      </c>
      <c r="D23" t="s">
        <v>12</v>
      </c>
      <c r="E23" t="s">
        <v>27</v>
      </c>
      <c r="F23" t="s">
        <v>130</v>
      </c>
      <c r="G23" t="s">
        <v>131</v>
      </c>
      <c r="H23" t="s">
        <v>74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11">
        <v>46283</v>
      </c>
      <c r="B24" t="s">
        <v>78</v>
      </c>
      <c r="C24" s="5" t="s">
        <v>132</v>
      </c>
      <c r="D24" t="s">
        <v>9</v>
      </c>
      <c r="E24" t="s">
        <v>24</v>
      </c>
      <c r="F24" t="s">
        <v>24</v>
      </c>
      <c r="G24" t="s">
        <v>117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Gobernador</v>
      </c>
    </row>
    <row r="25" spans="1:10" ht="30" x14ac:dyDescent="0.25">
      <c r="A25" s="11">
        <v>46283</v>
      </c>
      <c r="B25" t="s">
        <v>78</v>
      </c>
      <c r="C25" s="5" t="s">
        <v>133</v>
      </c>
      <c r="D25" t="s">
        <v>12</v>
      </c>
      <c r="E25" t="s">
        <v>14</v>
      </c>
      <c r="F25" t="s">
        <v>14</v>
      </c>
      <c r="G25" t="s">
        <v>134</v>
      </c>
      <c r="H25" t="s">
        <v>11</v>
      </c>
      <c r="I25" t="str">
        <f>_xlfn.XLOOKUP(Tabla1[[#This Row],[Dependencia]],Tabla2[Dependencia],Tabla2[Clasificación],"XXX",0)</f>
        <v>Presidencia de la República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46283</v>
      </c>
      <c r="B26" t="s">
        <v>78</v>
      </c>
      <c r="C26" s="5" t="s">
        <v>135</v>
      </c>
      <c r="D26" t="s">
        <v>12</v>
      </c>
      <c r="E26" t="s">
        <v>10</v>
      </c>
      <c r="F26" t="s">
        <v>10</v>
      </c>
      <c r="G26" t="s">
        <v>136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46283</v>
      </c>
      <c r="B27" t="s">
        <v>68</v>
      </c>
      <c r="C27" s="5" t="s">
        <v>137</v>
      </c>
      <c r="D27" t="s">
        <v>12</v>
      </c>
      <c r="E27" t="s">
        <v>16</v>
      </c>
      <c r="F27" t="s">
        <v>79</v>
      </c>
      <c r="G27" t="s">
        <v>138</v>
      </c>
      <c r="H27" t="s">
        <v>11</v>
      </c>
      <c r="I27" t="str">
        <f>_xlfn.XLOOKUP(Tabla1[[#This Row],[Dependencia]],Tabla2[Dependencia],Tabla2[Clasificación],"XXX",0)</f>
        <v>Alcaldías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46283</v>
      </c>
      <c r="B28" t="s">
        <v>68</v>
      </c>
      <c r="C28" s="5" t="s">
        <v>139</v>
      </c>
      <c r="D28" t="s">
        <v>9</v>
      </c>
      <c r="E28" t="s">
        <v>24</v>
      </c>
      <c r="F28" t="s">
        <v>24</v>
      </c>
      <c r="G28" t="s">
        <v>117</v>
      </c>
      <c r="H28" t="s">
        <v>74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Gobernador</v>
      </c>
    </row>
    <row r="29" spans="1:10" ht="30" x14ac:dyDescent="0.25">
      <c r="A29" s="11">
        <v>46283</v>
      </c>
      <c r="B29" t="s">
        <v>68</v>
      </c>
      <c r="C29" s="5" t="s">
        <v>140</v>
      </c>
      <c r="D29" t="s">
        <v>13</v>
      </c>
      <c r="E29" t="s">
        <v>39</v>
      </c>
      <c r="F29" t="s">
        <v>39</v>
      </c>
      <c r="G29" t="s">
        <v>141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11">
        <v>46283</v>
      </c>
      <c r="B30" t="s">
        <v>68</v>
      </c>
      <c r="C30" s="5" t="s">
        <v>142</v>
      </c>
      <c r="D30" t="s">
        <v>12</v>
      </c>
      <c r="E30" t="s">
        <v>14</v>
      </c>
      <c r="F30" t="s">
        <v>14</v>
      </c>
      <c r="G30" t="s">
        <v>134</v>
      </c>
      <c r="H30" t="s">
        <v>11</v>
      </c>
      <c r="I30" t="str">
        <f>_xlfn.XLOOKUP(Tabla1[[#This Row],[Dependencia]],Tabla2[Dependencia],Tabla2[Clasificación],"XXX",0)</f>
        <v>Presidencia de la República</v>
      </c>
      <c r="J30" t="str">
        <f>_xlfn.XLOOKUP(Tabla1[[#This Row],[Dependencia]],Tabla3[Dependencia],Tabla3[Nivel],"Otros",0)</f>
        <v>Otros</v>
      </c>
    </row>
    <row r="31" spans="1:10" ht="75" x14ac:dyDescent="0.25">
      <c r="A31" s="11">
        <v>46283</v>
      </c>
      <c r="B31" t="s">
        <v>68</v>
      </c>
      <c r="C31" s="5" t="s">
        <v>143</v>
      </c>
      <c r="D31" t="s">
        <v>12</v>
      </c>
      <c r="E31" t="s">
        <v>10</v>
      </c>
      <c r="F31" t="s">
        <v>10</v>
      </c>
      <c r="G31" t="s">
        <v>42</v>
      </c>
      <c r="H31" t="s">
        <v>70</v>
      </c>
      <c r="I31" t="str">
        <f>_xlfn.XLOOKUP(Tabla1[[#This Row],[Dependencia]],Tabla2[Dependencia],Tabla2[Clasificación],"XXX",0)</f>
        <v>Otros</v>
      </c>
      <c r="J31" t="str">
        <f>_xlfn.XLOOKUP(Tabla1[[#This Row],[Dependencia]],Tabla3[Dependencia],Tabla3[Nivel],"Otros",0)</f>
        <v>Otros</v>
      </c>
    </row>
    <row r="32" spans="1:10" ht="30" x14ac:dyDescent="0.25">
      <c r="A32" s="11">
        <v>46283</v>
      </c>
      <c r="B32" t="s">
        <v>76</v>
      </c>
      <c r="C32" s="5" t="s">
        <v>144</v>
      </c>
      <c r="D32" t="s">
        <v>13</v>
      </c>
      <c r="E32" t="s">
        <v>17</v>
      </c>
      <c r="F32" t="s">
        <v>17</v>
      </c>
      <c r="G32" t="s">
        <v>92</v>
      </c>
      <c r="H32" t="s">
        <v>11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Gabinete</v>
      </c>
    </row>
    <row r="33" spans="1:10" ht="30" x14ac:dyDescent="0.25">
      <c r="A33" s="11">
        <v>46283</v>
      </c>
      <c r="B33" t="s">
        <v>76</v>
      </c>
      <c r="C33" s="5" t="s">
        <v>145</v>
      </c>
      <c r="D33" t="s">
        <v>12</v>
      </c>
      <c r="E33" t="s">
        <v>16</v>
      </c>
      <c r="F33" t="s">
        <v>16</v>
      </c>
      <c r="G33" t="s">
        <v>146</v>
      </c>
      <c r="H33" t="s">
        <v>11</v>
      </c>
      <c r="I33" t="str">
        <f>_xlfn.XLOOKUP(Tabla1[[#This Row],[Dependencia]],Tabla2[Dependencia],Tabla2[Clasificación],"XXX",0)</f>
        <v>Alcaldías</v>
      </c>
      <c r="J33" t="str">
        <f>_xlfn.XLOOKUP(Tabla1[[#This Row],[Dependencia]],Tabla3[Dependencia],Tabla3[Nivel],"Otros",0)</f>
        <v>Otros</v>
      </c>
    </row>
    <row r="34" spans="1:10" ht="30" x14ac:dyDescent="0.25">
      <c r="A34" s="11">
        <v>46283</v>
      </c>
      <c r="B34" t="s">
        <v>76</v>
      </c>
      <c r="C34" s="5" t="s">
        <v>147</v>
      </c>
      <c r="D34" t="s">
        <v>12</v>
      </c>
      <c r="E34" t="s">
        <v>26</v>
      </c>
      <c r="F34" t="s">
        <v>148</v>
      </c>
      <c r="G34" t="s">
        <v>117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11">
        <v>46283</v>
      </c>
      <c r="B35" t="s">
        <v>76</v>
      </c>
      <c r="C35" s="5" t="s">
        <v>149</v>
      </c>
      <c r="D35" t="s">
        <v>12</v>
      </c>
      <c r="E35" t="s">
        <v>16</v>
      </c>
      <c r="F35" t="s">
        <v>16</v>
      </c>
      <c r="G35" t="s">
        <v>150</v>
      </c>
      <c r="H35" t="s">
        <v>11</v>
      </c>
      <c r="I35" t="str">
        <f>_xlfn.XLOOKUP(Tabla1[[#This Row],[Dependencia]],Tabla2[Dependencia],Tabla2[Clasificación],"XXX",0)</f>
        <v>Alcaldías</v>
      </c>
      <c r="J35" t="str">
        <f>_xlfn.XLOOKUP(Tabla1[[#This Row],[Dependencia]],Tabla3[Dependencia],Tabla3[Nivel],"Otros",0)</f>
        <v>Otros</v>
      </c>
    </row>
    <row r="36" spans="1:10" x14ac:dyDescent="0.25">
      <c r="A36" s="11">
        <v>46283</v>
      </c>
      <c r="B36" t="s">
        <v>76</v>
      </c>
      <c r="C36" s="5" t="s">
        <v>151</v>
      </c>
      <c r="D36" t="s">
        <v>12</v>
      </c>
      <c r="E36" t="s">
        <v>16</v>
      </c>
      <c r="F36" t="s">
        <v>16</v>
      </c>
      <c r="G36" t="s">
        <v>152</v>
      </c>
      <c r="H36" t="s">
        <v>11</v>
      </c>
      <c r="I36" t="str">
        <f>_xlfn.XLOOKUP(Tabla1[[#This Row],[Dependencia]],Tabla2[Dependencia],Tabla2[Clasificación],"XXX",0)</f>
        <v>Alcaldías</v>
      </c>
      <c r="J36" t="str">
        <f>_xlfn.XLOOKUP(Tabla1[[#This Row],[Dependencia]],Tabla3[Dependencia],Tabla3[Nivel],"Otros",0)</f>
        <v>Otros</v>
      </c>
    </row>
    <row r="37" spans="1:10" x14ac:dyDescent="0.25">
      <c r="A37" s="11">
        <v>46283</v>
      </c>
      <c r="B37" t="s">
        <v>75</v>
      </c>
      <c r="C37" s="5" t="s">
        <v>153</v>
      </c>
      <c r="D37" t="s">
        <v>9</v>
      </c>
      <c r="E37" t="s">
        <v>16</v>
      </c>
      <c r="F37" t="s">
        <v>79</v>
      </c>
      <c r="G37" t="s">
        <v>154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46283</v>
      </c>
      <c r="B38" t="s">
        <v>75</v>
      </c>
      <c r="C38" s="5" t="s">
        <v>155</v>
      </c>
      <c r="D38" t="s">
        <v>13</v>
      </c>
      <c r="E38" t="s">
        <v>24</v>
      </c>
      <c r="F38" t="s">
        <v>24</v>
      </c>
      <c r="G38" t="s">
        <v>105</v>
      </c>
      <c r="H38" t="s">
        <v>74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Gobernador</v>
      </c>
    </row>
    <row r="39" spans="1:10" x14ac:dyDescent="0.25">
      <c r="A39" s="11">
        <v>46283</v>
      </c>
      <c r="B39" t="s">
        <v>75</v>
      </c>
      <c r="C39" s="5" t="s">
        <v>156</v>
      </c>
      <c r="D39" t="s">
        <v>12</v>
      </c>
      <c r="E39" t="s">
        <v>57</v>
      </c>
      <c r="F39" t="s">
        <v>57</v>
      </c>
      <c r="G39" t="s">
        <v>157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x14ac:dyDescent="0.25">
      <c r="A40" s="11">
        <v>46283</v>
      </c>
      <c r="B40" t="s">
        <v>75</v>
      </c>
      <c r="C40" s="5" t="s">
        <v>158</v>
      </c>
      <c r="D40" t="s">
        <v>12</v>
      </c>
      <c r="E40" t="s">
        <v>14</v>
      </c>
      <c r="F40" t="s">
        <v>14</v>
      </c>
      <c r="G40" t="s">
        <v>82</v>
      </c>
      <c r="H40" t="s">
        <v>11</v>
      </c>
      <c r="I40" t="str">
        <f>_xlfn.XLOOKUP(Tabla1[[#This Row],[Dependencia]],Tabla2[Dependencia],Tabla2[Clasificación],"XXX",0)</f>
        <v>Presidencia de la República</v>
      </c>
      <c r="J40" t="str">
        <f>_xlfn.XLOOKUP(Tabla1[[#This Row],[Dependencia]],Tabla3[Dependencia],Tabla3[Nivel],"Otros",0)</f>
        <v>Otros</v>
      </c>
    </row>
    <row r="41" spans="1:10" ht="30" x14ac:dyDescent="0.25">
      <c r="A41" s="11">
        <v>46283</v>
      </c>
      <c r="B41" t="s">
        <v>75</v>
      </c>
      <c r="C41" s="5" t="s">
        <v>159</v>
      </c>
      <c r="D41" t="s">
        <v>12</v>
      </c>
      <c r="E41" t="s">
        <v>24</v>
      </c>
      <c r="F41" t="s">
        <v>24</v>
      </c>
      <c r="G41" t="s">
        <v>92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Gobernador</v>
      </c>
    </row>
    <row r="42" spans="1:10" ht="30" x14ac:dyDescent="0.25">
      <c r="A42" s="11">
        <v>46283</v>
      </c>
      <c r="B42" t="s">
        <v>77</v>
      </c>
      <c r="C42" s="5" t="s">
        <v>160</v>
      </c>
      <c r="D42" t="s">
        <v>12</v>
      </c>
      <c r="E42" t="s">
        <v>27</v>
      </c>
      <c r="F42" t="s">
        <v>27</v>
      </c>
      <c r="G42" t="s">
        <v>161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46283</v>
      </c>
      <c r="B43" t="s">
        <v>77</v>
      </c>
      <c r="C43" s="5" t="s">
        <v>162</v>
      </c>
      <c r="D43" t="s">
        <v>12</v>
      </c>
      <c r="E43" t="s">
        <v>24</v>
      </c>
      <c r="F43" t="s">
        <v>24</v>
      </c>
      <c r="G43" t="s">
        <v>92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Gobernador</v>
      </c>
    </row>
    <row r="44" spans="1:10" ht="30" x14ac:dyDescent="0.25">
      <c r="A44" s="11">
        <v>46283</v>
      </c>
      <c r="B44" t="s">
        <v>77</v>
      </c>
      <c r="C44" s="5" t="s">
        <v>163</v>
      </c>
      <c r="D44" t="s">
        <v>13</v>
      </c>
      <c r="E44" t="s">
        <v>24</v>
      </c>
      <c r="F44" t="s">
        <v>24</v>
      </c>
      <c r="G44" t="s">
        <v>117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ht="30" x14ac:dyDescent="0.25">
      <c r="A45" s="11">
        <v>46283</v>
      </c>
      <c r="B45" t="s">
        <v>77</v>
      </c>
      <c r="C45" s="5" t="s">
        <v>164</v>
      </c>
      <c r="D45" t="s">
        <v>12</v>
      </c>
      <c r="E45" t="s">
        <v>16</v>
      </c>
      <c r="F45" t="s">
        <v>16</v>
      </c>
      <c r="G45" t="s">
        <v>165</v>
      </c>
      <c r="H45" t="s">
        <v>11</v>
      </c>
      <c r="I45" t="str">
        <f>_xlfn.XLOOKUP(Tabla1[[#This Row],[Dependencia]],Tabla2[Dependencia],Tabla2[Clasificación],"XXX",0)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46283</v>
      </c>
      <c r="B46" t="s">
        <v>77</v>
      </c>
      <c r="C46" s="5" t="s">
        <v>166</v>
      </c>
      <c r="D46" t="s">
        <v>12</v>
      </c>
      <c r="E46" t="s">
        <v>53</v>
      </c>
      <c r="F46" t="s">
        <v>2</v>
      </c>
      <c r="G46" t="s">
        <v>167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11">
        <v>46283</v>
      </c>
      <c r="B47" t="s">
        <v>77</v>
      </c>
      <c r="C47" s="5" t="s">
        <v>168</v>
      </c>
      <c r="D47" t="s">
        <v>12</v>
      </c>
      <c r="E47" t="s">
        <v>27</v>
      </c>
      <c r="F47" t="s">
        <v>27</v>
      </c>
      <c r="G47" t="s">
        <v>161</v>
      </c>
      <c r="H47" t="s">
        <v>11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x14ac:dyDescent="0.25">
      <c r="A48" s="11">
        <v>46283</v>
      </c>
      <c r="B48" t="s">
        <v>77</v>
      </c>
      <c r="C48" s="5" t="s">
        <v>169</v>
      </c>
      <c r="D48" t="s">
        <v>12</v>
      </c>
      <c r="E48" t="s">
        <v>27</v>
      </c>
      <c r="F48" t="s">
        <v>27</v>
      </c>
      <c r="G48" t="s">
        <v>170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Gabinete</v>
      </c>
    </row>
    <row r="49" spans="1:10" x14ac:dyDescent="0.25">
      <c r="A49" s="11">
        <v>46283</v>
      </c>
      <c r="B49" t="s">
        <v>77</v>
      </c>
      <c r="C49" s="5" t="s">
        <v>171</v>
      </c>
      <c r="D49" t="s">
        <v>80</v>
      </c>
      <c r="E49" t="s">
        <v>16</v>
      </c>
      <c r="F49" t="s">
        <v>16</v>
      </c>
      <c r="G49" t="s">
        <v>86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46283</v>
      </c>
      <c r="B50" t="s">
        <v>84</v>
      </c>
      <c r="C50" s="5" t="s">
        <v>172</v>
      </c>
      <c r="D50" t="s">
        <v>13</v>
      </c>
      <c r="E50" t="s">
        <v>24</v>
      </c>
      <c r="F50" t="s">
        <v>24</v>
      </c>
      <c r="G50" t="s">
        <v>117</v>
      </c>
      <c r="H50" t="s">
        <v>11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Gobernador</v>
      </c>
    </row>
    <row r="51" spans="1:10" ht="30" x14ac:dyDescent="0.25">
      <c r="A51" s="11">
        <v>46283</v>
      </c>
      <c r="B51" t="s">
        <v>84</v>
      </c>
      <c r="C51" s="5" t="s">
        <v>173</v>
      </c>
      <c r="D51" t="s">
        <v>12</v>
      </c>
      <c r="E51" t="s">
        <v>36</v>
      </c>
      <c r="F51" t="s">
        <v>36</v>
      </c>
      <c r="G51" t="s">
        <v>174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46283</v>
      </c>
      <c r="B52" t="s">
        <v>84</v>
      </c>
      <c r="C52" s="5" t="s">
        <v>175</v>
      </c>
      <c r="D52" t="s">
        <v>12</v>
      </c>
      <c r="E52" t="s">
        <v>26</v>
      </c>
      <c r="F52" t="s">
        <v>176</v>
      </c>
      <c r="G52" t="s">
        <v>177</v>
      </c>
      <c r="H52" t="s">
        <v>11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46283</v>
      </c>
      <c r="B53" t="s">
        <v>84</v>
      </c>
      <c r="C53" s="5" t="s">
        <v>178</v>
      </c>
      <c r="D53" t="s">
        <v>12</v>
      </c>
      <c r="E53" t="s">
        <v>24</v>
      </c>
      <c r="F53" t="s">
        <v>24</v>
      </c>
      <c r="G53" t="s">
        <v>105</v>
      </c>
      <c r="H53" t="s">
        <v>74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Gobernador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69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69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81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2026-09-18T16:33:36Z</dcterms:modified>
</cp:coreProperties>
</file>