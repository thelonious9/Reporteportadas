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5D875261-7437-4C95-994C-1B6481790ADD}" xr6:coauthVersionLast="47" xr6:coauthVersionMax="47" xr10:uidLastSave="{00000000-0000-0000-0000-000000000000}"/>
  <bookViews>
    <workbookView xWindow="-120" yWindow="-120" windowWidth="29040" windowHeight="1584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I2" i="1"/>
  <c r="J2" i="1"/>
</calcChain>
</file>

<file path=xl/sharedStrings.xml><?xml version="1.0" encoding="utf-8"?>
<sst xmlns="http://schemas.openxmlformats.org/spreadsheetml/2006/main" count="545" uniqueCount="175">
  <si>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</si>
  <si>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</si>
  <si>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</si>
  <si>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</si>
  <si>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</si>
  <si>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</si>
  <si>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</si>
  <si>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</si>
  <si>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</si>
  <si>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</si>
  <si>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</si>
  <si>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</si>
  <si>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</si>
  <si>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</si>
  <si>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</si>
  <si>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</si>
  <si>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</si>
  <si>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</si>
  <si>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</si>
  <si>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</si>
  <si>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</si>
  <si>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</si>
  <si>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</si>
  <si>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</si>
  <si>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</si>
  <si>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</si>
  <si>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Positiva</t>
  </si>
  <si>
    <t>Delegación</t>
  </si>
  <si>
    <t>SEPH</t>
  </si>
  <si>
    <t>Pachuca Brilla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</si>
  <si>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</si>
  <si>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</si>
  <si>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</si>
  <si>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</si>
  <si>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</si>
  <si>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</si>
  <si>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</si>
  <si>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</si>
  <si>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</si>
  <si>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</si>
  <si>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</si>
  <si>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</si>
  <si>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</si>
  <si>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</si>
  <si>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</si>
  <si>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</si>
  <si>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</si>
  <si>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</si>
  <si>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</si>
  <si>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</si>
  <si>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</si>
  <si>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</si>
  <si>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</si>
  <si>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</si>
  <si>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</si>
  <si>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</si>
  <si>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</si>
  <si>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</si>
  <si>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</si>
  <si>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</si>
  <si>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</si>
  <si>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</si>
  <si>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</si>
  <si>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</si>
  <si>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</si>
  <si>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</si>
  <si>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</si>
  <si>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</si>
  <si>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</si>
  <si>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</si>
  <si>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Sol de Hidalgo</t>
  </si>
  <si>
    <t>El Universal Hidalgo</t>
  </si>
  <si>
    <t>La Jornada Hidalgo</t>
  </si>
  <si>
    <t>Síntesis</t>
  </si>
  <si>
    <t>Criterio</t>
  </si>
  <si>
    <t>Nivel</t>
  </si>
  <si>
    <t>Gabinete</t>
  </si>
  <si>
    <t>Deportes</t>
  </si>
  <si>
    <t>Effetá</t>
  </si>
  <si>
    <t>Huracán Priscilla</t>
  </si>
  <si>
    <t>Milenio Hidalgo</t>
  </si>
  <si>
    <t>Publicidad</t>
  </si>
  <si>
    <t>Editorial</t>
  </si>
  <si>
    <t>Plan B</t>
  </si>
  <si>
    <t>Alcalde</t>
  </si>
  <si>
    <t>Reunión con actores políticos</t>
  </si>
  <si>
    <t>Logran mejora salarial de 7%</t>
  </si>
  <si>
    <t>Aumento salarial</t>
  </si>
  <si>
    <t>Jorge Reyes entrega 5 nuevas patrullas</t>
  </si>
  <si>
    <t>alc</t>
  </si>
  <si>
    <t>Entrega de patrullas</t>
  </si>
  <si>
    <t>Personas buscadoras, defensoras de los DH</t>
  </si>
  <si>
    <t>Reforma De Ley</t>
  </si>
  <si>
    <t>Luego de días santos dirán si suben precios</t>
  </si>
  <si>
    <t>Viviendas sin agua por falla eléctrica</t>
  </si>
  <si>
    <t>Agua</t>
  </si>
  <si>
    <t>Fallas CFE</t>
  </si>
  <si>
    <t>Impulsan desarrollo en la región de Zapotlán</t>
  </si>
  <si>
    <t>Ruta de la Transformación</t>
  </si>
  <si>
    <t>Estiman aumento en población adulta mayor</t>
  </si>
  <si>
    <t>Coespo</t>
  </si>
  <si>
    <t>Aumento poblacional</t>
  </si>
  <si>
    <t>Alistan Zapotlán para la llegada de un Polo del Bienestar</t>
  </si>
  <si>
    <t>Polos del Bienestar</t>
  </si>
  <si>
    <t>Fiebre futbolera</t>
  </si>
  <si>
    <t>Mundial De Futbol</t>
  </si>
  <si>
    <t>Entregan patrullas en Pachuca</t>
  </si>
  <si>
    <t>Aprueban cobrar multa a partidos</t>
  </si>
  <si>
    <t>Multas IEEH</t>
  </si>
  <si>
    <t>Iniciativa contra el feminicidio</t>
  </si>
  <si>
    <t>Iniciativa</t>
  </si>
  <si>
    <t>Baños cumplió con reparación del daño""</t>
  </si>
  <si>
    <t>Discriminación</t>
  </si>
  <si>
    <t>Suman cinco patrullas a la flotilla de SSP de Pachuca</t>
  </si>
  <si>
    <t>Aprueban dictamen de personas buscadoras</t>
  </si>
  <si>
    <t>MONUMENTO  ECUMÉNICO, CON SIGNOS   DE DETERIORO</t>
  </si>
  <si>
    <t>Sipdus</t>
  </si>
  <si>
    <t>Abandono de obra</t>
  </si>
  <si>
    <t>Dos Tuzos, en la fecha FIFA</t>
  </si>
  <si>
    <t>ARRANCA EL  REPECHAJE  A LA COPA  DEL MUNDO</t>
  </si>
  <si>
    <t>TUZOBÚS: PIDEN PLANEAR  BIEN LA NUEVA TRONCAL</t>
  </si>
  <si>
    <t>Sitmah</t>
  </si>
  <si>
    <t>Ampliación Tuzobús</t>
  </si>
  <si>
    <t>La reconstrucción en zonas afectadas avanza pese a retos: Menchaca</t>
  </si>
  <si>
    <t>Habitantes de Tlaolula manifiestan desconfianza</t>
  </si>
  <si>
    <t>Reubicación de viviendas</t>
  </si>
  <si>
    <t>Descubren altar tolteca en Tula</t>
  </si>
  <si>
    <t>INAH</t>
  </si>
  <si>
    <t>Vestigios Arqueológicos</t>
  </si>
  <si>
    <t>Reciben nuevas unidades para reforzar la vigilancia</t>
  </si>
  <si>
    <t>Coordinación contra el delito</t>
  </si>
  <si>
    <t>Coordinación interestatal</t>
  </si>
  <si>
    <t>Se rebela el PT contra el plan de Claudia Sheinbaum que avanza en comisiones</t>
  </si>
  <si>
    <t>Multas que deben cubrir ascienden a 56 millones</t>
  </si>
  <si>
    <t>Sabines, el poeta universal: en camino, versos inéditos en un libro</t>
  </si>
  <si>
    <t>Van 313 mdp para activación de polo económico en zona de Zapotlán</t>
  </si>
  <si>
    <t>Apuntalan polo en Zapotlán con 313 mdp</t>
  </si>
  <si>
    <t>Estalla inconformidad en la UAEH luego de revisión contractual</t>
  </si>
  <si>
    <t>Paro laboral</t>
  </si>
  <si>
    <t>CSP impulsa ley para sancionar el feminicidio</t>
  </si>
  <si>
    <t>Alumno mata a dos maestras en Michoacán</t>
  </si>
  <si>
    <t>Ataque Armado</t>
  </si>
  <si>
    <t>Pachuca consolida estrategia de seguridad con nuevas patrullas</t>
  </si>
  <si>
    <t>El bastión y estructura que presumían tener en la Universidad  Autónoma del estado (UAEH), la que han controlado desde hace cuatro  décadas, comienza a desgastarse y mostrar signos de rebeldía, por las  decisiones equivocadas de Agustín Sosa”.</t>
  </si>
  <si>
    <t>Grupo Universidad</t>
  </si>
  <si>
    <t>Incrementa Pachuca seguridad con 5 patrullas nuevas</t>
  </si>
  <si>
    <t>Prepara gobierno estatal a Zapotlán para la llegada del Polo del Bienestar</t>
  </si>
  <si>
    <t>Hay bastantes indicios"" contra 5 detenidos por desaparecidos en Tulancingo: PGJEH</t>
  </si>
  <si>
    <t>Vinculación A Proceso</t>
  </si>
  <si>
    <t>Respaldan labor de Julio Menchaca al frente del Poder Ejecutivo estatal</t>
  </si>
  <si>
    <t>Labor destacada</t>
  </si>
  <si>
    <t>IEEH cobrará más de 56 millones en multas a partidos de Hidalgo</t>
  </si>
  <si>
    <t>Jorge Reyes refuerza seguridad con nuevas patrullas</t>
  </si>
  <si>
    <t>Menchaca respalda actuación de la policía durante bloqueo</t>
  </si>
  <si>
    <t>Exigen localización de persona</t>
  </si>
  <si>
    <t>Luego de confrontación, Congreso alcanza acuerdo</t>
  </si>
  <si>
    <t>TEEH reparte más de 2.5 millones en aguinaldos</t>
  </si>
  <si>
    <t>Aguinaldos</t>
  </si>
  <si>
    <t>Hidalgo inyecta 130 millones a caminos rurales</t>
  </si>
  <si>
    <t>Carretera artesanal</t>
  </si>
  <si>
    <t>Entrega Jorge Reyes nuevas patrullas y consolida estrategia integral de seguridad en Pachuca</t>
  </si>
  <si>
    <t>Abren venta de boletos para finales de Concacaf W en el Hidalgo</t>
  </si>
  <si>
    <t>Gobierno de Julio Menchaca prepara a Zapotlán para la llegada del Polo del Bienestar</t>
  </si>
  <si>
    <t>Participa en la semana nacional de vacunación antirrábica</t>
  </si>
  <si>
    <t>Vacunación Antirrábica</t>
  </si>
  <si>
    <t>Hidalgo refuerza la coordinación interestatal en la mesa de paz</t>
  </si>
  <si>
    <t>Conoce la pirámide de MOVILIDAD</t>
  </si>
  <si>
    <t>Publicidad gubernamental</t>
  </si>
  <si>
    <t>Protesta el PRI por una presunta venganza de Morena</t>
  </si>
  <si>
    <t>GLMorena</t>
  </si>
  <si>
    <t>Entregan nuevas patrullas en Pachuca</t>
  </si>
  <si>
    <t>Luego entonces, en la ya famosa foto: ¿ni son todas las que están, ni están todas las que son?</t>
  </si>
  <si>
    <t>Presentan iniciativa para elevar sanciones contra el feminicidio</t>
  </si>
  <si>
    <t>Luego de persecución, detienen a una pareja con huachicol</t>
  </si>
  <si>
    <t>Combate Al Huachicol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</si>
</sst>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6" totalsRowShown="0" headerRowDxfId="3" headerRowBorderDxfId="2">
  <autoFilter ref="A1:J56" xr:uid="{5593606E-308D-4113-AE3C-6E714B763B6E}"/>
  <tableColumns count="10">
    <tableColumn id="1" xr3:uid="{9D9ACAF2-1710-400E-A0E5-0A5BB378D4A0}" name="Fecha" dataDxfId="1"/>
    <tableColumn id="2" xr3:uid="{03A139BE-A997-45E6-81E6-5F7467162FC5}" name="Medio"/>
    <tableColumn id="3" xr3:uid="{4CA37DD5-010E-43EE-907D-87C1845DB2AB}" name="Titular" dataDxfId="0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5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4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6"/>
  <sheetViews>
    <sheetView tabSelected="1" topLeftCell="A36" workbookViewId="0">
      <selection activeCell="A56" sqref="A56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75</v>
      </c>
    </row>
    <row r="2" spans="1:10" x14ac:dyDescent="0.25">
      <c r="A2" s="5">
        <v>46106</v>
      </c>
      <c r="B2" t="s">
        <v>70</v>
      </c>
      <c r="C2" s="6" t="s">
        <v>86</v>
      </c>
      <c r="D2" t="s">
        <v>12</v>
      </c>
      <c r="E2" t="s">
        <v>63</v>
      </c>
      <c r="F2" t="s">
        <v>63</v>
      </c>
      <c r="G2" t="s">
        <v>87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46106</v>
      </c>
      <c r="B3" t="s">
        <v>70</v>
      </c>
      <c r="C3" s="6" t="s">
        <v>88</v>
      </c>
      <c r="D3" t="s">
        <v>9</v>
      </c>
      <c r="E3" t="s">
        <v>17</v>
      </c>
      <c r="F3" t="s">
        <v>89</v>
      </c>
      <c r="G3" t="s">
        <v>90</v>
      </c>
      <c r="H3" t="s">
        <v>11</v>
      </c>
      <c r="I3" t="str">
        <f>_xlfn.XLOOKUP(Tabla1[[#This Row],[Dependencia]],Tabla2[Dependencia],Tabla2[Clasificación],"No indexado")</f>
        <v>Alcaldías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46106</v>
      </c>
      <c r="B4" t="s">
        <v>70</v>
      </c>
      <c r="C4" s="6" t="s">
        <v>91</v>
      </c>
      <c r="D4" t="s">
        <v>13</v>
      </c>
      <c r="E4" t="s">
        <v>37</v>
      </c>
      <c r="F4" t="s">
        <v>37</v>
      </c>
      <c r="G4" t="s">
        <v>92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46106</v>
      </c>
      <c r="B5" t="s">
        <v>70</v>
      </c>
      <c r="C5" s="6" t="s">
        <v>93</v>
      </c>
      <c r="D5" t="s">
        <v>12</v>
      </c>
      <c r="E5" t="s">
        <v>10</v>
      </c>
      <c r="F5" t="s">
        <v>10</v>
      </c>
      <c r="G5" t="s">
        <v>69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46106</v>
      </c>
      <c r="B6" t="s">
        <v>70</v>
      </c>
      <c r="C6" s="6" t="s">
        <v>94</v>
      </c>
      <c r="D6" t="s">
        <v>12</v>
      </c>
      <c r="E6" t="s">
        <v>17</v>
      </c>
      <c r="F6" t="s">
        <v>95</v>
      </c>
      <c r="G6" t="s">
        <v>96</v>
      </c>
      <c r="H6" t="s">
        <v>11</v>
      </c>
      <c r="I6" t="str">
        <f>_xlfn.XLOOKUP(Tabla1[[#This Row],[Dependencia]],Tabla2[Dependencia],Tabla2[Clasificación],"No indexado")</f>
        <v>Alcaldías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46106</v>
      </c>
      <c r="B7" t="s">
        <v>70</v>
      </c>
      <c r="C7" s="6" t="s">
        <v>97</v>
      </c>
      <c r="D7" t="s">
        <v>12</v>
      </c>
      <c r="E7" t="s">
        <v>25</v>
      </c>
      <c r="F7" t="s">
        <v>25</v>
      </c>
      <c r="G7" t="s">
        <v>98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Gobernador</v>
      </c>
    </row>
    <row r="8" spans="1:10" x14ac:dyDescent="0.25">
      <c r="A8" s="5">
        <v>46106</v>
      </c>
      <c r="B8" t="s">
        <v>70</v>
      </c>
      <c r="C8" s="6" t="s">
        <v>99</v>
      </c>
      <c r="D8" t="s">
        <v>12</v>
      </c>
      <c r="E8" t="s">
        <v>24</v>
      </c>
      <c r="F8" t="s">
        <v>100</v>
      </c>
      <c r="G8" t="s">
        <v>101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Gabinete</v>
      </c>
    </row>
    <row r="9" spans="1:10" ht="30" x14ac:dyDescent="0.25">
      <c r="A9" s="5">
        <v>46106</v>
      </c>
      <c r="B9" t="s">
        <v>71</v>
      </c>
      <c r="C9" s="6" t="s">
        <v>102</v>
      </c>
      <c r="D9" t="s">
        <v>13</v>
      </c>
      <c r="E9" t="s">
        <v>25</v>
      </c>
      <c r="F9" t="s">
        <v>25</v>
      </c>
      <c r="G9" t="s">
        <v>103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Gobernador</v>
      </c>
    </row>
    <row r="10" spans="1:10" x14ac:dyDescent="0.25">
      <c r="A10" s="5">
        <v>46106</v>
      </c>
      <c r="B10" t="s">
        <v>71</v>
      </c>
      <c r="C10" s="6" t="s">
        <v>104</v>
      </c>
      <c r="D10" t="s">
        <v>9</v>
      </c>
      <c r="E10" t="s">
        <v>10</v>
      </c>
      <c r="F10" t="s">
        <v>10</v>
      </c>
      <c r="G10" t="s">
        <v>105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5">
        <v>46106</v>
      </c>
      <c r="B11" t="s">
        <v>71</v>
      </c>
      <c r="C11" s="6" t="s">
        <v>106</v>
      </c>
      <c r="D11" t="s">
        <v>12</v>
      </c>
      <c r="E11" t="s">
        <v>17</v>
      </c>
      <c r="F11" t="s">
        <v>17</v>
      </c>
      <c r="G11" t="s">
        <v>90</v>
      </c>
      <c r="H11" t="s">
        <v>11</v>
      </c>
      <c r="I11" t="str">
        <f>_xlfn.XLOOKUP(Tabla1[[#This Row],[Dependencia]],Tabla2[Dependencia],Tabla2[Clasificación],"No indexado")</f>
        <v>Alcaldías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46106</v>
      </c>
      <c r="B12" t="s">
        <v>71</v>
      </c>
      <c r="C12" s="6" t="s">
        <v>107</v>
      </c>
      <c r="D12" t="s">
        <v>12</v>
      </c>
      <c r="E12" t="s">
        <v>44</v>
      </c>
      <c r="F12" t="s">
        <v>44</v>
      </c>
      <c r="G12" t="s">
        <v>108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46106</v>
      </c>
      <c r="B13" t="s">
        <v>71</v>
      </c>
      <c r="C13" s="6" t="s">
        <v>109</v>
      </c>
      <c r="D13" t="s">
        <v>12</v>
      </c>
      <c r="E13" t="s">
        <v>14</v>
      </c>
      <c r="F13" t="s">
        <v>14</v>
      </c>
      <c r="G13" t="s">
        <v>110</v>
      </c>
      <c r="H13" t="s">
        <v>11</v>
      </c>
      <c r="I13" t="str">
        <f>_xlfn.XLOOKUP(Tabla1[[#This Row],[Dependencia]],Tabla2[Dependencia],Tabla2[Clasificación],"No indexado")</f>
        <v>Presidencia de la República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46106</v>
      </c>
      <c r="B14" t="s">
        <v>74</v>
      </c>
      <c r="C14" s="6" t="s">
        <v>111</v>
      </c>
      <c r="D14" t="s">
        <v>12</v>
      </c>
      <c r="E14" t="s">
        <v>10</v>
      </c>
      <c r="F14" t="s">
        <v>10</v>
      </c>
      <c r="G14" t="s">
        <v>112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5">
        <v>46106</v>
      </c>
      <c r="B15" t="s">
        <v>74</v>
      </c>
      <c r="C15" s="6" t="s">
        <v>113</v>
      </c>
      <c r="D15" t="s">
        <v>12</v>
      </c>
      <c r="E15" t="s">
        <v>17</v>
      </c>
      <c r="F15" t="s">
        <v>17</v>
      </c>
      <c r="G15" t="s">
        <v>90</v>
      </c>
      <c r="H15" t="s">
        <v>11</v>
      </c>
      <c r="I15" t="str">
        <f>_xlfn.XLOOKUP(Tabla1[[#This Row],[Dependencia]],Tabla2[Dependencia],Tabla2[Clasificación],"No indexado")</f>
        <v>Alcaldías</v>
      </c>
      <c r="J15" t="str">
        <f>_xlfn.XLOOKUP(Tabla1[[#This Row],[Dependencia]],Tabla3[Dependencia],Tabla3[Nivel],"otros",0)</f>
        <v>otros</v>
      </c>
    </row>
    <row r="16" spans="1:10" x14ac:dyDescent="0.25">
      <c r="A16" s="5">
        <v>46106</v>
      </c>
      <c r="B16" t="s">
        <v>74</v>
      </c>
      <c r="C16" s="6" t="s">
        <v>114</v>
      </c>
      <c r="D16" t="s">
        <v>12</v>
      </c>
      <c r="E16" t="s">
        <v>37</v>
      </c>
      <c r="F16" t="s">
        <v>37</v>
      </c>
      <c r="G16" t="s">
        <v>110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ht="30" x14ac:dyDescent="0.25">
      <c r="A17" s="5">
        <v>46106</v>
      </c>
      <c r="B17" t="s">
        <v>74</v>
      </c>
      <c r="C17" s="6" t="s">
        <v>115</v>
      </c>
      <c r="D17" t="s">
        <v>9</v>
      </c>
      <c r="E17" t="s">
        <v>116</v>
      </c>
      <c r="F17" t="s">
        <v>116</v>
      </c>
      <c r="G17" t="s">
        <v>117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5">
        <v>46106</v>
      </c>
      <c r="B18" t="s">
        <v>74</v>
      </c>
      <c r="C18" s="6" t="s">
        <v>118</v>
      </c>
      <c r="D18" t="s">
        <v>12</v>
      </c>
      <c r="E18" t="s">
        <v>10</v>
      </c>
      <c r="F18" t="s">
        <v>10</v>
      </c>
      <c r="G18" t="s">
        <v>77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5">
        <v>46106</v>
      </c>
      <c r="B19" t="s">
        <v>74</v>
      </c>
      <c r="C19" s="6" t="s">
        <v>119</v>
      </c>
      <c r="D19" t="s">
        <v>12</v>
      </c>
      <c r="E19" t="s">
        <v>10</v>
      </c>
      <c r="F19" t="s">
        <v>10</v>
      </c>
      <c r="G19" t="s">
        <v>105</v>
      </c>
      <c r="H19" t="s">
        <v>11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x14ac:dyDescent="0.25">
      <c r="A20" s="5">
        <v>46106</v>
      </c>
      <c r="B20" t="s">
        <v>74</v>
      </c>
      <c r="C20" s="6" t="s">
        <v>120</v>
      </c>
      <c r="D20" t="s">
        <v>12</v>
      </c>
      <c r="E20" t="s">
        <v>30</v>
      </c>
      <c r="F20" t="s">
        <v>121</v>
      </c>
      <c r="G20" t="s">
        <v>122</v>
      </c>
      <c r="H20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ht="30" x14ac:dyDescent="0.25">
      <c r="A21" s="5">
        <v>46106</v>
      </c>
      <c r="B21" t="s">
        <v>80</v>
      </c>
      <c r="C21" s="6" t="s">
        <v>123</v>
      </c>
      <c r="D21" t="s">
        <v>13</v>
      </c>
      <c r="E21" t="s">
        <v>25</v>
      </c>
      <c r="F21" t="s">
        <v>25</v>
      </c>
      <c r="G21" t="s">
        <v>79</v>
      </c>
      <c r="H21" t="s">
        <v>11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Gobernador</v>
      </c>
    </row>
    <row r="22" spans="1:10" x14ac:dyDescent="0.25">
      <c r="A22" s="5">
        <v>46106</v>
      </c>
      <c r="B22" t="s">
        <v>80</v>
      </c>
      <c r="C22" s="6" t="s">
        <v>124</v>
      </c>
      <c r="D22" t="s">
        <v>12</v>
      </c>
      <c r="E22" t="s">
        <v>42</v>
      </c>
      <c r="F22" t="s">
        <v>42</v>
      </c>
      <c r="G22" t="s">
        <v>125</v>
      </c>
      <c r="H22" t="s">
        <v>16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5">
        <v>46106</v>
      </c>
      <c r="B23" t="s">
        <v>80</v>
      </c>
      <c r="C23" s="6" t="s">
        <v>126</v>
      </c>
      <c r="D23" t="s">
        <v>12</v>
      </c>
      <c r="E23" t="s">
        <v>14</v>
      </c>
      <c r="F23" t="s">
        <v>127</v>
      </c>
      <c r="G23" t="s">
        <v>128</v>
      </c>
      <c r="H23" t="s">
        <v>11</v>
      </c>
      <c r="I23" t="str">
        <f>_xlfn.XLOOKUP(Tabla1[[#This Row],[Dependencia]],Tabla2[Dependencia],Tabla2[Clasificación],"No indexado")</f>
        <v>Presidencia de la República</v>
      </c>
      <c r="J23" t="str">
        <f>_xlfn.XLOOKUP(Tabla1[[#This Row],[Dependencia]],Tabla3[Dependencia],Tabla3[Nivel],"otros",0)</f>
        <v>otros</v>
      </c>
    </row>
    <row r="24" spans="1:10" x14ac:dyDescent="0.25">
      <c r="A24" s="5">
        <v>46106</v>
      </c>
      <c r="B24" t="s">
        <v>80</v>
      </c>
      <c r="C24" s="6" t="s">
        <v>129</v>
      </c>
      <c r="D24" t="s">
        <v>9</v>
      </c>
      <c r="E24" t="s">
        <v>17</v>
      </c>
      <c r="F24" t="s">
        <v>17</v>
      </c>
      <c r="G24" t="s">
        <v>90</v>
      </c>
      <c r="H24" t="s">
        <v>11</v>
      </c>
      <c r="I24" t="str">
        <f>_xlfn.XLOOKUP(Tabla1[[#This Row],[Dependencia]],Tabla2[Dependencia],Tabla2[Clasificación],"No indexado")</f>
        <v>Alcaldías</v>
      </c>
      <c r="J24" t="str">
        <f>_xlfn.XLOOKUP(Tabla1[[#This Row],[Dependencia]],Tabla3[Dependencia],Tabla3[Nivel],"otros",0)</f>
        <v>otros</v>
      </c>
    </row>
    <row r="25" spans="1:10" x14ac:dyDescent="0.25">
      <c r="A25" s="5">
        <v>46106</v>
      </c>
      <c r="B25" t="s">
        <v>80</v>
      </c>
      <c r="C25" s="6" t="s">
        <v>130</v>
      </c>
      <c r="D25" t="s">
        <v>12</v>
      </c>
      <c r="E25" t="s">
        <v>41</v>
      </c>
      <c r="F25" t="s">
        <v>41</v>
      </c>
      <c r="G25" t="s">
        <v>131</v>
      </c>
      <c r="H25" t="s">
        <v>11</v>
      </c>
      <c r="I25" t="str">
        <f>_xlfn.XLOOKUP(Tabla1[[#This Row],[Dependencia]],Tabla2[Dependencia],Tabla2[Clasificación],"No indexado")</f>
        <v>Gobierno del estado</v>
      </c>
      <c r="J25" t="str">
        <f>_xlfn.XLOOKUP(Tabla1[[#This Row],[Dependencia]],Tabla3[Dependencia],Tabla3[Nivel],"otros",0)</f>
        <v>Gabinete</v>
      </c>
    </row>
    <row r="26" spans="1:10" ht="30" x14ac:dyDescent="0.25">
      <c r="A26" s="5">
        <v>46106</v>
      </c>
      <c r="B26" t="s">
        <v>80</v>
      </c>
      <c r="C26" s="6" t="s">
        <v>132</v>
      </c>
      <c r="D26" t="s">
        <v>12</v>
      </c>
      <c r="E26" t="s">
        <v>55</v>
      </c>
      <c r="F26" t="s">
        <v>55</v>
      </c>
      <c r="G26" t="s">
        <v>83</v>
      </c>
      <c r="H26" t="s">
        <v>16</v>
      </c>
      <c r="I26" t="str">
        <f>_xlfn.XLOOKUP(Tabla1[[#This Row],[Dependencia]],Tabla2[Dependencia],Tabla2[Clasificación],"No indexado")</f>
        <v>Partidos</v>
      </c>
      <c r="J26" t="str">
        <f>_xlfn.XLOOKUP(Tabla1[[#This Row],[Dependencia]],Tabla3[Dependencia],Tabla3[Nivel],"otros",0)</f>
        <v>otros</v>
      </c>
    </row>
    <row r="27" spans="1:10" x14ac:dyDescent="0.25">
      <c r="A27" s="5">
        <v>46106</v>
      </c>
      <c r="B27" t="s">
        <v>80</v>
      </c>
      <c r="C27" s="6" t="s">
        <v>133</v>
      </c>
      <c r="D27" t="s">
        <v>12</v>
      </c>
      <c r="E27" t="s">
        <v>44</v>
      </c>
      <c r="F27" t="s">
        <v>44</v>
      </c>
      <c r="G27" t="s">
        <v>108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5">
        <v>46106</v>
      </c>
      <c r="B28" t="s">
        <v>80</v>
      </c>
      <c r="C28" s="6" t="s">
        <v>134</v>
      </c>
      <c r="D28" t="s">
        <v>12</v>
      </c>
      <c r="E28" t="s">
        <v>10</v>
      </c>
      <c r="F28" t="s">
        <v>10</v>
      </c>
      <c r="G28" t="s">
        <v>69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5">
        <v>46106</v>
      </c>
      <c r="B29" t="s">
        <v>80</v>
      </c>
      <c r="C29" s="6" t="s">
        <v>135</v>
      </c>
      <c r="D29" t="s">
        <v>12</v>
      </c>
      <c r="E29" t="s">
        <v>25</v>
      </c>
      <c r="F29" t="s">
        <v>25</v>
      </c>
      <c r="G29" t="s">
        <v>103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Gobernador</v>
      </c>
    </row>
    <row r="30" spans="1:10" x14ac:dyDescent="0.25">
      <c r="A30" s="5">
        <v>46106</v>
      </c>
      <c r="B30" t="s">
        <v>72</v>
      </c>
      <c r="C30" s="6" t="s">
        <v>136</v>
      </c>
      <c r="D30" t="s">
        <v>12</v>
      </c>
      <c r="E30" t="s">
        <v>25</v>
      </c>
      <c r="F30" t="s">
        <v>25</v>
      </c>
      <c r="G30" t="s">
        <v>103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Gobernador</v>
      </c>
    </row>
    <row r="31" spans="1:10" ht="30" x14ac:dyDescent="0.25">
      <c r="A31" s="5">
        <v>46106</v>
      </c>
      <c r="B31" t="s">
        <v>72</v>
      </c>
      <c r="C31" s="6" t="s">
        <v>137</v>
      </c>
      <c r="D31" t="s">
        <v>13</v>
      </c>
      <c r="E31" t="s">
        <v>63</v>
      </c>
      <c r="F31" t="s">
        <v>63</v>
      </c>
      <c r="G31" t="s">
        <v>138</v>
      </c>
      <c r="H31" t="s">
        <v>11</v>
      </c>
      <c r="I31" t="str">
        <f>_xlfn.XLOOKUP(Tabla1[[#This Row],[Dependencia]],Tabla2[Dependencia],Tabla2[Clasificación],"No indexado")</f>
        <v>Otros</v>
      </c>
      <c r="J31" t="str">
        <f>_xlfn.XLOOKUP(Tabla1[[#This Row],[Dependencia]],Tabla3[Dependencia],Tabla3[Nivel],"otros",0)</f>
        <v>otros</v>
      </c>
    </row>
    <row r="32" spans="1:10" x14ac:dyDescent="0.25">
      <c r="A32" s="5">
        <v>46106</v>
      </c>
      <c r="B32" t="s">
        <v>72</v>
      </c>
      <c r="C32" s="6" t="s">
        <v>139</v>
      </c>
      <c r="D32" t="s">
        <v>12</v>
      </c>
      <c r="E32" t="s">
        <v>14</v>
      </c>
      <c r="F32" t="s">
        <v>14</v>
      </c>
      <c r="G32" t="s">
        <v>110</v>
      </c>
      <c r="H32" t="s">
        <v>11</v>
      </c>
      <c r="I32" t="str">
        <f>_xlfn.XLOOKUP(Tabla1[[#This Row],[Dependencia]],Tabla2[Dependencia],Tabla2[Clasificación],"No indexado")</f>
        <v>Presidencia de la República</v>
      </c>
      <c r="J32" t="str">
        <f>_xlfn.XLOOKUP(Tabla1[[#This Row],[Dependencia]],Tabla3[Dependencia],Tabla3[Nivel],"otros",0)</f>
        <v>otros</v>
      </c>
    </row>
    <row r="33" spans="1:10" x14ac:dyDescent="0.25">
      <c r="A33" s="5">
        <v>46106</v>
      </c>
      <c r="B33" t="s">
        <v>72</v>
      </c>
      <c r="C33" s="6" t="s">
        <v>140</v>
      </c>
      <c r="D33" t="s">
        <v>12</v>
      </c>
      <c r="E33" t="s">
        <v>10</v>
      </c>
      <c r="F33" t="s">
        <v>10</v>
      </c>
      <c r="G33" t="s">
        <v>141</v>
      </c>
      <c r="H33" t="s">
        <v>16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ht="30" x14ac:dyDescent="0.25">
      <c r="A34" s="5">
        <v>46106</v>
      </c>
      <c r="B34" t="s">
        <v>72</v>
      </c>
      <c r="C34" s="6" t="s">
        <v>142</v>
      </c>
      <c r="D34" t="s">
        <v>9</v>
      </c>
      <c r="E34" t="s">
        <v>17</v>
      </c>
      <c r="F34" t="s">
        <v>17</v>
      </c>
      <c r="G34" t="s">
        <v>90</v>
      </c>
      <c r="H34" t="s">
        <v>11</v>
      </c>
      <c r="I34" t="str">
        <f>_xlfn.XLOOKUP(Tabla1[[#This Row],[Dependencia]],Tabla2[Dependencia],Tabla2[Clasificación],"No indexado")</f>
        <v>Alcaldías</v>
      </c>
      <c r="J34" t="str">
        <f>_xlfn.XLOOKUP(Tabla1[[#This Row],[Dependencia]],Tabla3[Dependencia],Tabla3[Nivel],"otros",0)</f>
        <v>otros</v>
      </c>
    </row>
    <row r="35" spans="1:10" ht="75" x14ac:dyDescent="0.25">
      <c r="A35" s="5">
        <v>46106</v>
      </c>
      <c r="B35" t="s">
        <v>72</v>
      </c>
      <c r="C35" s="6" t="s">
        <v>143</v>
      </c>
      <c r="D35" t="s">
        <v>12</v>
      </c>
      <c r="E35" t="s">
        <v>63</v>
      </c>
      <c r="F35" t="s">
        <v>63</v>
      </c>
      <c r="G35" t="s">
        <v>144</v>
      </c>
      <c r="H35" t="s">
        <v>16</v>
      </c>
      <c r="I35" t="str">
        <f>_xlfn.XLOOKUP(Tabla1[[#This Row],[Dependencia]],Tabla2[Dependencia],Tabla2[Clasificación],"No indexado")</f>
        <v>Otros</v>
      </c>
      <c r="J35" t="str">
        <f>_xlfn.XLOOKUP(Tabla1[[#This Row],[Dependencia]],Tabla3[Dependencia],Tabla3[Nivel],"otros",0)</f>
        <v>otros</v>
      </c>
    </row>
    <row r="36" spans="1:10" x14ac:dyDescent="0.25">
      <c r="A36" s="5">
        <v>46106</v>
      </c>
      <c r="B36" t="s">
        <v>73</v>
      </c>
      <c r="C36" s="6" t="s">
        <v>145</v>
      </c>
      <c r="D36" t="s">
        <v>13</v>
      </c>
      <c r="E36" t="s">
        <v>17</v>
      </c>
      <c r="F36" t="s">
        <v>17</v>
      </c>
      <c r="G36" t="s">
        <v>90</v>
      </c>
      <c r="H36" t="s">
        <v>11</v>
      </c>
      <c r="I36" t="str">
        <f>_xlfn.XLOOKUP(Tabla1[[#This Row],[Dependencia]],Tabla2[Dependencia],Tabla2[Clasificación],"No indexado")</f>
        <v>Alcaldías</v>
      </c>
      <c r="J36" t="str">
        <f>_xlfn.XLOOKUP(Tabla1[[#This Row],[Dependencia]],Tabla3[Dependencia],Tabla3[Nivel],"otros",0)</f>
        <v>otros</v>
      </c>
    </row>
    <row r="37" spans="1:10" ht="30" x14ac:dyDescent="0.25">
      <c r="A37" s="5">
        <v>46106</v>
      </c>
      <c r="B37" t="s">
        <v>73</v>
      </c>
      <c r="C37" s="6" t="s">
        <v>146</v>
      </c>
      <c r="D37" t="s">
        <v>12</v>
      </c>
      <c r="E37" t="s">
        <v>25</v>
      </c>
      <c r="F37" t="s">
        <v>25</v>
      </c>
      <c r="G37" t="s">
        <v>103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Gobernador</v>
      </c>
    </row>
    <row r="38" spans="1:10" ht="30" x14ac:dyDescent="0.25">
      <c r="A38" s="5">
        <v>46106</v>
      </c>
      <c r="B38" t="s">
        <v>73</v>
      </c>
      <c r="C38" s="6" t="s">
        <v>147</v>
      </c>
      <c r="D38" t="s">
        <v>12</v>
      </c>
      <c r="E38" t="s">
        <v>18</v>
      </c>
      <c r="F38" t="s">
        <v>18</v>
      </c>
      <c r="G38" t="s">
        <v>148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5">
        <v>46106</v>
      </c>
      <c r="B39" t="s">
        <v>73</v>
      </c>
      <c r="C39" s="6" t="s">
        <v>149</v>
      </c>
      <c r="D39" t="s">
        <v>12</v>
      </c>
      <c r="E39" t="s">
        <v>25</v>
      </c>
      <c r="F39" t="s">
        <v>25</v>
      </c>
      <c r="G39" t="s">
        <v>150</v>
      </c>
      <c r="H39" t="s">
        <v>26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Gobernador</v>
      </c>
    </row>
    <row r="40" spans="1:10" ht="30" x14ac:dyDescent="0.25">
      <c r="A40" s="5">
        <v>46106</v>
      </c>
      <c r="B40" t="s">
        <v>78</v>
      </c>
      <c r="C40" s="6" t="s">
        <v>151</v>
      </c>
      <c r="D40" t="s">
        <v>13</v>
      </c>
      <c r="E40" t="s">
        <v>44</v>
      </c>
      <c r="F40" t="s">
        <v>44</v>
      </c>
      <c r="G40" t="s">
        <v>108</v>
      </c>
      <c r="H40" t="s">
        <v>11</v>
      </c>
      <c r="I40" t="str">
        <f>_xlfn.XLOOKUP(Tabla1[[#This Row],[Dependencia]],Tabla2[Dependencia],Tabla2[Clasificación],"No indexado")</f>
        <v>Otros</v>
      </c>
      <c r="J40" t="str">
        <f>_xlfn.XLOOKUP(Tabla1[[#This Row],[Dependencia]],Tabla3[Dependencia],Tabla3[Nivel],"otros",0)</f>
        <v>otros</v>
      </c>
    </row>
    <row r="41" spans="1:10" x14ac:dyDescent="0.25">
      <c r="A41" s="5">
        <v>46106</v>
      </c>
      <c r="B41" t="s">
        <v>78</v>
      </c>
      <c r="C41" s="6" t="s">
        <v>152</v>
      </c>
      <c r="D41" t="s">
        <v>9</v>
      </c>
      <c r="E41" t="s">
        <v>17</v>
      </c>
      <c r="F41" t="s">
        <v>84</v>
      </c>
      <c r="G41" t="s">
        <v>90</v>
      </c>
      <c r="H41" t="s">
        <v>11</v>
      </c>
      <c r="I41" t="str">
        <f>_xlfn.XLOOKUP(Tabla1[[#This Row],[Dependencia]],Tabla2[Dependencia],Tabla2[Clasificación],"No indexado")</f>
        <v>Alcaldías</v>
      </c>
      <c r="J41" t="str">
        <f>_xlfn.XLOOKUP(Tabla1[[#This Row],[Dependencia]],Tabla3[Dependencia],Tabla3[Nivel],"otros",0)</f>
        <v>otros</v>
      </c>
    </row>
    <row r="42" spans="1:10" ht="30" x14ac:dyDescent="0.25">
      <c r="A42" s="5">
        <v>46106</v>
      </c>
      <c r="B42" t="s">
        <v>78</v>
      </c>
      <c r="C42" s="6" t="s">
        <v>153</v>
      </c>
      <c r="D42" t="s">
        <v>12</v>
      </c>
      <c r="E42" t="s">
        <v>25</v>
      </c>
      <c r="F42" t="s">
        <v>25</v>
      </c>
      <c r="G42" t="s">
        <v>154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Gobernador</v>
      </c>
    </row>
    <row r="43" spans="1:10" x14ac:dyDescent="0.25">
      <c r="A43" s="5">
        <v>46106</v>
      </c>
      <c r="B43" t="s">
        <v>78</v>
      </c>
      <c r="C43" s="6" t="s">
        <v>155</v>
      </c>
      <c r="D43" t="s">
        <v>12</v>
      </c>
      <c r="E43" t="s">
        <v>37</v>
      </c>
      <c r="F43" t="s">
        <v>37</v>
      </c>
      <c r="G43" t="s">
        <v>110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x14ac:dyDescent="0.25">
      <c r="A44" s="5">
        <v>46106</v>
      </c>
      <c r="B44" t="s">
        <v>78</v>
      </c>
      <c r="C44" s="6" t="s">
        <v>156</v>
      </c>
      <c r="D44" t="s">
        <v>12</v>
      </c>
      <c r="E44" t="s">
        <v>61</v>
      </c>
      <c r="F44" t="s">
        <v>61</v>
      </c>
      <c r="G44" t="s">
        <v>157</v>
      </c>
      <c r="H44" t="s">
        <v>16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x14ac:dyDescent="0.25">
      <c r="A45" s="5">
        <v>46106</v>
      </c>
      <c r="B45" t="s">
        <v>78</v>
      </c>
      <c r="C45" s="6" t="s">
        <v>158</v>
      </c>
      <c r="D45" t="s">
        <v>12</v>
      </c>
      <c r="E45" t="s">
        <v>116</v>
      </c>
      <c r="F45" t="s">
        <v>116</v>
      </c>
      <c r="G45" t="s">
        <v>159</v>
      </c>
      <c r="H45" t="s">
        <v>11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ht="30" x14ac:dyDescent="0.25">
      <c r="A46" s="5">
        <v>46106</v>
      </c>
      <c r="B46" t="s">
        <v>29</v>
      </c>
      <c r="C46" s="6" t="s">
        <v>160</v>
      </c>
      <c r="D46" t="s">
        <v>13</v>
      </c>
      <c r="E46" t="s">
        <v>17</v>
      </c>
      <c r="F46" t="s">
        <v>84</v>
      </c>
      <c r="G46" t="s">
        <v>90</v>
      </c>
      <c r="H46" t="s">
        <v>11</v>
      </c>
      <c r="I46" t="str">
        <f>_xlfn.XLOOKUP(Tabla1[[#This Row],[Dependencia]],Tabla2[Dependencia],Tabla2[Clasificación],"No indexado")</f>
        <v>Alcaldías</v>
      </c>
      <c r="J46" t="str">
        <f>_xlfn.XLOOKUP(Tabla1[[#This Row],[Dependencia]],Tabla3[Dependencia],Tabla3[Nivel],"otros",0)</f>
        <v>otros</v>
      </c>
    </row>
    <row r="47" spans="1:10" ht="30" x14ac:dyDescent="0.25">
      <c r="A47" s="5">
        <v>46106</v>
      </c>
      <c r="B47" t="s">
        <v>29</v>
      </c>
      <c r="C47" s="6" t="s">
        <v>161</v>
      </c>
      <c r="D47" t="s">
        <v>12</v>
      </c>
      <c r="E47" t="s">
        <v>10</v>
      </c>
      <c r="F47" t="s">
        <v>10</v>
      </c>
      <c r="G47" t="s">
        <v>77</v>
      </c>
      <c r="H47" t="s">
        <v>11</v>
      </c>
      <c r="I47" t="str">
        <f>_xlfn.XLOOKUP(Tabla1[[#This Row],[Dependencia]],Tabla2[Dependencia],Tabla2[Clasificación],"No indexado")</f>
        <v>Otros</v>
      </c>
      <c r="J47" t="str">
        <f>_xlfn.XLOOKUP(Tabla1[[#This Row],[Dependencia]],Tabla3[Dependencia],Tabla3[Nivel],"otros",0)</f>
        <v>otros</v>
      </c>
    </row>
    <row r="48" spans="1:10" ht="30" x14ac:dyDescent="0.25">
      <c r="A48" s="5">
        <v>46106</v>
      </c>
      <c r="B48" t="s">
        <v>29</v>
      </c>
      <c r="C48" s="6" t="s">
        <v>162</v>
      </c>
      <c r="D48" t="s">
        <v>12</v>
      </c>
      <c r="E48" t="s">
        <v>25</v>
      </c>
      <c r="F48" t="s">
        <v>25</v>
      </c>
      <c r="G48" t="s">
        <v>103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Gobernador</v>
      </c>
    </row>
    <row r="49" spans="1:10" ht="30" x14ac:dyDescent="0.25">
      <c r="A49" s="5">
        <v>46106</v>
      </c>
      <c r="B49" t="s">
        <v>29</v>
      </c>
      <c r="C49" s="6" t="s">
        <v>163</v>
      </c>
      <c r="D49" t="s">
        <v>12</v>
      </c>
      <c r="E49" t="s">
        <v>15</v>
      </c>
      <c r="F49" t="s">
        <v>15</v>
      </c>
      <c r="G49" t="s">
        <v>164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ht="30" x14ac:dyDescent="0.25">
      <c r="A50" s="5">
        <v>46106</v>
      </c>
      <c r="B50" t="s">
        <v>29</v>
      </c>
      <c r="C50" s="6" t="s">
        <v>165</v>
      </c>
      <c r="D50" t="s">
        <v>12</v>
      </c>
      <c r="E50" t="s">
        <v>41</v>
      </c>
      <c r="F50" t="s">
        <v>41</v>
      </c>
      <c r="G50" t="s">
        <v>131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x14ac:dyDescent="0.25">
      <c r="A51" s="5">
        <v>46106</v>
      </c>
      <c r="B51" t="s">
        <v>29</v>
      </c>
      <c r="C51" s="6" t="s">
        <v>166</v>
      </c>
      <c r="D51" t="s">
        <v>81</v>
      </c>
      <c r="E51" t="s">
        <v>17</v>
      </c>
      <c r="F51" t="s">
        <v>17</v>
      </c>
      <c r="G51" t="s">
        <v>167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x14ac:dyDescent="0.25">
      <c r="A52" s="5">
        <v>46106</v>
      </c>
      <c r="B52" t="s">
        <v>29</v>
      </c>
      <c r="C52" s="6" t="s">
        <v>168</v>
      </c>
      <c r="D52" t="s">
        <v>13</v>
      </c>
      <c r="E52" t="s">
        <v>37</v>
      </c>
      <c r="F52" t="s">
        <v>169</v>
      </c>
      <c r="G52" t="s">
        <v>110</v>
      </c>
      <c r="H52" t="s">
        <v>16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x14ac:dyDescent="0.25">
      <c r="A53" s="5">
        <v>46106</v>
      </c>
      <c r="B53" t="s">
        <v>29</v>
      </c>
      <c r="C53" s="6" t="s">
        <v>170</v>
      </c>
      <c r="D53" t="s">
        <v>12</v>
      </c>
      <c r="E53" t="s">
        <v>17</v>
      </c>
      <c r="F53" t="s">
        <v>17</v>
      </c>
      <c r="G53" t="s">
        <v>90</v>
      </c>
      <c r="H53" t="s">
        <v>11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5">
        <v>46106</v>
      </c>
      <c r="B54" t="s">
        <v>29</v>
      </c>
      <c r="C54" s="6" t="s">
        <v>171</v>
      </c>
      <c r="D54" t="s">
        <v>82</v>
      </c>
      <c r="E54" t="s">
        <v>24</v>
      </c>
      <c r="F54" t="s">
        <v>24</v>
      </c>
      <c r="G54" t="s">
        <v>85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5">
        <v>46106</v>
      </c>
      <c r="B55" t="s">
        <v>29</v>
      </c>
      <c r="C55" s="6" t="s">
        <v>172</v>
      </c>
      <c r="D55" t="s">
        <v>12</v>
      </c>
      <c r="E55" t="s">
        <v>14</v>
      </c>
      <c r="F55" t="s">
        <v>14</v>
      </c>
      <c r="G55" t="s">
        <v>110</v>
      </c>
      <c r="H55" t="s">
        <v>11</v>
      </c>
      <c r="I55" t="str">
        <f>_xlfn.XLOOKUP(Tabla1[[#This Row],[Dependencia]],Tabla2[Dependencia],Tabla2[Clasificación],"No indexado")</f>
        <v>Presidencia de la República</v>
      </c>
      <c r="J55" t="str">
        <f>_xlfn.XLOOKUP(Tabla1[[#This Row],[Dependencia]],Tabla3[Dependencia],Tabla3[Nivel],"otros",0)</f>
        <v>otros</v>
      </c>
    </row>
    <row r="56" spans="1:10" ht="30" x14ac:dyDescent="0.25">
      <c r="A56" s="5">
        <v>46106</v>
      </c>
      <c r="B56" t="s">
        <v>29</v>
      </c>
      <c r="C56" s="6" t="s">
        <v>173</v>
      </c>
      <c r="D56" t="s">
        <v>12</v>
      </c>
      <c r="E56" t="s">
        <v>23</v>
      </c>
      <c r="F56" t="s">
        <v>23</v>
      </c>
      <c r="G56" t="s">
        <v>174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33</v>
      </c>
      <c r="D1" s="8" t="s">
        <v>4</v>
      </c>
      <c r="E1" t="s">
        <v>75</v>
      </c>
    </row>
    <row r="2" spans="1:5" x14ac:dyDescent="0.25">
      <c r="A2" t="s">
        <v>65</v>
      </c>
      <c r="B2" t="s">
        <v>66</v>
      </c>
      <c r="D2" s="10" t="s">
        <v>20</v>
      </c>
      <c r="E2" t="s">
        <v>76</v>
      </c>
    </row>
    <row r="3" spans="1:5" x14ac:dyDescent="0.25">
      <c r="A3" t="s">
        <v>17</v>
      </c>
      <c r="B3" t="s">
        <v>34</v>
      </c>
      <c r="D3" s="9" t="s">
        <v>36</v>
      </c>
      <c r="E3" t="s">
        <v>76</v>
      </c>
    </row>
    <row r="4" spans="1:5" x14ac:dyDescent="0.25">
      <c r="A4" t="s">
        <v>20</v>
      </c>
      <c r="B4" t="s">
        <v>35</v>
      </c>
      <c r="D4" s="9" t="s">
        <v>38</v>
      </c>
      <c r="E4" t="s">
        <v>76</v>
      </c>
    </row>
    <row r="5" spans="1:5" x14ac:dyDescent="0.25">
      <c r="A5" t="s">
        <v>64</v>
      </c>
      <c r="B5" t="s">
        <v>10</v>
      </c>
      <c r="D5" s="10" t="s">
        <v>31</v>
      </c>
      <c r="E5" t="s">
        <v>76</v>
      </c>
    </row>
    <row r="6" spans="1:5" x14ac:dyDescent="0.25">
      <c r="A6" t="s">
        <v>36</v>
      </c>
      <c r="B6" t="s">
        <v>35</v>
      </c>
      <c r="D6" s="10" t="s">
        <v>39</v>
      </c>
      <c r="E6" t="s">
        <v>76</v>
      </c>
    </row>
    <row r="7" spans="1:5" x14ac:dyDescent="0.25">
      <c r="A7" t="s">
        <v>37</v>
      </c>
      <c r="B7" t="s">
        <v>10</v>
      </c>
      <c r="D7" s="9" t="s">
        <v>40</v>
      </c>
      <c r="E7" t="s">
        <v>76</v>
      </c>
    </row>
    <row r="8" spans="1:5" x14ac:dyDescent="0.25">
      <c r="A8" t="s">
        <v>38</v>
      </c>
      <c r="B8" t="s">
        <v>35</v>
      </c>
      <c r="D8" s="9" t="s">
        <v>40</v>
      </c>
      <c r="E8" t="s">
        <v>76</v>
      </c>
    </row>
    <row r="9" spans="1:5" x14ac:dyDescent="0.25">
      <c r="A9" t="s">
        <v>31</v>
      </c>
      <c r="B9" t="s">
        <v>35</v>
      </c>
      <c r="D9" s="9" t="s">
        <v>41</v>
      </c>
      <c r="E9" t="s">
        <v>76</v>
      </c>
    </row>
    <row r="10" spans="1:5" x14ac:dyDescent="0.25">
      <c r="A10" t="s">
        <v>27</v>
      </c>
      <c r="B10" t="s">
        <v>10</v>
      </c>
      <c r="D10" s="10" t="s">
        <v>25</v>
      </c>
      <c r="E10" t="s">
        <v>25</v>
      </c>
    </row>
    <row r="11" spans="1:5" x14ac:dyDescent="0.25">
      <c r="A11" t="s">
        <v>39</v>
      </c>
      <c r="B11" t="s">
        <v>35</v>
      </c>
      <c r="D11" s="9" t="s">
        <v>42</v>
      </c>
      <c r="E11" t="s">
        <v>76</v>
      </c>
    </row>
    <row r="12" spans="1:5" x14ac:dyDescent="0.25">
      <c r="A12" t="s">
        <v>40</v>
      </c>
      <c r="B12" t="s">
        <v>35</v>
      </c>
      <c r="D12" s="10" t="s">
        <v>43</v>
      </c>
      <c r="E12" t="s">
        <v>76</v>
      </c>
    </row>
    <row r="13" spans="1:5" x14ac:dyDescent="0.25">
      <c r="A13" t="s">
        <v>40</v>
      </c>
      <c r="B13" t="s">
        <v>35</v>
      </c>
      <c r="D13" s="10" t="s">
        <v>43</v>
      </c>
      <c r="E13" t="s">
        <v>76</v>
      </c>
    </row>
    <row r="14" spans="1:5" x14ac:dyDescent="0.25">
      <c r="A14" t="s">
        <v>67</v>
      </c>
      <c r="B14" t="s">
        <v>48</v>
      </c>
      <c r="D14" s="9" t="s">
        <v>22</v>
      </c>
      <c r="E14" t="s">
        <v>76</v>
      </c>
    </row>
    <row r="15" spans="1:5" x14ac:dyDescent="0.25">
      <c r="A15" t="s">
        <v>41</v>
      </c>
      <c r="B15" t="s">
        <v>35</v>
      </c>
      <c r="D15" s="10" t="s">
        <v>18</v>
      </c>
      <c r="E15" t="s">
        <v>76</v>
      </c>
    </row>
    <row r="16" spans="1:5" x14ac:dyDescent="0.25">
      <c r="A16" t="s">
        <v>25</v>
      </c>
      <c r="B16" t="s">
        <v>35</v>
      </c>
      <c r="D16" s="9" t="s">
        <v>51</v>
      </c>
      <c r="E16" t="s">
        <v>76</v>
      </c>
    </row>
    <row r="17" spans="1:5" x14ac:dyDescent="0.25">
      <c r="A17" t="s">
        <v>42</v>
      </c>
      <c r="B17" t="s">
        <v>35</v>
      </c>
      <c r="D17" s="9" t="s">
        <v>57</v>
      </c>
      <c r="E17" t="s">
        <v>76</v>
      </c>
    </row>
    <row r="18" spans="1:5" x14ac:dyDescent="0.25">
      <c r="A18" t="s">
        <v>43</v>
      </c>
      <c r="B18" t="s">
        <v>35</v>
      </c>
      <c r="D18" s="9" t="s">
        <v>58</v>
      </c>
      <c r="E18" t="s">
        <v>76</v>
      </c>
    </row>
    <row r="19" spans="1:5" x14ac:dyDescent="0.25">
      <c r="A19" t="s">
        <v>44</v>
      </c>
      <c r="B19" t="s">
        <v>10</v>
      </c>
      <c r="D19" s="9" t="s">
        <v>24</v>
      </c>
      <c r="E19" t="s">
        <v>76</v>
      </c>
    </row>
    <row r="20" spans="1:5" x14ac:dyDescent="0.25">
      <c r="A20" t="s">
        <v>45</v>
      </c>
      <c r="B20" t="s">
        <v>46</v>
      </c>
      <c r="D20" s="10" t="s">
        <v>21</v>
      </c>
      <c r="E20" t="s">
        <v>76</v>
      </c>
    </row>
    <row r="21" spans="1:5" x14ac:dyDescent="0.25">
      <c r="A21" t="s">
        <v>47</v>
      </c>
      <c r="B21" t="s">
        <v>48</v>
      </c>
      <c r="D21" s="9" t="s">
        <v>30</v>
      </c>
      <c r="E21" t="s">
        <v>76</v>
      </c>
    </row>
    <row r="22" spans="1:5" x14ac:dyDescent="0.25">
      <c r="A22" t="s">
        <v>19</v>
      </c>
      <c r="B22" t="s">
        <v>48</v>
      </c>
      <c r="D22" s="10" t="s">
        <v>28</v>
      </c>
      <c r="E22" t="s">
        <v>76</v>
      </c>
    </row>
    <row r="23" spans="1:5" x14ac:dyDescent="0.25">
      <c r="A23" t="s">
        <v>22</v>
      </c>
      <c r="B23" t="s">
        <v>35</v>
      </c>
      <c r="D23" s="9" t="s">
        <v>59</v>
      </c>
      <c r="E23" t="s">
        <v>76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76</v>
      </c>
    </row>
    <row r="25" spans="1:5" x14ac:dyDescent="0.25">
      <c r="A25" t="s">
        <v>49</v>
      </c>
      <c r="B25" t="s">
        <v>48</v>
      </c>
      <c r="D25" s="10" t="s">
        <v>23</v>
      </c>
      <c r="E25" t="s">
        <v>76</v>
      </c>
    </row>
    <row r="26" spans="1:5" x14ac:dyDescent="0.25">
      <c r="A26" t="s">
        <v>50</v>
      </c>
      <c r="B26" t="s">
        <v>48</v>
      </c>
      <c r="D26" s="9" t="s">
        <v>60</v>
      </c>
      <c r="E26" t="s">
        <v>76</v>
      </c>
    </row>
    <row r="27" spans="1:5" x14ac:dyDescent="0.25">
      <c r="A27" t="s">
        <v>68</v>
      </c>
      <c r="B27" t="s">
        <v>48</v>
      </c>
      <c r="D27" s="11" t="s">
        <v>32</v>
      </c>
      <c r="E27" t="s">
        <v>76</v>
      </c>
    </row>
    <row r="28" spans="1:5" x14ac:dyDescent="0.25">
      <c r="A28" t="s">
        <v>18</v>
      </c>
      <c r="B28" t="s">
        <v>35</v>
      </c>
    </row>
    <row r="29" spans="1:5" x14ac:dyDescent="0.25">
      <c r="A29" t="s">
        <v>51</v>
      </c>
      <c r="B29" t="s">
        <v>35</v>
      </c>
    </row>
    <row r="30" spans="1:5" x14ac:dyDescent="0.25">
      <c r="A30" t="s">
        <v>52</v>
      </c>
      <c r="B30" t="s">
        <v>48</v>
      </c>
    </row>
    <row r="31" spans="1:5" x14ac:dyDescent="0.25">
      <c r="A31" t="s">
        <v>14</v>
      </c>
      <c r="B31" t="s">
        <v>53</v>
      </c>
    </row>
    <row r="32" spans="1:5" x14ac:dyDescent="0.25">
      <c r="A32" t="s">
        <v>54</v>
      </c>
      <c r="B32" t="s">
        <v>48</v>
      </c>
    </row>
    <row r="33" spans="1:2" x14ac:dyDescent="0.25">
      <c r="A33" t="s">
        <v>55</v>
      </c>
      <c r="B33" t="s">
        <v>48</v>
      </c>
    </row>
    <row r="34" spans="1:2" x14ac:dyDescent="0.25">
      <c r="A34" t="s">
        <v>56</v>
      </c>
      <c r="B34" t="s">
        <v>48</v>
      </c>
    </row>
    <row r="35" spans="1:2" x14ac:dyDescent="0.25">
      <c r="A35" t="s">
        <v>57</v>
      </c>
      <c r="B35" t="s">
        <v>35</v>
      </c>
    </row>
    <row r="36" spans="1:2" x14ac:dyDescent="0.25">
      <c r="A36" t="s">
        <v>58</v>
      </c>
      <c r="B36" t="s">
        <v>35</v>
      </c>
    </row>
    <row r="37" spans="1:2" x14ac:dyDescent="0.25">
      <c r="A37" t="s">
        <v>24</v>
      </c>
      <c r="B37" t="s">
        <v>35</v>
      </c>
    </row>
    <row r="38" spans="1:2" x14ac:dyDescent="0.25">
      <c r="A38" t="s">
        <v>21</v>
      </c>
      <c r="B38" t="s">
        <v>35</v>
      </c>
    </row>
    <row r="39" spans="1:2" x14ac:dyDescent="0.25">
      <c r="A39" t="s">
        <v>30</v>
      </c>
      <c r="B39" t="s">
        <v>35</v>
      </c>
    </row>
    <row r="40" spans="1:2" x14ac:dyDescent="0.25">
      <c r="A40" t="s">
        <v>28</v>
      </c>
      <c r="B40" t="s">
        <v>35</v>
      </c>
    </row>
    <row r="41" spans="1:2" x14ac:dyDescent="0.25">
      <c r="A41" t="s">
        <v>59</v>
      </c>
      <c r="B41" t="s">
        <v>35</v>
      </c>
    </row>
    <row r="42" spans="1:2" x14ac:dyDescent="0.25">
      <c r="A42" t="s">
        <v>15</v>
      </c>
      <c r="B42" t="s">
        <v>35</v>
      </c>
    </row>
    <row r="43" spans="1:2" x14ac:dyDescent="0.25">
      <c r="A43" t="s">
        <v>23</v>
      </c>
      <c r="B43" t="s">
        <v>35</v>
      </c>
    </row>
    <row r="44" spans="1:2" x14ac:dyDescent="0.25">
      <c r="A44" t="s">
        <v>60</v>
      </c>
      <c r="B44" t="s">
        <v>35</v>
      </c>
    </row>
    <row r="45" spans="1:2" x14ac:dyDescent="0.25">
      <c r="A45" t="s">
        <v>61</v>
      </c>
      <c r="B45" t="s">
        <v>10</v>
      </c>
    </row>
    <row r="46" spans="1:2" x14ac:dyDescent="0.25">
      <c r="A46" t="s">
        <v>62</v>
      </c>
      <c r="B46" t="s">
        <v>10</v>
      </c>
    </row>
    <row r="47" spans="1:2" x14ac:dyDescent="0.25">
      <c r="A47" t="s">
        <v>32</v>
      </c>
      <c r="B47" t="s">
        <v>35</v>
      </c>
    </row>
    <row r="48" spans="1:2" x14ac:dyDescent="0.25">
      <c r="A48" t="s">
        <v>63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2026-03-25T22:41:12Z</dcterms:modified>
</cp:coreProperties>
</file>