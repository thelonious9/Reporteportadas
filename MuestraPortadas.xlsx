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22412853-B301-44CE-8B9C-66206C39AB54}" xr6:coauthVersionLast="47" xr6:coauthVersionMax="47" xr10:uidLastSave="{00000000-0000-0000-0000-000000000000}"/>
  <bookViews>
    <workbookView xWindow="-120" yWindow="-120" windowWidth="29040" windowHeight="1572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</calcChain>
</file>

<file path=xl/sharedStrings.xml><?xml version="1.0" encoding="utf-8"?>
<sst xmlns="http://schemas.openxmlformats.org/spreadsheetml/2006/main" count="632" uniqueCount="185">
  <si>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</si>
  <si>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</si>
  <si>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</si>
  <si>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</si>
  <si>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</si>
  <si>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</si>
  <si>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</si>
  <si>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</si>
  <si>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</si>
  <si>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</si>
  <si>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</si>
  <si>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</si>
  <si>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</si>
  <si>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</si>
  <si>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</si>
  <si>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</si>
  <si>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</si>
  <si>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</si>
  <si>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</si>
  <si>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</si>
  <si>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</si>
  <si>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</si>
  <si>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</si>
  <si>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</si>
  <si>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</si>
  <si>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</si>
  <si>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</si>
  <si>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</si>
  <si>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</si>
  <si>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</si>
  <si>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</si>
  <si>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</si>
  <si>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</si>
  <si>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</si>
  <si>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</si>
  <si>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</si>
  <si>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</si>
  <si>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</si>
  <si>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</si>
  <si>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</si>
  <si>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</si>
  <si>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</si>
  <si>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</si>
  <si>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</si>
  <si>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</si>
  <si>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</si>
  <si>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</si>
  <si>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</si>
  <si>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</si>
  <si>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</si>
  <si>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</si>
  <si>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</si>
  <si>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</si>
  <si>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</si>
  <si>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</si>
  <si>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</si>
  <si>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</si>
  <si>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</si>
  <si>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</si>
  <si>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</si>
  <si>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</si>
  <si>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</si>
  <si>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</si>
  <si>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</si>
  <si>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</si>
  <si>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</si>
  <si>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</si>
  <si>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</si>
  <si>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</si>
  <si>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</si>
  <si>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</si>
  <si>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</si>
  <si>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</si>
  <si>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</si>
  <si>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</si>
  <si>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</si>
  <si>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</si>
  <si>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La Jornada Hidalgo</t>
  </si>
  <si>
    <t>Publicidad</t>
  </si>
  <si>
    <t>El Sol de Hidalgo</t>
  </si>
  <si>
    <t>Marfeca</t>
  </si>
  <si>
    <t>Cintillo</t>
  </si>
  <si>
    <t>Prevención cáncer de mama</t>
  </si>
  <si>
    <t>Alcalde</t>
  </si>
  <si>
    <t>Comparecencias</t>
  </si>
  <si>
    <t>Editorial</t>
  </si>
  <si>
    <t>Cuenta de Recurso editorial</t>
  </si>
  <si>
    <t>Etiquetas de fila</t>
  </si>
  <si>
    <t>Total general</t>
  </si>
  <si>
    <t>Effetá</t>
  </si>
  <si>
    <t>Pachuca Brilla</t>
  </si>
  <si>
    <t>Temas internacionales</t>
  </si>
  <si>
    <t>Recuerda: la detección temprana salva vidas</t>
  </si>
  <si>
    <t>Policía municipal</t>
  </si>
  <si>
    <t>SICT</t>
  </si>
  <si>
    <t>Candidaturas</t>
  </si>
  <si>
    <t>Día De Muertos</t>
  </si>
  <si>
    <t>Cae Guadalupe Taddei</t>
  </si>
  <si>
    <t>Renuncia</t>
  </si>
  <si>
    <t>Reliquia de San Pascual visita Catedral de Tula</t>
  </si>
  <si>
    <t>Temas varios</t>
  </si>
  <si>
    <t>Solicitan más apoyos para campesinos</t>
  </si>
  <si>
    <t>Apoyo Al Agro</t>
  </si>
  <si>
    <t>Serán obligatorias seis curules indígenas</t>
  </si>
  <si>
    <t>Innovación catastral</t>
  </si>
  <si>
    <t>Modernización catastral</t>
  </si>
  <si>
    <t>Secretaría de Hacienda dirige reunión nacional sobre catastro</t>
  </si>
  <si>
    <t>Arrecia el frío en la entidad</t>
  </si>
  <si>
    <t>Bajas temperaturas</t>
  </si>
  <si>
    <t>Confidenciales, datos sobre el libramiento a Nopala, dice SICT</t>
  </si>
  <si>
    <t>Opacidad</t>
  </si>
  <si>
    <t>Afina SEPH protocolos ante actos violentos</t>
  </si>
  <si>
    <t>PROTOCOLO DE PROTECCIÓN DOCENTE</t>
  </si>
  <si>
    <t>Ecovelas que rememoran a fieles difuntos</t>
  </si>
  <si>
    <t>Perfila INE aumentar 240 casillas para la elección de 2027</t>
  </si>
  <si>
    <t>Volvió el Pachuca</t>
  </si>
  <si>
    <t>Skyler apunta a lo más alto</t>
  </si>
  <si>
    <t>Aprueban solo tres ampliaciones para rellenos sanitarios</t>
  </si>
  <si>
    <t>Relleno Sanitario</t>
  </si>
  <si>
    <t>Percepción de inseguridad en Pachuca, menor al 58.1% federal</t>
  </si>
  <si>
    <t>Percepción de inseguridad</t>
  </si>
  <si>
    <t>Morena debe transparentar candidaturas: Pablo Vargas</t>
  </si>
  <si>
    <t>Retiran de nuevo a comerciantes de Plaza Constitución</t>
  </si>
  <si>
    <t>Ambulantaje</t>
  </si>
  <si>
    <t>Hidalgo, 2° lugar en el índice de catastro Sedatu</t>
  </si>
  <si>
    <t>Se va Taddei... pide pruebas de transas y hasta debido proceso</t>
  </si>
  <si>
    <t>Hacienda. Devela nueva plataforma para modernizar el catastro</t>
  </si>
  <si>
    <t>Construirán 61 mil viviendas del bienestar</t>
  </si>
  <si>
    <t>Plan Nacional De Vivienda</t>
  </si>
  <si>
    <t>Pachuca entre 10 capitales que mejoran la percepción de seguridad</t>
  </si>
  <si>
    <t>Esperan 20 mil personas por el Dia de Muertos</t>
  </si>
  <si>
    <t>El ruso de a pie no muestra por temor su descontento con la guerra</t>
  </si>
  <si>
    <t>Lula remonta a Bolsonaro en tiempo extra</t>
  </si>
  <si>
    <t>Combo electoral de $10 millones para corcholatas</t>
  </si>
  <si>
    <t>Van 30 casos de gusano barrenador en humanos</t>
  </si>
  <si>
    <t>Gusano barrenador</t>
  </si>
  <si>
    <t>Tras años de olvido, Sheinbaum le devuelve a Hidalgo la esperanza</t>
  </si>
  <si>
    <t>Proyectos Federales</t>
  </si>
  <si>
    <t>SEPH evaluará programas de educación inclusiva</t>
  </si>
  <si>
    <t>inclusión</t>
  </si>
  <si>
    <t>Renuncia Guadalupe Tddei a la presidencia del INE</t>
  </si>
  <si>
    <t>La presencia federal comienza a producir resultados, pero el gran  desafío sigue siendo convertir los avances operativos en condiciones  de protección tangibles para una sociedad golpeada por la  extorsión y la incertidumbre”.</t>
  </si>
  <si>
    <t>Culminan comparecencias en Congreso estatal; llegan más de 400 preguntas ciudadanas</t>
  </si>
  <si>
    <t>Reduce 32% el rezago de carpetas de investigación: Fernández Hasbun</t>
  </si>
  <si>
    <t>Cruza Sebiso padrones de beneficiarios; detecta 2 mil 359 csos duplicados</t>
  </si>
  <si>
    <t>Programas Del Bienestar</t>
  </si>
  <si>
    <t>Hacienda estatal apuesta por capacitación digital para mejorar la gesión catastral</t>
  </si>
  <si>
    <t>Transportistas anuncian paro sin bloqueos de carreteras</t>
  </si>
  <si>
    <t>Protesta Transportistas</t>
  </si>
  <si>
    <t>Lula ganó las elecciones presidenciales de Brasil</t>
  </si>
  <si>
    <t>Hoy está anunciada la renuncia de  Guadalupe Taddei Zavala como  presidenta consejera del INE,  pues resultaba insostenible su  permanencia en un instituto que  existe por la credibilidad  y honestidad que  representa. La señora  Taddei es todo lo  contrario: deshonesta  y corrupta…</t>
  </si>
  <si>
    <t>Hidalgo, punta de lanza en modernización catastral</t>
  </si>
  <si>
    <t>Presidenta del INE dejará su cargo por escándalo de corrupción</t>
  </si>
  <si>
    <t>Pachuca se siente más segura</t>
  </si>
  <si>
    <t>Hidalgo registra más de 19 mil concesiones de transporte público: detectan mil 345 unidades m´sa que en el padrón</t>
  </si>
  <si>
    <t>Concesiones transporte público</t>
  </si>
  <si>
    <t>Transportistas de Hidalgo se suman a paro nacional</t>
  </si>
  <si>
    <t>Hidalgo registra 30 casos de gusano barrenador en humanos</t>
  </si>
  <si>
    <t>Hallan a dos personas sin vida en Francisco I. Madero</t>
  </si>
  <si>
    <t>Localización de cuerpo</t>
  </si>
  <si>
    <t>Hidalgo ocupa segundo lugar nacional en modernización catastral</t>
  </si>
  <si>
    <t>Infonavit te invita a conocer las viviendas del Bienestar ""Real de la Reforma""</t>
  </si>
  <si>
    <t>Infonavit</t>
  </si>
  <si>
    <t>Rinde CCI Hidalgo informe anual; destaca entrega de apoyos al campo y convenio con la Universidad Autónoma de Chapingo</t>
  </si>
  <si>
    <t>Hidalgo, punto de encuentro nacional e internacional para la modernización catastral</t>
  </si>
  <si>
    <t>Afición celesta arropa a Cruz Azul en el Estadio Refundación durante entrenamiento</t>
  </si>
  <si>
    <t>Cruz Azul</t>
  </si>
  <si>
    <t>¡Orgullo hidalguense! Atitalaquia conquista la cima nacional en el Mundial Mujeres Libres</t>
  </si>
  <si>
    <t>IHM</t>
  </si>
  <si>
    <t>Justa Deportiva</t>
  </si>
  <si>
    <t>Más de 800 corredores participaron en la carrera atlética ""Kilómetros por la Salud"" de Hospitales Cruz Azul</t>
  </si>
  <si>
    <t>Pachuca fortalece la profesionalización de los cuerpos de emergencia con el Segundo Congreso Internacional de Operaciones 360</t>
  </si>
  <si>
    <t>Profesionalización policial</t>
  </si>
  <si>
    <t>Ajacuba entrega dos obras en la calle Jalisco, en Ignacio Zaragoza</t>
  </si>
  <si>
    <t>Entrega de obra</t>
  </si>
  <si>
    <t>Hidlago, punto de encuentro nacional e internacional para la modernización catastral</t>
  </si>
  <si>
    <t>Habrá desfile de Día de Muertos en Pachuca</t>
  </si>
  <si>
    <t>Encabeza Natividad Castrejón conferencia magistral en Mixquiahuala</t>
  </si>
  <si>
    <t>Conferencia magistral</t>
  </si>
  <si>
    <t>Pachuca fortalece la profesionalización de los cuerpos de emergencia con el Segundo Congreso Internacional Operaciones 360</t>
  </si>
  <si>
    <t>Capacitación Contra Incendios</t>
  </si>
  <si>
    <t>Tuzos vence 2-1 al América</t>
  </si>
  <si>
    <t>¡Que no te falte el chip!</t>
  </si>
  <si>
    <t>Repuve</t>
  </si>
  <si>
    <t>REGISTRO VEHICULAR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</si>
</sst>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2" totalsRowShown="0" headerRowDxfId="7" headerRowBorderDxfId="6">
  <autoFilter ref="A1:J62" xr:uid="{5593606E-308D-4113-AE3C-6E714B763B6E}"/>
  <tableColumns count="10">
    <tableColumn id="1" xr3:uid="{9D9ACAF2-1710-400E-A0E5-0A5BB378D4A0}" name="Fecha" dataDxfId="5"/>
    <tableColumn id="2" xr3:uid="{03A139BE-A997-45E6-81E6-5F7467162FC5}" name="Medio"/>
    <tableColumn id="3" xr3:uid="{4CA37DD5-010E-43EE-907D-87C1845DB2AB}" name="Titular" dataDxfId="4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opLeftCell="A16" workbookViewId="0">
      <selection activeCell="A27" sqref="A27"/>
    </sheetView>
  </sheetViews>
  <sheetFormatPr baseColWidth="10" defaultRowHeight="15" x14ac:dyDescent="0.25"/>
  <cols>
    <col min="1" max="1" width="20.85546875" bestFit="1" customWidth="1"/>
    <col min="2" max="2" width="26.5703125" bestFit="1" customWidth="1"/>
  </cols>
  <sheetData>
    <row r="4" spans="1:2" x14ac:dyDescent="0.25">
      <c r="A4" s="12" t="s">
        <v>87</v>
      </c>
      <c r="B4" t="s">
        <v>86</v>
      </c>
    </row>
    <row r="5" spans="1:2" x14ac:dyDescent="0.25">
      <c r="A5" s="13" t="s">
        <v>71</v>
      </c>
      <c r="B5">
        <v>7</v>
      </c>
    </row>
    <row r="6" spans="1:2" x14ac:dyDescent="0.25">
      <c r="A6" s="14" t="s">
        <v>9</v>
      </c>
      <c r="B6">
        <v>1</v>
      </c>
    </row>
    <row r="7" spans="1:2" x14ac:dyDescent="0.25">
      <c r="A7" s="14" t="s">
        <v>12</v>
      </c>
      <c r="B7">
        <v>5</v>
      </c>
    </row>
    <row r="8" spans="1:2" x14ac:dyDescent="0.25">
      <c r="A8" s="14" t="s">
        <v>13</v>
      </c>
      <c r="B8">
        <v>1</v>
      </c>
    </row>
    <row r="9" spans="1:2" x14ac:dyDescent="0.25">
      <c r="A9" s="13" t="s">
        <v>79</v>
      </c>
      <c r="B9">
        <v>6</v>
      </c>
    </row>
    <row r="10" spans="1:2" x14ac:dyDescent="0.25">
      <c r="A10" s="14" t="s">
        <v>9</v>
      </c>
      <c r="B10">
        <v>1</v>
      </c>
    </row>
    <row r="11" spans="1:2" x14ac:dyDescent="0.25">
      <c r="A11" s="14" t="s">
        <v>12</v>
      </c>
      <c r="B11">
        <v>4</v>
      </c>
    </row>
    <row r="12" spans="1:2" x14ac:dyDescent="0.25">
      <c r="A12" s="14" t="s">
        <v>13</v>
      </c>
      <c r="B12">
        <v>1</v>
      </c>
    </row>
    <row r="13" spans="1:2" x14ac:dyDescent="0.25">
      <c r="A13" s="13" t="s">
        <v>69</v>
      </c>
      <c r="B13">
        <v>6</v>
      </c>
    </row>
    <row r="14" spans="1:2" x14ac:dyDescent="0.25">
      <c r="A14" s="14" t="s">
        <v>9</v>
      </c>
      <c r="B14">
        <v>1</v>
      </c>
    </row>
    <row r="15" spans="1:2" x14ac:dyDescent="0.25">
      <c r="A15" s="14" t="s">
        <v>12</v>
      </c>
      <c r="B15">
        <v>4</v>
      </c>
    </row>
    <row r="16" spans="1:2" x14ac:dyDescent="0.25">
      <c r="A16" s="14" t="s">
        <v>13</v>
      </c>
      <c r="B16">
        <v>1</v>
      </c>
    </row>
    <row r="17" spans="1:2" x14ac:dyDescent="0.25">
      <c r="A17" s="13" t="s">
        <v>77</v>
      </c>
      <c r="B17">
        <v>5</v>
      </c>
    </row>
    <row r="18" spans="1:2" x14ac:dyDescent="0.25">
      <c r="A18" s="14" t="s">
        <v>9</v>
      </c>
      <c r="B18">
        <v>1</v>
      </c>
    </row>
    <row r="19" spans="1:2" x14ac:dyDescent="0.25">
      <c r="A19" s="14" t="s">
        <v>12</v>
      </c>
      <c r="B19">
        <v>3</v>
      </c>
    </row>
    <row r="20" spans="1:2" x14ac:dyDescent="0.25">
      <c r="A20" s="14" t="s">
        <v>13</v>
      </c>
      <c r="B20">
        <v>1</v>
      </c>
    </row>
    <row r="21" spans="1:2" x14ac:dyDescent="0.25">
      <c r="A21" s="13" t="s">
        <v>80</v>
      </c>
      <c r="B21">
        <v>9</v>
      </c>
    </row>
    <row r="22" spans="1:2" x14ac:dyDescent="0.25">
      <c r="A22" s="14" t="s">
        <v>81</v>
      </c>
      <c r="B22">
        <v>1</v>
      </c>
    </row>
    <row r="23" spans="1:2" x14ac:dyDescent="0.25">
      <c r="A23" s="14" t="s">
        <v>12</v>
      </c>
      <c r="B23">
        <v>6</v>
      </c>
    </row>
    <row r="24" spans="1:2" x14ac:dyDescent="0.25">
      <c r="A24" s="14" t="s">
        <v>13</v>
      </c>
      <c r="B24">
        <v>1</v>
      </c>
    </row>
    <row r="25" spans="1:2" x14ac:dyDescent="0.25">
      <c r="A25" s="14" t="s">
        <v>78</v>
      </c>
      <c r="B25">
        <v>1</v>
      </c>
    </row>
    <row r="26" spans="1:2" x14ac:dyDescent="0.25">
      <c r="A26" s="13" t="s">
        <v>74</v>
      </c>
      <c r="B26">
        <v>9</v>
      </c>
    </row>
    <row r="27" spans="1:2" x14ac:dyDescent="0.25">
      <c r="A27" s="14" t="s">
        <v>9</v>
      </c>
      <c r="B27">
        <v>1</v>
      </c>
    </row>
    <row r="28" spans="1:2" x14ac:dyDescent="0.25">
      <c r="A28" s="14" t="s">
        <v>12</v>
      </c>
      <c r="B28">
        <v>7</v>
      </c>
    </row>
    <row r="29" spans="1:2" x14ac:dyDescent="0.25">
      <c r="A29" s="14" t="s">
        <v>13</v>
      </c>
      <c r="B29">
        <v>1</v>
      </c>
    </row>
    <row r="30" spans="1:2" x14ac:dyDescent="0.25">
      <c r="A30" s="13" t="s">
        <v>76</v>
      </c>
      <c r="B30">
        <v>5</v>
      </c>
    </row>
    <row r="31" spans="1:2" x14ac:dyDescent="0.25">
      <c r="A31" s="14" t="s">
        <v>85</v>
      </c>
      <c r="B31">
        <v>1</v>
      </c>
    </row>
    <row r="32" spans="1:2" x14ac:dyDescent="0.25">
      <c r="A32" s="14" t="s">
        <v>12</v>
      </c>
      <c r="B32">
        <v>3</v>
      </c>
    </row>
    <row r="33" spans="1:2" x14ac:dyDescent="0.25">
      <c r="A33" s="14" t="s">
        <v>13</v>
      </c>
      <c r="B33">
        <v>1</v>
      </c>
    </row>
    <row r="34" spans="1:2" x14ac:dyDescent="0.25">
      <c r="A34" s="13" t="s">
        <v>73</v>
      </c>
      <c r="B34">
        <v>4</v>
      </c>
    </row>
    <row r="35" spans="1:2" x14ac:dyDescent="0.25">
      <c r="A35" s="14" t="s">
        <v>12</v>
      </c>
      <c r="B35">
        <v>3</v>
      </c>
    </row>
    <row r="36" spans="1:2" x14ac:dyDescent="0.25">
      <c r="A36" s="14" t="s">
        <v>13</v>
      </c>
      <c r="B36">
        <v>1</v>
      </c>
    </row>
    <row r="37" spans="1:2" x14ac:dyDescent="0.25">
      <c r="A37" s="13" t="s">
        <v>89</v>
      </c>
      <c r="B37">
        <v>6</v>
      </c>
    </row>
    <row r="38" spans="1:2" x14ac:dyDescent="0.25">
      <c r="A38" s="14" t="s">
        <v>9</v>
      </c>
      <c r="B38">
        <v>1</v>
      </c>
    </row>
    <row r="39" spans="1:2" x14ac:dyDescent="0.25">
      <c r="A39" s="14" t="s">
        <v>12</v>
      </c>
      <c r="B39">
        <v>4</v>
      </c>
    </row>
    <row r="40" spans="1:2" x14ac:dyDescent="0.25">
      <c r="A40" s="14" t="s">
        <v>13</v>
      </c>
      <c r="B40">
        <v>1</v>
      </c>
    </row>
    <row r="41" spans="1:2" x14ac:dyDescent="0.25">
      <c r="A41" s="13" t="s">
        <v>90</v>
      </c>
      <c r="B41">
        <v>7</v>
      </c>
    </row>
    <row r="42" spans="1:2" x14ac:dyDescent="0.25">
      <c r="A42" s="14" t="s">
        <v>12</v>
      </c>
      <c r="B42">
        <v>5</v>
      </c>
    </row>
    <row r="43" spans="1:2" x14ac:dyDescent="0.25">
      <c r="A43" s="14" t="s">
        <v>13</v>
      </c>
      <c r="B43">
        <v>1</v>
      </c>
    </row>
    <row r="44" spans="1:2" x14ac:dyDescent="0.25">
      <c r="A44" s="14" t="s">
        <v>78</v>
      </c>
      <c r="B44">
        <v>1</v>
      </c>
    </row>
    <row r="45" spans="1:2" x14ac:dyDescent="0.25">
      <c r="A45" s="13" t="s">
        <v>88</v>
      </c>
      <c r="B4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2"/>
  <sheetViews>
    <sheetView tabSelected="1" workbookViewId="0">
      <selection activeCell="D17" sqref="D17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46321</v>
      </c>
      <c r="B2" t="s">
        <v>79</v>
      </c>
      <c r="C2" s="5" t="s">
        <v>97</v>
      </c>
      <c r="D2" t="s">
        <v>13</v>
      </c>
      <c r="E2" t="s">
        <v>10</v>
      </c>
      <c r="F2" t="s">
        <v>10</v>
      </c>
      <c r="G2" t="s">
        <v>98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46321</v>
      </c>
      <c r="B3" t="s">
        <v>79</v>
      </c>
      <c r="C3" s="5" t="s">
        <v>99</v>
      </c>
      <c r="D3" t="s">
        <v>12</v>
      </c>
      <c r="E3" t="s">
        <v>10</v>
      </c>
      <c r="F3" t="s">
        <v>10</v>
      </c>
      <c r="G3" t="s">
        <v>100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46321</v>
      </c>
      <c r="B4" t="s">
        <v>79</v>
      </c>
      <c r="C4" s="5" t="s">
        <v>101</v>
      </c>
      <c r="D4" t="s">
        <v>12</v>
      </c>
      <c r="E4" t="s">
        <v>14</v>
      </c>
      <c r="F4" t="s">
        <v>14</v>
      </c>
      <c r="G4" t="s">
        <v>102</v>
      </c>
      <c r="H4" t="s">
        <v>68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46321</v>
      </c>
      <c r="B5" t="s">
        <v>79</v>
      </c>
      <c r="C5" s="5" t="s">
        <v>103</v>
      </c>
      <c r="D5" t="s">
        <v>12</v>
      </c>
      <c r="E5" t="s">
        <v>40</v>
      </c>
      <c r="F5" t="s">
        <v>40</v>
      </c>
      <c r="G5" t="s">
        <v>95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46321</v>
      </c>
      <c r="B6" t="s">
        <v>79</v>
      </c>
      <c r="C6" s="5" t="s">
        <v>104</v>
      </c>
      <c r="D6" t="s">
        <v>12</v>
      </c>
      <c r="E6" t="s">
        <v>39</v>
      </c>
      <c r="F6" t="s">
        <v>39</v>
      </c>
      <c r="G6" t="s">
        <v>105</v>
      </c>
      <c r="H6" t="s">
        <v>72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ht="30" x14ac:dyDescent="0.25">
      <c r="A7" s="11">
        <v>46321</v>
      </c>
      <c r="B7" t="s">
        <v>69</v>
      </c>
      <c r="C7" s="5" t="s">
        <v>106</v>
      </c>
      <c r="D7" t="s">
        <v>12</v>
      </c>
      <c r="E7" t="s">
        <v>39</v>
      </c>
      <c r="F7" t="s">
        <v>39</v>
      </c>
      <c r="G7" t="s">
        <v>105</v>
      </c>
      <c r="H7" t="s">
        <v>72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46321</v>
      </c>
      <c r="B8" t="s">
        <v>69</v>
      </c>
      <c r="C8" s="5" t="s">
        <v>107</v>
      </c>
      <c r="D8" t="s">
        <v>9</v>
      </c>
      <c r="E8" t="s">
        <v>10</v>
      </c>
      <c r="F8" t="s">
        <v>10</v>
      </c>
      <c r="G8" t="s">
        <v>108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ht="30" x14ac:dyDescent="0.25">
      <c r="A9" s="11">
        <v>46321</v>
      </c>
      <c r="B9" t="s">
        <v>69</v>
      </c>
      <c r="C9" s="5" t="s">
        <v>109</v>
      </c>
      <c r="D9" t="s">
        <v>13</v>
      </c>
      <c r="E9" t="s">
        <v>14</v>
      </c>
      <c r="F9" t="s">
        <v>94</v>
      </c>
      <c r="G9" t="s">
        <v>110</v>
      </c>
      <c r="H9" t="s">
        <v>68</v>
      </c>
      <c r="I9" t="str">
        <f>_xlfn.XLOOKUP(Tabla1[[#This Row],[Dependencia]],Tabla2[Dependencia],Tabla2[Clasificación],"XXX",0)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46321</v>
      </c>
      <c r="B10" t="s">
        <v>69</v>
      </c>
      <c r="C10" s="5" t="s">
        <v>111</v>
      </c>
      <c r="D10" t="s">
        <v>12</v>
      </c>
      <c r="E10" t="s">
        <v>26</v>
      </c>
      <c r="F10" t="s">
        <v>2</v>
      </c>
      <c r="G10" t="s">
        <v>112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46321</v>
      </c>
      <c r="B11" t="s">
        <v>69</v>
      </c>
      <c r="C11" s="5" t="s">
        <v>113</v>
      </c>
      <c r="D11" t="s">
        <v>12</v>
      </c>
      <c r="E11" t="s">
        <v>10</v>
      </c>
      <c r="F11" t="s">
        <v>10</v>
      </c>
      <c r="G11" t="s">
        <v>96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ht="30" x14ac:dyDescent="0.25">
      <c r="A12" s="11">
        <v>46321</v>
      </c>
      <c r="B12" t="s">
        <v>69</v>
      </c>
      <c r="C12" s="5" t="s">
        <v>114</v>
      </c>
      <c r="D12" t="s">
        <v>12</v>
      </c>
      <c r="E12" t="s">
        <v>10</v>
      </c>
      <c r="F12" t="s">
        <v>10</v>
      </c>
      <c r="G12" t="s">
        <v>42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46321</v>
      </c>
      <c r="B13" t="s">
        <v>71</v>
      </c>
      <c r="C13" s="5" t="s">
        <v>115</v>
      </c>
      <c r="D13" t="s">
        <v>12</v>
      </c>
      <c r="E13" t="s">
        <v>10</v>
      </c>
      <c r="F13" t="s">
        <v>10</v>
      </c>
      <c r="G13" t="s">
        <v>70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46321</v>
      </c>
      <c r="B14" t="s">
        <v>71</v>
      </c>
      <c r="C14" s="5" t="s">
        <v>116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11">
        <v>46321</v>
      </c>
      <c r="B15" t="s">
        <v>71</v>
      </c>
      <c r="C15" s="5" t="s">
        <v>117</v>
      </c>
      <c r="D15" t="s">
        <v>13</v>
      </c>
      <c r="E15" t="s">
        <v>20</v>
      </c>
      <c r="F15" t="s">
        <v>20</v>
      </c>
      <c r="G15" t="s">
        <v>118</v>
      </c>
      <c r="H15" t="s">
        <v>68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11">
        <v>46321</v>
      </c>
      <c r="B16" t="s">
        <v>71</v>
      </c>
      <c r="C16" s="5" t="s">
        <v>119</v>
      </c>
      <c r="D16" t="s">
        <v>12</v>
      </c>
      <c r="E16" t="s">
        <v>16</v>
      </c>
      <c r="F16" t="s">
        <v>93</v>
      </c>
      <c r="G16" t="s">
        <v>120</v>
      </c>
      <c r="H16" t="s">
        <v>72</v>
      </c>
      <c r="I16" t="str">
        <f>_xlfn.XLOOKUP(Tabla1[[#This Row],[Dependencia]],Tabla2[Dependencia],Tabla2[Clasificación],"XXX",0)</f>
        <v>Alcaldías</v>
      </c>
      <c r="J16" t="str">
        <f>_xlfn.XLOOKUP(Tabla1[[#This Row],[Dependencia]],Tabla3[Dependencia],Tabla3[Nivel],"Otros",0)</f>
        <v>Otros</v>
      </c>
    </row>
    <row r="17" spans="1:10" ht="30" x14ac:dyDescent="0.25">
      <c r="A17" s="11">
        <v>46321</v>
      </c>
      <c r="B17" t="s">
        <v>71</v>
      </c>
      <c r="C17" s="5" t="s">
        <v>121</v>
      </c>
      <c r="D17" t="s">
        <v>12</v>
      </c>
      <c r="E17" t="s">
        <v>18</v>
      </c>
      <c r="F17" t="s">
        <v>18</v>
      </c>
      <c r="G17" t="s">
        <v>95</v>
      </c>
      <c r="H17" t="s">
        <v>11</v>
      </c>
      <c r="I17" t="str">
        <f>_xlfn.XLOOKUP(Tabla1[[#This Row],[Dependencia]],Tabla2[Dependencia],Tabla2[Clasificación],"XXX",0)</f>
        <v>Partidos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46321</v>
      </c>
      <c r="B18" t="s">
        <v>71</v>
      </c>
      <c r="C18" s="5" t="s">
        <v>122</v>
      </c>
      <c r="D18" t="s">
        <v>9</v>
      </c>
      <c r="E18" t="s">
        <v>16</v>
      </c>
      <c r="F18" t="s">
        <v>16</v>
      </c>
      <c r="G18" t="s">
        <v>123</v>
      </c>
      <c r="H18" t="s">
        <v>11</v>
      </c>
      <c r="I18" t="str">
        <f>_xlfn.XLOOKUP(Tabla1[[#This Row],[Dependencia]],Tabla2[Dependencia],Tabla2[Clasificación],"XXX",0)</f>
        <v>Alcaldías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46321</v>
      </c>
      <c r="B19" t="s">
        <v>71</v>
      </c>
      <c r="C19" s="5" t="s">
        <v>124</v>
      </c>
      <c r="D19" t="s">
        <v>12</v>
      </c>
      <c r="E19" t="s">
        <v>39</v>
      </c>
      <c r="F19" t="s">
        <v>39</v>
      </c>
      <c r="G19" t="s">
        <v>105</v>
      </c>
      <c r="H19" t="s">
        <v>72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11">
        <v>46321</v>
      </c>
      <c r="B20" t="s">
        <v>74</v>
      </c>
      <c r="C20" s="5" t="s">
        <v>125</v>
      </c>
      <c r="D20" t="s">
        <v>12</v>
      </c>
      <c r="E20" t="s">
        <v>10</v>
      </c>
      <c r="F20" t="s">
        <v>10</v>
      </c>
      <c r="G20" t="s">
        <v>98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46321</v>
      </c>
      <c r="B21" t="s">
        <v>74</v>
      </c>
      <c r="C21" s="5" t="s">
        <v>126</v>
      </c>
      <c r="D21" t="s">
        <v>9</v>
      </c>
      <c r="E21" t="s">
        <v>39</v>
      </c>
      <c r="F21" t="s">
        <v>39</v>
      </c>
      <c r="G21" t="s">
        <v>105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1">
        <v>46321</v>
      </c>
      <c r="B22" t="s">
        <v>74</v>
      </c>
      <c r="C22" s="5" t="s">
        <v>127</v>
      </c>
      <c r="D22" t="s">
        <v>12</v>
      </c>
      <c r="E22" t="s">
        <v>10</v>
      </c>
      <c r="F22" t="s">
        <v>10</v>
      </c>
      <c r="G22" t="s">
        <v>128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ht="30" x14ac:dyDescent="0.25">
      <c r="A23" s="11">
        <v>46321</v>
      </c>
      <c r="B23" t="s">
        <v>74</v>
      </c>
      <c r="C23" s="5" t="s">
        <v>129</v>
      </c>
      <c r="D23" t="s">
        <v>12</v>
      </c>
      <c r="E23" t="s">
        <v>16</v>
      </c>
      <c r="F23" t="s">
        <v>93</v>
      </c>
      <c r="G23" t="s">
        <v>120</v>
      </c>
      <c r="H23" t="s">
        <v>72</v>
      </c>
      <c r="I23" t="str">
        <f>_xlfn.XLOOKUP(Tabla1[[#This Row],[Dependencia]],Tabla2[Dependencia],Tabla2[Clasificación],"XXX",0)</f>
        <v>Alcaldías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46321</v>
      </c>
      <c r="B24" t="s">
        <v>74</v>
      </c>
      <c r="C24" s="5" t="s">
        <v>130</v>
      </c>
      <c r="D24" t="s">
        <v>12</v>
      </c>
      <c r="E24" t="s">
        <v>16</v>
      </c>
      <c r="F24" t="s">
        <v>16</v>
      </c>
      <c r="G24" t="s">
        <v>96</v>
      </c>
      <c r="H24" t="s">
        <v>11</v>
      </c>
      <c r="I24" t="str">
        <f>_xlfn.XLOOKUP(Tabla1[[#This Row],[Dependencia]],Tabla2[Dependencia],Tabla2[Clasificación],"XXX",0)</f>
        <v>Alcaldías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46321</v>
      </c>
      <c r="B25" t="s">
        <v>74</v>
      </c>
      <c r="C25" s="5" t="s">
        <v>131</v>
      </c>
      <c r="D25" t="s">
        <v>12</v>
      </c>
      <c r="E25" t="s">
        <v>10</v>
      </c>
      <c r="F25" t="s">
        <v>10</v>
      </c>
      <c r="G25" t="s">
        <v>91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46321</v>
      </c>
      <c r="B26" t="s">
        <v>74</v>
      </c>
      <c r="C26" s="5" t="s">
        <v>132</v>
      </c>
      <c r="D26" t="s">
        <v>12</v>
      </c>
      <c r="E26" t="s">
        <v>10</v>
      </c>
      <c r="F26" t="s">
        <v>10</v>
      </c>
      <c r="G26" t="s">
        <v>91</v>
      </c>
      <c r="H26" t="s">
        <v>72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46321</v>
      </c>
      <c r="B27" t="s">
        <v>74</v>
      </c>
      <c r="C27" s="5" t="s">
        <v>133</v>
      </c>
      <c r="D27" t="s">
        <v>12</v>
      </c>
      <c r="E27" t="s">
        <v>10</v>
      </c>
      <c r="F27" t="s">
        <v>10</v>
      </c>
      <c r="G27" t="s">
        <v>95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46321</v>
      </c>
      <c r="B28" t="s">
        <v>77</v>
      </c>
      <c r="C28" s="5" t="s">
        <v>134</v>
      </c>
      <c r="D28" t="s">
        <v>12</v>
      </c>
      <c r="E28" t="s">
        <v>15</v>
      </c>
      <c r="F28" t="s">
        <v>15</v>
      </c>
      <c r="G28" t="s">
        <v>135</v>
      </c>
      <c r="H28" t="s">
        <v>11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11">
        <v>46321</v>
      </c>
      <c r="B29" t="s">
        <v>77</v>
      </c>
      <c r="C29" s="5" t="s">
        <v>136</v>
      </c>
      <c r="D29" t="s">
        <v>13</v>
      </c>
      <c r="E29" t="s">
        <v>14</v>
      </c>
      <c r="F29" t="s">
        <v>14</v>
      </c>
      <c r="G29" t="s">
        <v>137</v>
      </c>
      <c r="H29" t="s">
        <v>72</v>
      </c>
      <c r="I29" t="str">
        <f>_xlfn.XLOOKUP(Tabla1[[#This Row],[Dependencia]],Tabla2[Dependencia],Tabla2[Clasificación],"XXX",0)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46321</v>
      </c>
      <c r="B30" t="s">
        <v>77</v>
      </c>
      <c r="C30" s="5" t="s">
        <v>138</v>
      </c>
      <c r="D30" t="s">
        <v>12</v>
      </c>
      <c r="E30" t="s">
        <v>26</v>
      </c>
      <c r="F30" t="s">
        <v>26</v>
      </c>
      <c r="G30" t="s">
        <v>139</v>
      </c>
      <c r="H30" t="s">
        <v>72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25">
      <c r="A31" s="11">
        <v>46321</v>
      </c>
      <c r="B31" t="s">
        <v>77</v>
      </c>
      <c r="C31" s="5" t="s">
        <v>140</v>
      </c>
      <c r="D31" t="s">
        <v>9</v>
      </c>
      <c r="E31" t="s">
        <v>10</v>
      </c>
      <c r="F31" t="s">
        <v>10</v>
      </c>
      <c r="G31" t="s">
        <v>98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ht="75" x14ac:dyDescent="0.25">
      <c r="A32" s="11">
        <v>46321</v>
      </c>
      <c r="B32" t="s">
        <v>77</v>
      </c>
      <c r="C32" s="5" t="s">
        <v>141</v>
      </c>
      <c r="D32" t="s">
        <v>12</v>
      </c>
      <c r="E32" t="s">
        <v>14</v>
      </c>
      <c r="F32" t="s">
        <v>14</v>
      </c>
      <c r="G32" t="s">
        <v>137</v>
      </c>
      <c r="H32" t="s">
        <v>11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46321</v>
      </c>
      <c r="B33" t="s">
        <v>73</v>
      </c>
      <c r="C33" s="5" t="s">
        <v>142</v>
      </c>
      <c r="D33" t="s">
        <v>13</v>
      </c>
      <c r="E33" t="s">
        <v>33</v>
      </c>
      <c r="F33" t="s">
        <v>33</v>
      </c>
      <c r="G33" t="s">
        <v>84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46321</v>
      </c>
      <c r="B34" t="s">
        <v>73</v>
      </c>
      <c r="C34" s="5" t="s">
        <v>143</v>
      </c>
      <c r="D34" t="s">
        <v>12</v>
      </c>
      <c r="E34" t="s">
        <v>17</v>
      </c>
      <c r="F34" t="s">
        <v>2</v>
      </c>
      <c r="G34" t="s">
        <v>84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46321</v>
      </c>
      <c r="B35" t="s">
        <v>73</v>
      </c>
      <c r="C35" s="5" t="s">
        <v>144</v>
      </c>
      <c r="D35" t="s">
        <v>12</v>
      </c>
      <c r="E35" t="s">
        <v>19</v>
      </c>
      <c r="F35" t="s">
        <v>19</v>
      </c>
      <c r="G35" t="s">
        <v>145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46321</v>
      </c>
      <c r="B36" t="s">
        <v>73</v>
      </c>
      <c r="C36" s="5" t="s">
        <v>146</v>
      </c>
      <c r="D36" t="s">
        <v>12</v>
      </c>
      <c r="E36" t="s">
        <v>39</v>
      </c>
      <c r="F36" t="s">
        <v>39</v>
      </c>
      <c r="G36" t="s">
        <v>105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46321</v>
      </c>
      <c r="B37" t="s">
        <v>76</v>
      </c>
      <c r="C37" s="5" t="s">
        <v>147</v>
      </c>
      <c r="D37" t="s">
        <v>13</v>
      </c>
      <c r="E37" t="s">
        <v>10</v>
      </c>
      <c r="F37" t="s">
        <v>10</v>
      </c>
      <c r="G37" t="s">
        <v>148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x14ac:dyDescent="0.25">
      <c r="A38" s="11">
        <v>46321</v>
      </c>
      <c r="B38" t="s">
        <v>76</v>
      </c>
      <c r="C38" s="5" t="s">
        <v>149</v>
      </c>
      <c r="D38" t="s">
        <v>12</v>
      </c>
      <c r="E38" t="s">
        <v>10</v>
      </c>
      <c r="F38" t="s">
        <v>10</v>
      </c>
      <c r="G38" t="s">
        <v>91</v>
      </c>
      <c r="H38" t="s">
        <v>72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ht="90" x14ac:dyDescent="0.25">
      <c r="A39" s="11">
        <v>46321</v>
      </c>
      <c r="B39" t="s">
        <v>76</v>
      </c>
      <c r="C39" s="5" t="s">
        <v>150</v>
      </c>
      <c r="D39" t="s">
        <v>85</v>
      </c>
      <c r="E39" t="s">
        <v>10</v>
      </c>
      <c r="F39" t="s">
        <v>10</v>
      </c>
      <c r="G39" t="s">
        <v>98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11">
        <v>46321</v>
      </c>
      <c r="B40" t="s">
        <v>76</v>
      </c>
      <c r="C40" s="5" t="s">
        <v>151</v>
      </c>
      <c r="D40" t="s">
        <v>12</v>
      </c>
      <c r="E40" t="s">
        <v>39</v>
      </c>
      <c r="F40" t="s">
        <v>39</v>
      </c>
      <c r="G40" t="s">
        <v>105</v>
      </c>
      <c r="H40" t="s">
        <v>72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46321</v>
      </c>
      <c r="B41" t="s">
        <v>76</v>
      </c>
      <c r="C41" s="5" t="s">
        <v>152</v>
      </c>
      <c r="D41" t="s">
        <v>12</v>
      </c>
      <c r="E41" t="s">
        <v>10</v>
      </c>
      <c r="F41" t="s">
        <v>10</v>
      </c>
      <c r="G41" t="s">
        <v>98</v>
      </c>
      <c r="H41" t="s">
        <v>68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11">
        <v>46321</v>
      </c>
      <c r="B42" t="s">
        <v>76</v>
      </c>
      <c r="C42" s="5" t="s">
        <v>153</v>
      </c>
      <c r="D42" t="s">
        <v>12</v>
      </c>
      <c r="E42" t="s">
        <v>16</v>
      </c>
      <c r="F42" t="s">
        <v>83</v>
      </c>
      <c r="G42" t="s">
        <v>120</v>
      </c>
      <c r="H42" t="s">
        <v>72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45" x14ac:dyDescent="0.25">
      <c r="A43" s="11">
        <v>46321</v>
      </c>
      <c r="B43" t="s">
        <v>76</v>
      </c>
      <c r="C43" s="5" t="s">
        <v>154</v>
      </c>
      <c r="D43" t="s">
        <v>13</v>
      </c>
      <c r="E43" t="s">
        <v>27</v>
      </c>
      <c r="F43" t="s">
        <v>27</v>
      </c>
      <c r="G43" t="s">
        <v>155</v>
      </c>
      <c r="H43" t="s">
        <v>68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25">
      <c r="A44" s="11">
        <v>46321</v>
      </c>
      <c r="B44" t="s">
        <v>76</v>
      </c>
      <c r="C44" s="5" t="s">
        <v>156</v>
      </c>
      <c r="D44" t="s">
        <v>9</v>
      </c>
      <c r="E44" t="s">
        <v>10</v>
      </c>
      <c r="F44" t="s">
        <v>10</v>
      </c>
      <c r="G44" t="s">
        <v>148</v>
      </c>
      <c r="H44" t="s">
        <v>68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46321</v>
      </c>
      <c r="B45" t="s">
        <v>76</v>
      </c>
      <c r="C45" s="5" t="s">
        <v>157</v>
      </c>
      <c r="D45" t="s">
        <v>12</v>
      </c>
      <c r="E45" t="s">
        <v>15</v>
      </c>
      <c r="F45" t="s">
        <v>15</v>
      </c>
      <c r="G45" t="s">
        <v>135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11">
        <v>46321</v>
      </c>
      <c r="B46" t="s">
        <v>76</v>
      </c>
      <c r="C46" s="5" t="s">
        <v>158</v>
      </c>
      <c r="D46" t="s">
        <v>12</v>
      </c>
      <c r="E46" t="s">
        <v>17</v>
      </c>
      <c r="F46" t="s">
        <v>17</v>
      </c>
      <c r="G46" t="s">
        <v>159</v>
      </c>
      <c r="H46" t="s">
        <v>68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46321</v>
      </c>
      <c r="B47" t="s">
        <v>76</v>
      </c>
      <c r="C47" s="5" t="s">
        <v>160</v>
      </c>
      <c r="D47" t="s">
        <v>12</v>
      </c>
      <c r="E47" t="s">
        <v>39</v>
      </c>
      <c r="F47" t="s">
        <v>39</v>
      </c>
      <c r="G47" t="s">
        <v>105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11">
        <v>46321</v>
      </c>
      <c r="B48" t="s">
        <v>80</v>
      </c>
      <c r="C48" s="5" t="s">
        <v>161</v>
      </c>
      <c r="D48" t="s">
        <v>81</v>
      </c>
      <c r="E48" t="s">
        <v>14</v>
      </c>
      <c r="F48" t="s">
        <v>162</v>
      </c>
      <c r="G48" t="s">
        <v>128</v>
      </c>
      <c r="H48" t="s">
        <v>11</v>
      </c>
      <c r="I48" t="str">
        <f>_xlfn.XLOOKUP(Tabla1[[#This Row],[Dependencia]],Tabla2[Dependencia],Tabla2[Clasificación],"XXX",0)</f>
        <v>Presidencia de la República</v>
      </c>
      <c r="J48" t="str">
        <f>_xlfn.XLOOKUP(Tabla1[[#This Row],[Dependencia]],Tabla3[Dependencia],Tabla3[Nivel],"Otros",0)</f>
        <v>Otros</v>
      </c>
    </row>
    <row r="49" spans="1:10" ht="45" x14ac:dyDescent="0.25">
      <c r="A49" s="11">
        <v>46321</v>
      </c>
      <c r="B49" t="s">
        <v>80</v>
      </c>
      <c r="C49" s="5" t="s">
        <v>163</v>
      </c>
      <c r="D49" t="s">
        <v>12</v>
      </c>
      <c r="E49" t="s">
        <v>53</v>
      </c>
      <c r="F49" t="s">
        <v>53</v>
      </c>
      <c r="G49" t="s">
        <v>102</v>
      </c>
      <c r="H49" t="s">
        <v>72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11">
        <v>46321</v>
      </c>
      <c r="B50" t="s">
        <v>80</v>
      </c>
      <c r="C50" s="5" t="s">
        <v>164</v>
      </c>
      <c r="D50" t="s">
        <v>13</v>
      </c>
      <c r="E50" t="s">
        <v>39</v>
      </c>
      <c r="F50" t="s">
        <v>2</v>
      </c>
      <c r="G50" t="s">
        <v>105</v>
      </c>
      <c r="H50" t="s">
        <v>72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11">
        <v>46321</v>
      </c>
      <c r="B51" t="s">
        <v>80</v>
      </c>
      <c r="C51" s="5" t="s">
        <v>165</v>
      </c>
      <c r="D51" t="s">
        <v>12</v>
      </c>
      <c r="E51" t="s">
        <v>10</v>
      </c>
      <c r="F51" t="s">
        <v>10</v>
      </c>
      <c r="G51" t="s">
        <v>166</v>
      </c>
      <c r="H51" t="s">
        <v>72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46321</v>
      </c>
      <c r="B52" t="s">
        <v>80</v>
      </c>
      <c r="C52" s="5" t="s">
        <v>167</v>
      </c>
      <c r="D52" t="s">
        <v>12</v>
      </c>
      <c r="E52" t="s">
        <v>23</v>
      </c>
      <c r="F52" t="s">
        <v>168</v>
      </c>
      <c r="G52" t="s">
        <v>169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45" x14ac:dyDescent="0.25">
      <c r="A53" s="11">
        <v>46321</v>
      </c>
      <c r="B53" t="s">
        <v>80</v>
      </c>
      <c r="C53" s="5" t="s">
        <v>170</v>
      </c>
      <c r="D53" t="s">
        <v>12</v>
      </c>
      <c r="E53" t="s">
        <v>10</v>
      </c>
      <c r="F53" t="s">
        <v>10</v>
      </c>
      <c r="G53" t="s">
        <v>166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45" x14ac:dyDescent="0.25">
      <c r="A54" s="11">
        <v>46321</v>
      </c>
      <c r="B54" t="s">
        <v>80</v>
      </c>
      <c r="C54" s="5" t="s">
        <v>171</v>
      </c>
      <c r="D54" t="s">
        <v>12</v>
      </c>
      <c r="E54" t="s">
        <v>16</v>
      </c>
      <c r="F54" t="s">
        <v>16</v>
      </c>
      <c r="G54" t="s">
        <v>172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46321</v>
      </c>
      <c r="B55" t="s">
        <v>80</v>
      </c>
      <c r="C55" s="5" t="s">
        <v>173</v>
      </c>
      <c r="D55" t="s">
        <v>12</v>
      </c>
      <c r="E55" t="s">
        <v>16</v>
      </c>
      <c r="F55" t="s">
        <v>16</v>
      </c>
      <c r="G55" t="s">
        <v>174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11">
        <v>46321</v>
      </c>
      <c r="B56" t="s">
        <v>90</v>
      </c>
      <c r="C56" s="5" t="s">
        <v>175</v>
      </c>
      <c r="D56" t="s">
        <v>13</v>
      </c>
      <c r="E56" t="s">
        <v>39</v>
      </c>
      <c r="F56" t="s">
        <v>2</v>
      </c>
      <c r="G56" t="s">
        <v>105</v>
      </c>
      <c r="H56" t="s">
        <v>72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1">
        <v>46321</v>
      </c>
      <c r="B57" t="s">
        <v>90</v>
      </c>
      <c r="C57" s="5" t="s">
        <v>176</v>
      </c>
      <c r="D57" t="s">
        <v>12</v>
      </c>
      <c r="E57" t="s">
        <v>16</v>
      </c>
      <c r="F57" t="s">
        <v>16</v>
      </c>
      <c r="G57" t="s">
        <v>96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46321</v>
      </c>
      <c r="B58" t="s">
        <v>90</v>
      </c>
      <c r="C58" s="5" t="s">
        <v>177</v>
      </c>
      <c r="D58" t="s">
        <v>12</v>
      </c>
      <c r="E58" t="s">
        <v>26</v>
      </c>
      <c r="F58" t="s">
        <v>2</v>
      </c>
      <c r="G58" t="s">
        <v>178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45" x14ac:dyDescent="0.25">
      <c r="A59" s="11">
        <v>46321</v>
      </c>
      <c r="B59" t="s">
        <v>90</v>
      </c>
      <c r="C59" s="5" t="s">
        <v>179</v>
      </c>
      <c r="D59" t="s">
        <v>12</v>
      </c>
      <c r="E59" t="s">
        <v>16</v>
      </c>
      <c r="F59" t="s">
        <v>16</v>
      </c>
      <c r="G59" t="s">
        <v>180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46321</v>
      </c>
      <c r="B60" t="s">
        <v>90</v>
      </c>
      <c r="C60" s="5" t="s">
        <v>181</v>
      </c>
      <c r="D60" t="s">
        <v>12</v>
      </c>
      <c r="E60" t="s">
        <v>10</v>
      </c>
      <c r="F60" t="s">
        <v>10</v>
      </c>
      <c r="G60" t="s">
        <v>70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x14ac:dyDescent="0.25">
      <c r="A61" s="11">
        <v>46321</v>
      </c>
      <c r="B61" t="s">
        <v>90</v>
      </c>
      <c r="C61" s="5" t="s">
        <v>182</v>
      </c>
      <c r="D61" t="s">
        <v>78</v>
      </c>
      <c r="E61" t="s">
        <v>23</v>
      </c>
      <c r="F61" t="s">
        <v>183</v>
      </c>
      <c r="G61" t="s">
        <v>184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x14ac:dyDescent="0.25">
      <c r="A62" s="11">
        <v>46321</v>
      </c>
      <c r="B62" t="s">
        <v>90</v>
      </c>
      <c r="C62" s="5" t="s">
        <v>92</v>
      </c>
      <c r="D62" t="s">
        <v>78</v>
      </c>
      <c r="E62" t="s">
        <v>16</v>
      </c>
      <c r="F62" t="s">
        <v>16</v>
      </c>
      <c r="G62" t="s">
        <v>82</v>
      </c>
      <c r="H62" t="s">
        <v>11</v>
      </c>
      <c r="I62" t="str">
        <f>_xlfn.XLOOKUP(Tabla1[[#This Row],[Dependencia]],Tabla2[Dependencia],Tabla2[Clasificación],"XXX",0)</f>
        <v>Alcaldías</v>
      </c>
      <c r="J62" t="str">
        <f>_xlfn.XLOOKUP(Tabla1[[#This Row],[Dependencia]],Tabla3[Dependencia],Tabla3[Nivel],"Otros",0)</f>
        <v>Otros</v>
      </c>
    </row>
  </sheetData>
  <conditionalFormatting sqref="I2:I62">
    <cfRule type="expression" dxfId="1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2026-10-26T14:55:36Z</dcterms:modified>
</cp:coreProperties>
</file>