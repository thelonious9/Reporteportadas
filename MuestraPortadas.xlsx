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2C715A62-1F75-4E72-8914-D95F5862A007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I2" i="1"/>
  <c r="J2" i="1"/>
</calcChain>
</file>

<file path=xl/sharedStrings.xml><?xml version="1.0" encoding="utf-8"?>
<sst xmlns="http://schemas.openxmlformats.org/spreadsheetml/2006/main" count="594" uniqueCount="180">
  <si>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</si>
  <si>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</si>
  <si>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</si>
  <si>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</si>
  <si>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</si>
  <si>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</si>
  <si>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</si>
  <si>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</si>
  <si>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</si>
  <si>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</si>
  <si>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</si>
  <si>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</si>
  <si>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</si>
  <si>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</si>
  <si>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</si>
  <si>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</si>
  <si>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</si>
  <si>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</si>
  <si>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</si>
  <si>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</si>
  <si>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</si>
  <si>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</si>
  <si>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</si>
  <si>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</si>
  <si>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</si>
  <si>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</si>
  <si>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</si>
  <si>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</si>
  <si>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</si>
  <si>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</si>
  <si>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</si>
  <si>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</si>
  <si>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</si>
  <si>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</si>
  <si>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</si>
  <si>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</si>
  <si>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</si>
  <si>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</si>
  <si>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</si>
  <si>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</si>
  <si>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</si>
  <si>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</si>
  <si>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</si>
  <si>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</si>
  <si>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</si>
  <si>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</si>
  <si>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</si>
  <si>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</si>
  <si>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</si>
  <si>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</si>
  <si>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</si>
  <si>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</si>
  <si>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</si>
  <si>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</si>
  <si>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</si>
  <si>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</si>
  <si>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</si>
  <si>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</si>
  <si>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</si>
  <si>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</si>
  <si>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</si>
  <si>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</si>
  <si>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</si>
  <si>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</si>
  <si>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</si>
  <si>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</si>
  <si>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</si>
  <si>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</si>
  <si>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</si>
  <si>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</si>
  <si>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</si>
  <si>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</si>
  <si>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</si>
  <si>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</si>
  <si>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</si>
  <si>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</si>
  <si>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</si>
  <si>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</si>
  <si>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</si>
  <si>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Effetá</t>
  </si>
  <si>
    <t>Usa el puente peatonal</t>
  </si>
  <si>
    <t>Positiva</t>
  </si>
  <si>
    <t>La Jornada Hidalgo</t>
  </si>
  <si>
    <t>Sipdus</t>
  </si>
  <si>
    <t>Rehabilitación Vial</t>
  </si>
  <si>
    <t>Temas internacionales</t>
  </si>
  <si>
    <t>Deportes</t>
  </si>
  <si>
    <t>Fundación Arturo Herrera</t>
  </si>
  <si>
    <t>Gusano barrenador</t>
  </si>
  <si>
    <t>Policía municipal</t>
  </si>
  <si>
    <t>Militancia Partidista</t>
  </si>
  <si>
    <t>Conagua</t>
  </si>
  <si>
    <t>Presentan carrera por 85 aniversario del ESTO</t>
  </si>
  <si>
    <t>Reportan avances lentos en canal Viejo Requena</t>
  </si>
  <si>
    <t>Tecnificación De Riego</t>
  </si>
  <si>
    <t>Primera persona con gusano barrenador</t>
  </si>
  <si>
    <t>Nueva Alianza Hidalgo reafirma unidad interna</t>
  </si>
  <si>
    <t>Sanción por no levantar heces por mascotas</t>
  </si>
  <si>
    <t>Multas</t>
  </si>
  <si>
    <t>Presentan a Coro del Estado de Hidalgo en La Villita</t>
  </si>
  <si>
    <t>Concierto Sinfónico</t>
  </si>
  <si>
    <t>Confirman primer caso de miasis humana en Hidalgo</t>
  </si>
  <si>
    <t>IEEH no tendrá más presupuesto</t>
  </si>
  <si>
    <t>Presupuesto IEEH</t>
  </si>
  <si>
    <t>Habrá nueva celda para basura en Tula</t>
  </si>
  <si>
    <t>Relleno Sanitario</t>
  </si>
  <si>
    <t>Más obras</t>
  </si>
  <si>
    <t>Desmantelan red de huachicol en Hidalgo y Edomex</t>
  </si>
  <si>
    <t>Combate Al Huachicol</t>
  </si>
  <si>
    <t>Criterio</t>
  </si>
  <si>
    <t>Mordida letal</t>
  </si>
  <si>
    <t>Cruz Azul cesa a Nicolás Larcamón</t>
  </si>
  <si>
    <t>Hallan  más amenazas de tiroteos en escuelas</t>
  </si>
  <si>
    <t>Amenazas de tiroteo</t>
  </si>
  <si>
    <t>Las infancias de Pilares alzaron la voz con el DIFH</t>
  </si>
  <si>
    <t>Pilares</t>
  </si>
  <si>
    <t>Confirman primera infección humana por el barrenador a nivel estatal: SSH</t>
  </si>
  <si>
    <t>Es el nivel medio superior un reto en la eficiencia terminal: SEPH</t>
  </si>
  <si>
    <t>Deserción escolar</t>
  </si>
  <si>
    <t>Alcaldía, sin injerencia en el tema de la fundación</t>
  </si>
  <si>
    <t>Ordenan procuradurías, pero no les dan recursos</t>
  </si>
  <si>
    <t>Protección del menor</t>
  </si>
  <si>
    <t>Sujeto que abusó de lomito va a prisión por tres años</t>
  </si>
  <si>
    <t>Sentencia</t>
  </si>
  <si>
    <t>Dan manos 3D a personas que perdieron extremidad</t>
  </si>
  <si>
    <t>Ayudas funcionales</t>
  </si>
  <si>
    <t>Zimapán brilla en Frankfurt con destilado</t>
  </si>
  <si>
    <t>Festival Gastronómico</t>
  </si>
  <si>
    <t>En Hidalgo y Edomex dan golpe a red de huachicoleros</t>
  </si>
  <si>
    <t>Confirma Salud el primer caso humano en Tenango</t>
  </si>
  <si>
    <t>Difieren nuevos consejeros sobre ""autonomía""</t>
  </si>
  <si>
    <t>Salud alerta  propagación  de gusano  barrenador  en humanos</t>
  </si>
  <si>
    <t>Golpe mayúsculo al huachicol; caen siete en Hidalgo y Edomex</t>
  </si>
  <si>
    <t>ONU llama a enfrentar desapariciones sin uso político</t>
  </si>
  <si>
    <t>Cambian los colores, pero no las prácticas. Y así, disentir no es una virtud democrática, es casi una falta  de respeto. Pensar distinto no te vuelve interesante, te vuelve incómodo”.</t>
  </si>
  <si>
    <t>Desmantelan red de huachicol y empresas fachada</t>
  </si>
  <si>
    <t>Confirman primer caso de gusano barrenador en humano en Hidalgo</t>
  </si>
  <si>
    <t>Llegan comerciantes ambulantes a nueva explanada en Pachuca; censo completo el viernes</t>
  </si>
  <si>
    <t>Ambulantaje</t>
  </si>
  <si>
    <t>Entregan 3.4 mdp en apoyos a productores afectados por catástrofes</t>
  </si>
  <si>
    <t>Entrega De Apoyos</t>
  </si>
  <si>
    <t>Confirma Secretaría de Salud primer caso de gusano barrenador en Humanos</t>
  </si>
  <si>
    <t>Delegado del parque de poblamiento llamó a agotar el diálogo</t>
  </si>
  <si>
    <t>Confirmó Protección Civil Municipal sismo de 3.8</t>
  </si>
  <si>
    <t>Sismo</t>
  </si>
  <si>
    <t>Jubilados de Huejutla se preparan para participar en desfile del Primero de Mayo</t>
  </si>
  <si>
    <t>Desfile cívico</t>
  </si>
  <si>
    <t>Renuevan dirigencia de taxis de San Felipe</t>
  </si>
  <si>
    <t>Renovación De Dirigencia</t>
  </si>
  <si>
    <t>Alzan la voz por sus comunidades</t>
  </si>
  <si>
    <t>Cae imperio del huachicol fiscal en Hidalgo y Edomex</t>
  </si>
  <si>
    <t>Ambulantes, vigilados y sobrios</t>
  </si>
  <si>
    <t>43 municipios rezagan predial y dejan ir millones</t>
  </si>
  <si>
    <t>Predial</t>
  </si>
  <si>
    <t>Salida de Alcalde no cambiará ruta 2027: Marco Rico</t>
  </si>
  <si>
    <t>Sucesión alcaldía</t>
  </si>
  <si>
    <t>Time Ceramics recibe certificaciones</t>
  </si>
  <si>
    <t>Time Ceramics</t>
  </si>
  <si>
    <t>Confirman gusano barrenador en humano</t>
  </si>
  <si>
    <t>Claudia Sandoval y Profeco unen esfuerzos en favor de la economía y derechos de la ciudadanía</t>
  </si>
  <si>
    <t>Policías de Pachuca auxilian a canadiense de 90 años para regresar a su país</t>
  </si>
  <si>
    <t>Auxilio a la ciudadanía</t>
  </si>
  <si>
    <t>Policías de Tula reciben capacitación para fortalecer su actuación en el sistema de justicia penal</t>
  </si>
  <si>
    <t>Capacitación policial</t>
  </si>
  <si>
    <t>Segobh fomenta Plan de Acción Municipal para la Prevención del Embarazo en Adolescentes</t>
  </si>
  <si>
    <t>Prevención De Embarazo Adolescente</t>
  </si>
  <si>
    <t>Caminando con el Pueblo</t>
  </si>
  <si>
    <t>Fortalece control interno con capacitación estratégica</t>
  </si>
  <si>
    <t>Confirman en Hidalgo primer caso de gusano barrenador en humanos</t>
  </si>
  <si>
    <t>Voces pequeñas, raíces grandes, alzan voz por sus comunidades</t>
  </si>
  <si>
    <t>Caen Tuzos 3-1 con Xolos en penúltimo duelo del torneo</t>
  </si>
  <si>
    <t>Auxilia policía de Pachuca a canadiense para retorno a su país</t>
  </si>
  <si>
    <t>Reabren la calle Morelos tras reconstrucción</t>
  </si>
  <si>
    <t>Gregjosh salón de eventos</t>
  </si>
  <si>
    <t>Publicidad comercial</t>
  </si>
  <si>
    <t>Desarticulan mega red de huachicol en Hidalgo y Edomex</t>
  </si>
  <si>
    <t>Ya no irán por cero aranceles en revisión del T-Mec</t>
  </si>
  <si>
    <t>No son invencibles ni intocables, son delincuentes casi siempre coludidos con funcionarios deshonestos, pero también caen como muchos otros</t>
  </si>
  <si>
    <t>Editorial</t>
  </si>
  <si>
    <t>Registran primer caso humano del gusano barrenador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</si>
</sst>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workbookViewId="0">
      <selection activeCell="G17" sqref="G17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70</v>
      </c>
    </row>
    <row r="2" spans="1:10" x14ac:dyDescent="0.25">
      <c r="A2" s="5">
        <v>46135</v>
      </c>
      <c r="B2" t="s">
        <v>78</v>
      </c>
      <c r="C2" s="6" t="s">
        <v>92</v>
      </c>
      <c r="D2" t="s">
        <v>12</v>
      </c>
      <c r="E2" t="s">
        <v>10</v>
      </c>
      <c r="F2" t="s">
        <v>10</v>
      </c>
      <c r="G2" t="s">
        <v>86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46135</v>
      </c>
      <c r="B3" t="s">
        <v>78</v>
      </c>
      <c r="C3" s="6" t="s">
        <v>93</v>
      </c>
      <c r="D3" t="s">
        <v>12</v>
      </c>
      <c r="E3" t="s">
        <v>14</v>
      </c>
      <c r="F3" t="s">
        <v>91</v>
      </c>
      <c r="G3" t="s">
        <v>94</v>
      </c>
      <c r="H3" t="s">
        <v>11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46135</v>
      </c>
      <c r="B4" t="s">
        <v>78</v>
      </c>
      <c r="C4" s="6" t="s">
        <v>95</v>
      </c>
      <c r="D4" t="s">
        <v>13</v>
      </c>
      <c r="E4" t="s">
        <v>15</v>
      </c>
      <c r="F4" t="s">
        <v>15</v>
      </c>
      <c r="G4" t="s">
        <v>88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5">
        <v>46135</v>
      </c>
      <c r="B5" t="s">
        <v>78</v>
      </c>
      <c r="C5" s="6" t="s">
        <v>96</v>
      </c>
      <c r="D5" t="s">
        <v>12</v>
      </c>
      <c r="E5" t="s">
        <v>48</v>
      </c>
      <c r="F5" t="s">
        <v>48</v>
      </c>
      <c r="G5" t="s">
        <v>90</v>
      </c>
      <c r="H5" t="s">
        <v>11</v>
      </c>
      <c r="I5" t="str">
        <f>_xlfn.XLOOKUP(Tabla1[[#This Row],[Dependencia]],Tabla2[Dependencia],Tabla2[Clasificación],"No indexado")</f>
        <v>Partidos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46135</v>
      </c>
      <c r="B6" t="s">
        <v>78</v>
      </c>
      <c r="C6" s="6" t="s">
        <v>97</v>
      </c>
      <c r="D6" t="s">
        <v>12</v>
      </c>
      <c r="E6" t="s">
        <v>16</v>
      </c>
      <c r="F6" t="s">
        <v>16</v>
      </c>
      <c r="G6" t="s">
        <v>98</v>
      </c>
      <c r="H6" t="s">
        <v>11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46135</v>
      </c>
      <c r="B7" t="s">
        <v>78</v>
      </c>
      <c r="C7" s="6" t="s">
        <v>99</v>
      </c>
      <c r="D7" t="s">
        <v>9</v>
      </c>
      <c r="E7" t="s">
        <v>10</v>
      </c>
      <c r="F7" t="s">
        <v>10</v>
      </c>
      <c r="G7" t="s">
        <v>100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46135</v>
      </c>
      <c r="B8" t="s">
        <v>68</v>
      </c>
      <c r="C8" s="6" t="s">
        <v>101</v>
      </c>
      <c r="D8" t="s">
        <v>13</v>
      </c>
      <c r="E8" t="s">
        <v>15</v>
      </c>
      <c r="F8" t="s">
        <v>15</v>
      </c>
      <c r="G8" t="s">
        <v>88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5">
        <v>46135</v>
      </c>
      <c r="B9" t="s">
        <v>68</v>
      </c>
      <c r="C9" s="6" t="s">
        <v>102</v>
      </c>
      <c r="D9" t="s">
        <v>12</v>
      </c>
      <c r="E9" t="s">
        <v>41</v>
      </c>
      <c r="F9" t="s">
        <v>2</v>
      </c>
      <c r="G9" t="s">
        <v>103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46135</v>
      </c>
      <c r="B10" t="s">
        <v>68</v>
      </c>
      <c r="C10" s="6" t="s">
        <v>104</v>
      </c>
      <c r="D10" t="s">
        <v>12</v>
      </c>
      <c r="E10" t="s">
        <v>20</v>
      </c>
      <c r="F10" t="s">
        <v>20</v>
      </c>
      <c r="G10" t="s">
        <v>105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5">
        <v>46135</v>
      </c>
      <c r="B11" t="s">
        <v>68</v>
      </c>
      <c r="C11" s="6" t="s">
        <v>106</v>
      </c>
      <c r="D11" t="s">
        <v>9</v>
      </c>
      <c r="E11" t="s">
        <v>83</v>
      </c>
      <c r="F11" t="s">
        <v>83</v>
      </c>
      <c r="G11" t="s">
        <v>84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5">
        <v>46135</v>
      </c>
      <c r="B12" t="s">
        <v>68</v>
      </c>
      <c r="C12" s="6" t="s">
        <v>107</v>
      </c>
      <c r="D12" t="s">
        <v>12</v>
      </c>
      <c r="E12" t="s">
        <v>14</v>
      </c>
      <c r="F12" t="s">
        <v>14</v>
      </c>
      <c r="G12" t="s">
        <v>108</v>
      </c>
      <c r="H12" t="s">
        <v>11</v>
      </c>
      <c r="I12" t="str">
        <f>_xlfn.XLOOKUP(Tabla1[[#This Row],[Dependencia]],Tabla2[Dependencia],Tabla2[Clasificación],"No indexado")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46135</v>
      </c>
      <c r="B13" t="s">
        <v>109</v>
      </c>
      <c r="C13" s="6" t="s">
        <v>110</v>
      </c>
      <c r="D13" t="s">
        <v>12</v>
      </c>
      <c r="E13" t="s">
        <v>10</v>
      </c>
      <c r="F13" t="s">
        <v>10</v>
      </c>
      <c r="G13" t="s">
        <v>86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46135</v>
      </c>
      <c r="B14" t="s">
        <v>109</v>
      </c>
      <c r="C14" s="6" t="s">
        <v>111</v>
      </c>
      <c r="D14" t="s">
        <v>12</v>
      </c>
      <c r="E14" t="s">
        <v>10</v>
      </c>
      <c r="F14" t="s">
        <v>10</v>
      </c>
      <c r="G14" t="s">
        <v>86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46135</v>
      </c>
      <c r="B15" t="s">
        <v>109</v>
      </c>
      <c r="C15" s="6" t="s">
        <v>112</v>
      </c>
      <c r="D15" t="s">
        <v>13</v>
      </c>
      <c r="E15" t="s">
        <v>26</v>
      </c>
      <c r="F15" t="s">
        <v>2</v>
      </c>
      <c r="G15" t="s">
        <v>113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46135</v>
      </c>
      <c r="B16" t="s">
        <v>109</v>
      </c>
      <c r="C16" s="6" t="s">
        <v>114</v>
      </c>
      <c r="D16" t="s">
        <v>9</v>
      </c>
      <c r="E16" t="s">
        <v>38</v>
      </c>
      <c r="F16" t="s">
        <v>38</v>
      </c>
      <c r="G16" t="s">
        <v>115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5">
        <v>46135</v>
      </c>
      <c r="B17" t="s">
        <v>109</v>
      </c>
      <c r="C17" s="6" t="s">
        <v>116</v>
      </c>
      <c r="D17" t="s">
        <v>12</v>
      </c>
      <c r="E17" t="s">
        <v>15</v>
      </c>
      <c r="F17" t="s">
        <v>15</v>
      </c>
      <c r="G17" t="s">
        <v>88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5">
        <v>46135</v>
      </c>
      <c r="B18" t="s">
        <v>109</v>
      </c>
      <c r="C18" s="6" t="s">
        <v>117</v>
      </c>
      <c r="D18" t="s">
        <v>12</v>
      </c>
      <c r="E18" t="s">
        <v>26</v>
      </c>
      <c r="F18" t="s">
        <v>2</v>
      </c>
      <c r="G18" t="s">
        <v>118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5">
        <v>46135</v>
      </c>
      <c r="B19" t="s">
        <v>109</v>
      </c>
      <c r="C19" s="6" t="s">
        <v>119</v>
      </c>
      <c r="D19" t="s">
        <v>12</v>
      </c>
      <c r="E19" t="s">
        <v>16</v>
      </c>
      <c r="F19" t="s">
        <v>16</v>
      </c>
      <c r="G19" t="s">
        <v>87</v>
      </c>
      <c r="H19" t="s">
        <v>11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46135</v>
      </c>
      <c r="B20" t="s">
        <v>72</v>
      </c>
      <c r="C20" s="6" t="s">
        <v>120</v>
      </c>
      <c r="D20" t="s">
        <v>13</v>
      </c>
      <c r="E20" t="s">
        <v>35</v>
      </c>
      <c r="F20" t="s">
        <v>35</v>
      </c>
      <c r="G20" t="s">
        <v>121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46135</v>
      </c>
      <c r="B21" t="s">
        <v>72</v>
      </c>
      <c r="C21" s="6" t="s">
        <v>122</v>
      </c>
      <c r="D21" t="s">
        <v>12</v>
      </c>
      <c r="E21" t="s">
        <v>60</v>
      </c>
      <c r="F21" t="s">
        <v>60</v>
      </c>
      <c r="G21" t="s">
        <v>123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46135</v>
      </c>
      <c r="B22" t="s">
        <v>72</v>
      </c>
      <c r="C22" s="6" t="s">
        <v>124</v>
      </c>
      <c r="D22" t="s">
        <v>12</v>
      </c>
      <c r="E22" t="s">
        <v>16</v>
      </c>
      <c r="F22" t="s">
        <v>16</v>
      </c>
      <c r="G22" t="s">
        <v>125</v>
      </c>
      <c r="H22" t="s">
        <v>11</v>
      </c>
      <c r="I22" t="str">
        <f>_xlfn.XLOOKUP(Tabla1[[#This Row],[Dependencia]],Tabla2[Dependencia],Tabla2[Clasificación],"No indexado")</f>
        <v>Alcaldías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46135</v>
      </c>
      <c r="B23" t="s">
        <v>72</v>
      </c>
      <c r="C23" s="6" t="s">
        <v>126</v>
      </c>
      <c r="D23" t="s">
        <v>12</v>
      </c>
      <c r="E23" t="s">
        <v>10</v>
      </c>
      <c r="F23" t="s">
        <v>10</v>
      </c>
      <c r="G23" t="s">
        <v>127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46135</v>
      </c>
      <c r="B24" t="s">
        <v>72</v>
      </c>
      <c r="C24" s="6" t="s">
        <v>128</v>
      </c>
      <c r="D24" t="s">
        <v>12</v>
      </c>
      <c r="E24" t="s">
        <v>14</v>
      </c>
      <c r="F24" t="s">
        <v>14</v>
      </c>
      <c r="G24" t="s">
        <v>108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46135</v>
      </c>
      <c r="B25" t="s">
        <v>72</v>
      </c>
      <c r="C25" s="6" t="s">
        <v>129</v>
      </c>
      <c r="D25" t="s">
        <v>12</v>
      </c>
      <c r="E25" t="s">
        <v>15</v>
      </c>
      <c r="F25" t="s">
        <v>15</v>
      </c>
      <c r="G25" t="s">
        <v>88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5">
        <v>46135</v>
      </c>
      <c r="B26" t="s">
        <v>72</v>
      </c>
      <c r="C26" s="6" t="s">
        <v>130</v>
      </c>
      <c r="D26" t="s">
        <v>9</v>
      </c>
      <c r="E26" t="s">
        <v>10</v>
      </c>
      <c r="F26" t="s">
        <v>10</v>
      </c>
      <c r="G26" t="s">
        <v>67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46135</v>
      </c>
      <c r="B27" t="s">
        <v>82</v>
      </c>
      <c r="C27" s="6" t="s">
        <v>131</v>
      </c>
      <c r="D27" t="s">
        <v>12</v>
      </c>
      <c r="E27" t="s">
        <v>15</v>
      </c>
      <c r="F27" t="s">
        <v>15</v>
      </c>
      <c r="G27" t="s">
        <v>88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5">
        <v>46135</v>
      </c>
      <c r="B28" t="s">
        <v>82</v>
      </c>
      <c r="C28" s="6" t="s">
        <v>132</v>
      </c>
      <c r="D28" t="s">
        <v>13</v>
      </c>
      <c r="E28" t="s">
        <v>14</v>
      </c>
      <c r="F28" t="s">
        <v>14</v>
      </c>
      <c r="G28" t="s">
        <v>108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46135</v>
      </c>
      <c r="B29" t="s">
        <v>82</v>
      </c>
      <c r="C29" s="6" t="s">
        <v>133</v>
      </c>
      <c r="D29" t="s">
        <v>12</v>
      </c>
      <c r="E29" t="s">
        <v>10</v>
      </c>
      <c r="F29" t="s">
        <v>10</v>
      </c>
      <c r="G29" t="s">
        <v>67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60" x14ac:dyDescent="0.25">
      <c r="A30" s="5">
        <v>46135</v>
      </c>
      <c r="B30" t="s">
        <v>82</v>
      </c>
      <c r="C30" s="6" t="s">
        <v>134</v>
      </c>
      <c r="D30" t="s">
        <v>12</v>
      </c>
      <c r="E30" t="s">
        <v>10</v>
      </c>
      <c r="F30" t="s">
        <v>10</v>
      </c>
      <c r="G30" t="s">
        <v>90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5">
        <v>46135</v>
      </c>
      <c r="B31" t="s">
        <v>69</v>
      </c>
      <c r="C31" s="6" t="s">
        <v>135</v>
      </c>
      <c r="D31" t="s">
        <v>13</v>
      </c>
      <c r="E31" t="s">
        <v>14</v>
      </c>
      <c r="F31" t="s">
        <v>14</v>
      </c>
      <c r="G31" t="s">
        <v>108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46135</v>
      </c>
      <c r="B32" t="s">
        <v>69</v>
      </c>
      <c r="C32" s="6" t="s">
        <v>136</v>
      </c>
      <c r="D32" t="s">
        <v>12</v>
      </c>
      <c r="E32" t="s">
        <v>15</v>
      </c>
      <c r="F32" t="s">
        <v>15</v>
      </c>
      <c r="G32" t="s">
        <v>88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5">
        <v>46135</v>
      </c>
      <c r="B33" t="s">
        <v>69</v>
      </c>
      <c r="C33" s="6" t="s">
        <v>137</v>
      </c>
      <c r="D33" t="s">
        <v>12</v>
      </c>
      <c r="E33" t="s">
        <v>16</v>
      </c>
      <c r="F33" t="s">
        <v>16</v>
      </c>
      <c r="G33" t="s">
        <v>138</v>
      </c>
      <c r="H33" t="s">
        <v>11</v>
      </c>
      <c r="I33" t="str">
        <f>_xlfn.XLOOKUP(Tabla1[[#This Row],[Dependencia]],Tabla2[Dependencia],Tabla2[Clasificación],"No indexado")</f>
        <v>Alcaldías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46135</v>
      </c>
      <c r="B34" t="s">
        <v>69</v>
      </c>
      <c r="C34" s="6" t="s">
        <v>139</v>
      </c>
      <c r="D34" t="s">
        <v>12</v>
      </c>
      <c r="E34" t="s">
        <v>55</v>
      </c>
      <c r="F34" t="s">
        <v>55</v>
      </c>
      <c r="G34" t="s">
        <v>140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46135</v>
      </c>
      <c r="B35" t="s">
        <v>77</v>
      </c>
      <c r="C35" s="6" t="s">
        <v>141</v>
      </c>
      <c r="D35" t="s">
        <v>12</v>
      </c>
      <c r="E35" t="s">
        <v>15</v>
      </c>
      <c r="F35" t="s">
        <v>15</v>
      </c>
      <c r="G35" t="s">
        <v>88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46135</v>
      </c>
      <c r="B36" t="s">
        <v>77</v>
      </c>
      <c r="C36" s="6" t="s">
        <v>142</v>
      </c>
      <c r="D36" t="s">
        <v>12</v>
      </c>
      <c r="E36" t="s">
        <v>10</v>
      </c>
      <c r="F36" t="s">
        <v>10</v>
      </c>
      <c r="G36" t="s">
        <v>67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46135</v>
      </c>
      <c r="B37" t="s">
        <v>77</v>
      </c>
      <c r="C37" s="6" t="s">
        <v>143</v>
      </c>
      <c r="D37" t="s">
        <v>13</v>
      </c>
      <c r="E37" t="s">
        <v>16</v>
      </c>
      <c r="F37" t="s">
        <v>16</v>
      </c>
      <c r="G37" t="s">
        <v>144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46135</v>
      </c>
      <c r="B38" t="s">
        <v>77</v>
      </c>
      <c r="C38" s="6" t="s">
        <v>145</v>
      </c>
      <c r="D38" t="s">
        <v>12</v>
      </c>
      <c r="E38" t="s">
        <v>10</v>
      </c>
      <c r="F38" t="s">
        <v>10</v>
      </c>
      <c r="G38" t="s">
        <v>146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46135</v>
      </c>
      <c r="B39" t="s">
        <v>77</v>
      </c>
      <c r="C39" s="6" t="s">
        <v>147</v>
      </c>
      <c r="D39" t="s">
        <v>12</v>
      </c>
      <c r="E39" t="s">
        <v>10</v>
      </c>
      <c r="F39" t="s">
        <v>10</v>
      </c>
      <c r="G39" t="s">
        <v>148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46135</v>
      </c>
      <c r="B40" t="s">
        <v>77</v>
      </c>
      <c r="C40" s="6" t="s">
        <v>149</v>
      </c>
      <c r="D40" t="s">
        <v>12</v>
      </c>
      <c r="E40" t="s">
        <v>38</v>
      </c>
      <c r="F40" t="s">
        <v>38</v>
      </c>
      <c r="G40" t="s">
        <v>115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46135</v>
      </c>
      <c r="B41" t="s">
        <v>79</v>
      </c>
      <c r="C41" s="6" t="s">
        <v>150</v>
      </c>
      <c r="D41" t="s">
        <v>13</v>
      </c>
      <c r="E41" t="s">
        <v>14</v>
      </c>
      <c r="F41" t="s">
        <v>14</v>
      </c>
      <c r="G41" t="s">
        <v>108</v>
      </c>
      <c r="H41" t="s">
        <v>11</v>
      </c>
      <c r="I41" t="str">
        <f>_xlfn.XLOOKUP(Tabla1[[#This Row],[Dependencia]],Tabla2[Dependencia],Tabla2[Clasificación],"No indexado")</f>
        <v>Presidencia de la República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46135</v>
      </c>
      <c r="B42" t="s">
        <v>79</v>
      </c>
      <c r="C42" s="6" t="s">
        <v>151</v>
      </c>
      <c r="D42" t="s">
        <v>9</v>
      </c>
      <c r="E42" t="s">
        <v>16</v>
      </c>
      <c r="F42" t="s">
        <v>16</v>
      </c>
      <c r="G42" t="s">
        <v>138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46135</v>
      </c>
      <c r="B43" t="s">
        <v>79</v>
      </c>
      <c r="C43" s="6" t="s">
        <v>152</v>
      </c>
      <c r="D43" t="s">
        <v>12</v>
      </c>
      <c r="E43" t="s">
        <v>41</v>
      </c>
      <c r="F43" t="s">
        <v>2</v>
      </c>
      <c r="G43" t="s">
        <v>153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25">
      <c r="A44" s="5">
        <v>46135</v>
      </c>
      <c r="B44" t="s">
        <v>79</v>
      </c>
      <c r="C44" s="6" t="s">
        <v>154</v>
      </c>
      <c r="D44" t="s">
        <v>12</v>
      </c>
      <c r="E44" t="s">
        <v>18</v>
      </c>
      <c r="F44" t="s">
        <v>2</v>
      </c>
      <c r="G44" t="s">
        <v>155</v>
      </c>
      <c r="H44" t="s">
        <v>11</v>
      </c>
      <c r="I44" t="str">
        <f>_xlfn.XLOOKUP(Tabla1[[#This Row],[Dependencia]],Tabla2[Dependencia],Tabla2[Clasificación],"No indexado")</f>
        <v>Partidos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46135</v>
      </c>
      <c r="B45" t="s">
        <v>79</v>
      </c>
      <c r="C45" s="6" t="s">
        <v>156</v>
      </c>
      <c r="D45" t="s">
        <v>12</v>
      </c>
      <c r="E45" t="s">
        <v>10</v>
      </c>
      <c r="F45" t="s">
        <v>10</v>
      </c>
      <c r="G45" t="s">
        <v>157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46135</v>
      </c>
      <c r="B46" t="s">
        <v>79</v>
      </c>
      <c r="C46" s="6" t="s">
        <v>158</v>
      </c>
      <c r="D46" t="s">
        <v>12</v>
      </c>
      <c r="E46" t="s">
        <v>15</v>
      </c>
      <c r="F46" t="s">
        <v>15</v>
      </c>
      <c r="G46" t="s">
        <v>88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46135</v>
      </c>
      <c r="B47" t="s">
        <v>75</v>
      </c>
      <c r="C47" s="6" t="s">
        <v>159</v>
      </c>
      <c r="D47" t="s">
        <v>12</v>
      </c>
      <c r="E47" t="s">
        <v>16</v>
      </c>
      <c r="F47" t="s">
        <v>16</v>
      </c>
      <c r="G47" t="s">
        <v>67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46135</v>
      </c>
      <c r="B48" t="s">
        <v>75</v>
      </c>
      <c r="C48" s="6" t="s">
        <v>160</v>
      </c>
      <c r="D48" t="s">
        <v>13</v>
      </c>
      <c r="E48" t="s">
        <v>16</v>
      </c>
      <c r="F48" t="s">
        <v>89</v>
      </c>
      <c r="G48" t="s">
        <v>161</v>
      </c>
      <c r="H48" t="s">
        <v>81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46135</v>
      </c>
      <c r="B49" t="s">
        <v>75</v>
      </c>
      <c r="C49" s="6" t="s">
        <v>162</v>
      </c>
      <c r="D49" t="s">
        <v>12</v>
      </c>
      <c r="E49" t="s">
        <v>16</v>
      </c>
      <c r="F49" t="s">
        <v>89</v>
      </c>
      <c r="G49" t="s">
        <v>163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46135</v>
      </c>
      <c r="B50" t="s">
        <v>75</v>
      </c>
      <c r="C50" s="6" t="s">
        <v>164</v>
      </c>
      <c r="D50" t="s">
        <v>12</v>
      </c>
      <c r="E50" t="s">
        <v>23</v>
      </c>
      <c r="F50" t="s">
        <v>23</v>
      </c>
      <c r="G50" t="s">
        <v>165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25">
      <c r="A51" s="5">
        <v>46135</v>
      </c>
      <c r="B51" t="s">
        <v>75</v>
      </c>
      <c r="C51" s="6" t="s">
        <v>166</v>
      </c>
      <c r="D51" t="s">
        <v>73</v>
      </c>
      <c r="E51" t="s">
        <v>16</v>
      </c>
      <c r="F51" t="s">
        <v>16</v>
      </c>
      <c r="G51" t="s">
        <v>74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46135</v>
      </c>
      <c r="B52" t="s">
        <v>75</v>
      </c>
      <c r="C52" s="6" t="s">
        <v>167</v>
      </c>
      <c r="D52" t="s">
        <v>12</v>
      </c>
      <c r="E52" t="s">
        <v>10</v>
      </c>
      <c r="F52" t="s">
        <v>10</v>
      </c>
      <c r="G52" t="s">
        <v>67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46135</v>
      </c>
      <c r="B53" t="s">
        <v>27</v>
      </c>
      <c r="C53" s="6" t="s">
        <v>168</v>
      </c>
      <c r="D53" t="s">
        <v>13</v>
      </c>
      <c r="E53" t="s">
        <v>15</v>
      </c>
      <c r="F53" t="s">
        <v>15</v>
      </c>
      <c r="G53" t="s">
        <v>88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5">
        <v>46135</v>
      </c>
      <c r="B54" t="s">
        <v>27</v>
      </c>
      <c r="C54" s="6" t="s">
        <v>169</v>
      </c>
      <c r="D54" t="s">
        <v>12</v>
      </c>
      <c r="E54" t="s">
        <v>38</v>
      </c>
      <c r="F54" t="s">
        <v>38</v>
      </c>
      <c r="G54" t="s">
        <v>115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46135</v>
      </c>
      <c r="B55" t="s">
        <v>27</v>
      </c>
      <c r="C55" s="6" t="s">
        <v>170</v>
      </c>
      <c r="D55" t="s">
        <v>12</v>
      </c>
      <c r="E55" t="s">
        <v>10</v>
      </c>
      <c r="F55" t="s">
        <v>10</v>
      </c>
      <c r="G55" t="s">
        <v>86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46135</v>
      </c>
      <c r="B56" t="s">
        <v>27</v>
      </c>
      <c r="C56" s="6" t="s">
        <v>171</v>
      </c>
      <c r="D56" t="s">
        <v>12</v>
      </c>
      <c r="E56" t="s">
        <v>16</v>
      </c>
      <c r="F56" t="s">
        <v>89</v>
      </c>
      <c r="G56" t="s">
        <v>161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5">
        <v>46135</v>
      </c>
      <c r="B57" t="s">
        <v>27</v>
      </c>
      <c r="C57" s="6" t="s">
        <v>172</v>
      </c>
      <c r="D57" t="s">
        <v>12</v>
      </c>
      <c r="E57" t="s">
        <v>83</v>
      </c>
      <c r="F57" t="s">
        <v>83</v>
      </c>
      <c r="G57" t="s">
        <v>84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5">
        <v>46135</v>
      </c>
      <c r="B58" t="s">
        <v>27</v>
      </c>
      <c r="C58" s="6" t="s">
        <v>80</v>
      </c>
      <c r="D58" t="s">
        <v>73</v>
      </c>
      <c r="E58" t="s">
        <v>16</v>
      </c>
      <c r="F58" t="s">
        <v>16</v>
      </c>
      <c r="G58" t="s">
        <v>74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46135</v>
      </c>
      <c r="B59" t="s">
        <v>27</v>
      </c>
      <c r="C59" s="6" t="s">
        <v>173</v>
      </c>
      <c r="D59" t="s">
        <v>73</v>
      </c>
      <c r="E59" t="s">
        <v>10</v>
      </c>
      <c r="F59" t="s">
        <v>10</v>
      </c>
      <c r="G59" t="s">
        <v>174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46135</v>
      </c>
      <c r="B60" t="s">
        <v>76</v>
      </c>
      <c r="C60" s="6" t="s">
        <v>175</v>
      </c>
      <c r="D60" t="s">
        <v>13</v>
      </c>
      <c r="E60" t="s">
        <v>14</v>
      </c>
      <c r="F60" t="s">
        <v>14</v>
      </c>
      <c r="G60" t="s">
        <v>108</v>
      </c>
      <c r="H60" t="s">
        <v>11</v>
      </c>
      <c r="I60" t="str">
        <f>_xlfn.XLOOKUP(Tabla1[[#This Row],[Dependencia]],Tabla2[Dependencia],Tabla2[Clasificación],"No indexado")</f>
        <v>Presidencia de la República</v>
      </c>
      <c r="J60" t="str">
        <f>_xlfn.XLOOKUP(Tabla1[[#This Row],[Dependencia]],Tabla3[Dependencia],Tabla3[Nivel],"otros",0)</f>
        <v>otros</v>
      </c>
    </row>
    <row r="61" spans="1:10" x14ac:dyDescent="0.25">
      <c r="A61" s="5">
        <v>46135</v>
      </c>
      <c r="B61" t="s">
        <v>76</v>
      </c>
      <c r="C61" s="6" t="s">
        <v>176</v>
      </c>
      <c r="D61" t="s">
        <v>12</v>
      </c>
      <c r="E61" t="s">
        <v>14</v>
      </c>
      <c r="F61" t="s">
        <v>14</v>
      </c>
      <c r="G61" t="s">
        <v>85</v>
      </c>
      <c r="H61" t="s">
        <v>11</v>
      </c>
      <c r="I61" t="str">
        <f>_xlfn.XLOOKUP(Tabla1[[#This Row],[Dependencia]],Tabla2[Dependencia],Tabla2[Clasificación],"No indexado")</f>
        <v>Presidencia de la República</v>
      </c>
      <c r="J61" t="str">
        <f>_xlfn.XLOOKUP(Tabla1[[#This Row],[Dependencia]],Tabla3[Dependencia],Tabla3[Nivel],"otros",0)</f>
        <v>otros</v>
      </c>
    </row>
    <row r="62" spans="1:10" ht="45" x14ac:dyDescent="0.25">
      <c r="A62" s="5">
        <v>46135</v>
      </c>
      <c r="B62" t="s">
        <v>76</v>
      </c>
      <c r="C62" s="6" t="s">
        <v>177</v>
      </c>
      <c r="D62" t="s">
        <v>178</v>
      </c>
      <c r="E62" t="s">
        <v>14</v>
      </c>
      <c r="F62" t="s">
        <v>14</v>
      </c>
      <c r="G62" t="s">
        <v>108</v>
      </c>
      <c r="H62" t="s">
        <v>11</v>
      </c>
      <c r="I62" t="str">
        <f>_xlfn.XLOOKUP(Tabla1[[#This Row],[Dependencia]],Tabla2[Dependencia],Tabla2[Clasificación],"No indexado")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25">
      <c r="A63" s="5">
        <v>46135</v>
      </c>
      <c r="B63" t="s">
        <v>76</v>
      </c>
      <c r="C63" s="6" t="s">
        <v>179</v>
      </c>
      <c r="D63" t="s">
        <v>9</v>
      </c>
      <c r="E63" t="s">
        <v>15</v>
      </c>
      <c r="F63" t="s">
        <v>15</v>
      </c>
      <c r="G63" t="s">
        <v>88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31</v>
      </c>
      <c r="D1" s="8" t="s">
        <v>4</v>
      </c>
      <c r="E1" t="s">
        <v>70</v>
      </c>
    </row>
    <row r="2" spans="1:5" x14ac:dyDescent="0.25">
      <c r="A2" t="s">
        <v>63</v>
      </c>
      <c r="B2" t="s">
        <v>64</v>
      </c>
      <c r="D2" s="10" t="s">
        <v>19</v>
      </c>
      <c r="E2" t="s">
        <v>71</v>
      </c>
    </row>
    <row r="3" spans="1:5" x14ac:dyDescent="0.25">
      <c r="A3" t="s">
        <v>16</v>
      </c>
      <c r="B3" t="s">
        <v>32</v>
      </c>
      <c r="D3" s="9" t="s">
        <v>34</v>
      </c>
      <c r="E3" t="s">
        <v>71</v>
      </c>
    </row>
    <row r="4" spans="1:5" x14ac:dyDescent="0.25">
      <c r="A4" t="s">
        <v>19</v>
      </c>
      <c r="B4" t="s">
        <v>33</v>
      </c>
      <c r="D4" s="9" t="s">
        <v>36</v>
      </c>
      <c r="E4" t="s">
        <v>71</v>
      </c>
    </row>
    <row r="5" spans="1:5" x14ac:dyDescent="0.25">
      <c r="A5" t="s">
        <v>62</v>
      </c>
      <c r="B5" t="s">
        <v>10</v>
      </c>
      <c r="D5" s="10" t="s">
        <v>29</v>
      </c>
      <c r="E5" t="s">
        <v>71</v>
      </c>
    </row>
    <row r="6" spans="1:5" x14ac:dyDescent="0.25">
      <c r="A6" t="s">
        <v>34</v>
      </c>
      <c r="B6" t="s">
        <v>33</v>
      </c>
      <c r="D6" s="10" t="s">
        <v>37</v>
      </c>
      <c r="E6" t="s">
        <v>71</v>
      </c>
    </row>
    <row r="7" spans="1:5" x14ac:dyDescent="0.25">
      <c r="A7" t="s">
        <v>35</v>
      </c>
      <c r="B7" t="s">
        <v>10</v>
      </c>
      <c r="D7" s="9" t="s">
        <v>38</v>
      </c>
      <c r="E7" t="s">
        <v>71</v>
      </c>
    </row>
    <row r="8" spans="1:5" x14ac:dyDescent="0.25">
      <c r="A8" t="s">
        <v>36</v>
      </c>
      <c r="B8" t="s">
        <v>33</v>
      </c>
      <c r="D8" s="9" t="s">
        <v>38</v>
      </c>
      <c r="E8" t="s">
        <v>71</v>
      </c>
    </row>
    <row r="9" spans="1:5" x14ac:dyDescent="0.25">
      <c r="A9" t="s">
        <v>29</v>
      </c>
      <c r="B9" t="s">
        <v>33</v>
      </c>
      <c r="D9" s="9" t="s">
        <v>39</v>
      </c>
      <c r="E9" t="s">
        <v>71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37</v>
      </c>
      <c r="B11" t="s">
        <v>33</v>
      </c>
      <c r="D11" s="9" t="s">
        <v>40</v>
      </c>
      <c r="E11" t="s">
        <v>71</v>
      </c>
    </row>
    <row r="12" spans="1:5" x14ac:dyDescent="0.25">
      <c r="A12" t="s">
        <v>38</v>
      </c>
      <c r="B12" t="s">
        <v>33</v>
      </c>
      <c r="D12" s="10" t="s">
        <v>41</v>
      </c>
      <c r="E12" t="s">
        <v>71</v>
      </c>
    </row>
    <row r="13" spans="1:5" x14ac:dyDescent="0.25">
      <c r="A13" t="s">
        <v>38</v>
      </c>
      <c r="B13" t="s">
        <v>33</v>
      </c>
      <c r="D13" s="10" t="s">
        <v>41</v>
      </c>
      <c r="E13" t="s">
        <v>71</v>
      </c>
    </row>
    <row r="14" spans="1:5" x14ac:dyDescent="0.25">
      <c r="A14" t="s">
        <v>65</v>
      </c>
      <c r="B14" t="s">
        <v>46</v>
      </c>
      <c r="D14" s="9" t="s">
        <v>21</v>
      </c>
      <c r="E14" t="s">
        <v>71</v>
      </c>
    </row>
    <row r="15" spans="1:5" x14ac:dyDescent="0.25">
      <c r="A15" t="s">
        <v>39</v>
      </c>
      <c r="B15" t="s">
        <v>33</v>
      </c>
      <c r="D15" s="10" t="s">
        <v>17</v>
      </c>
      <c r="E15" t="s">
        <v>71</v>
      </c>
    </row>
    <row r="16" spans="1:5" x14ac:dyDescent="0.25">
      <c r="A16" t="s">
        <v>24</v>
      </c>
      <c r="B16" t="s">
        <v>33</v>
      </c>
      <c r="D16" s="9" t="s">
        <v>49</v>
      </c>
      <c r="E16" t="s">
        <v>71</v>
      </c>
    </row>
    <row r="17" spans="1:5" x14ac:dyDescent="0.25">
      <c r="A17" t="s">
        <v>40</v>
      </c>
      <c r="B17" t="s">
        <v>33</v>
      </c>
      <c r="D17" s="9" t="s">
        <v>55</v>
      </c>
      <c r="E17" t="s">
        <v>71</v>
      </c>
    </row>
    <row r="18" spans="1:5" x14ac:dyDescent="0.25">
      <c r="A18" t="s">
        <v>41</v>
      </c>
      <c r="B18" t="s">
        <v>33</v>
      </c>
      <c r="D18" s="9" t="s">
        <v>56</v>
      </c>
      <c r="E18" t="s">
        <v>71</v>
      </c>
    </row>
    <row r="19" spans="1:5" x14ac:dyDescent="0.25">
      <c r="A19" t="s">
        <v>42</v>
      </c>
      <c r="B19" t="s">
        <v>10</v>
      </c>
      <c r="D19" s="9" t="s">
        <v>23</v>
      </c>
      <c r="E19" t="s">
        <v>71</v>
      </c>
    </row>
    <row r="20" spans="1:5" x14ac:dyDescent="0.25">
      <c r="A20" t="s">
        <v>43</v>
      </c>
      <c r="B20" t="s">
        <v>44</v>
      </c>
      <c r="D20" s="10" t="s">
        <v>20</v>
      </c>
      <c r="E20" t="s">
        <v>71</v>
      </c>
    </row>
    <row r="21" spans="1:5" x14ac:dyDescent="0.25">
      <c r="A21" t="s">
        <v>45</v>
      </c>
      <c r="B21" t="s">
        <v>46</v>
      </c>
      <c r="D21" s="9" t="s">
        <v>28</v>
      </c>
      <c r="E21" t="s">
        <v>71</v>
      </c>
    </row>
    <row r="22" spans="1:5" x14ac:dyDescent="0.25">
      <c r="A22" t="s">
        <v>18</v>
      </c>
      <c r="B22" t="s">
        <v>46</v>
      </c>
      <c r="D22" s="10" t="s">
        <v>26</v>
      </c>
      <c r="E22" t="s">
        <v>71</v>
      </c>
    </row>
    <row r="23" spans="1:5" x14ac:dyDescent="0.25">
      <c r="A23" t="s">
        <v>21</v>
      </c>
      <c r="B23" t="s">
        <v>33</v>
      </c>
      <c r="D23" s="9" t="s">
        <v>57</v>
      </c>
      <c r="E23" t="s">
        <v>71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71</v>
      </c>
    </row>
    <row r="25" spans="1:5" x14ac:dyDescent="0.25">
      <c r="A25" t="s">
        <v>47</v>
      </c>
      <c r="B25" t="s">
        <v>46</v>
      </c>
      <c r="D25" s="10" t="s">
        <v>22</v>
      </c>
      <c r="E25" t="s">
        <v>71</v>
      </c>
    </row>
    <row r="26" spans="1:5" x14ac:dyDescent="0.25">
      <c r="A26" t="s">
        <v>48</v>
      </c>
      <c r="B26" t="s">
        <v>46</v>
      </c>
      <c r="D26" s="9" t="s">
        <v>58</v>
      </c>
      <c r="E26" t="s">
        <v>71</v>
      </c>
    </row>
    <row r="27" spans="1:5" x14ac:dyDescent="0.25">
      <c r="A27" t="s">
        <v>66</v>
      </c>
      <c r="B27" t="s">
        <v>46</v>
      </c>
      <c r="D27" s="11" t="s">
        <v>30</v>
      </c>
      <c r="E27" t="s">
        <v>71</v>
      </c>
    </row>
    <row r="28" spans="1:5" x14ac:dyDescent="0.25">
      <c r="A28" t="s">
        <v>17</v>
      </c>
      <c r="B28" t="s">
        <v>33</v>
      </c>
    </row>
    <row r="29" spans="1:5" x14ac:dyDescent="0.25">
      <c r="A29" t="s">
        <v>49</v>
      </c>
      <c r="B29" t="s">
        <v>33</v>
      </c>
    </row>
    <row r="30" spans="1:5" x14ac:dyDescent="0.25">
      <c r="A30" t="s">
        <v>50</v>
      </c>
      <c r="B30" t="s">
        <v>46</v>
      </c>
    </row>
    <row r="31" spans="1:5" x14ac:dyDescent="0.25">
      <c r="A31" t="s">
        <v>14</v>
      </c>
      <c r="B31" t="s">
        <v>51</v>
      </c>
    </row>
    <row r="32" spans="1:5" x14ac:dyDescent="0.25">
      <c r="A32" t="s">
        <v>52</v>
      </c>
      <c r="B32" t="s">
        <v>46</v>
      </c>
    </row>
    <row r="33" spans="1:2" x14ac:dyDescent="0.25">
      <c r="A33" t="s">
        <v>53</v>
      </c>
      <c r="B33" t="s">
        <v>46</v>
      </c>
    </row>
    <row r="34" spans="1:2" x14ac:dyDescent="0.25">
      <c r="A34" t="s">
        <v>54</v>
      </c>
      <c r="B34" t="s">
        <v>46</v>
      </c>
    </row>
    <row r="35" spans="1:2" x14ac:dyDescent="0.25">
      <c r="A35" t="s">
        <v>55</v>
      </c>
      <c r="B35" t="s">
        <v>33</v>
      </c>
    </row>
    <row r="36" spans="1:2" x14ac:dyDescent="0.25">
      <c r="A36" t="s">
        <v>56</v>
      </c>
      <c r="B36" t="s">
        <v>33</v>
      </c>
    </row>
    <row r="37" spans="1:2" x14ac:dyDescent="0.25">
      <c r="A37" t="s">
        <v>23</v>
      </c>
      <c r="B37" t="s">
        <v>33</v>
      </c>
    </row>
    <row r="38" spans="1:2" x14ac:dyDescent="0.25">
      <c r="A38" t="s">
        <v>20</v>
      </c>
      <c r="B38" t="s">
        <v>33</v>
      </c>
    </row>
    <row r="39" spans="1:2" x14ac:dyDescent="0.25">
      <c r="A39" t="s">
        <v>28</v>
      </c>
      <c r="B39" t="s">
        <v>33</v>
      </c>
    </row>
    <row r="40" spans="1:2" x14ac:dyDescent="0.25">
      <c r="A40" t="s">
        <v>26</v>
      </c>
      <c r="B40" t="s">
        <v>33</v>
      </c>
    </row>
    <row r="41" spans="1:2" x14ac:dyDescent="0.25">
      <c r="A41" t="s">
        <v>57</v>
      </c>
      <c r="B41" t="s">
        <v>33</v>
      </c>
    </row>
    <row r="42" spans="1:2" x14ac:dyDescent="0.25">
      <c r="A42" t="s">
        <v>15</v>
      </c>
      <c r="B42" t="s">
        <v>33</v>
      </c>
    </row>
    <row r="43" spans="1:2" x14ac:dyDescent="0.25">
      <c r="A43" t="s">
        <v>22</v>
      </c>
      <c r="B43" t="s">
        <v>33</v>
      </c>
    </row>
    <row r="44" spans="1:2" x14ac:dyDescent="0.25">
      <c r="A44" t="s">
        <v>58</v>
      </c>
      <c r="B44" t="s">
        <v>33</v>
      </c>
    </row>
    <row r="45" spans="1:2" x14ac:dyDescent="0.25">
      <c r="A45" t="s">
        <v>59</v>
      </c>
      <c r="B45" t="s">
        <v>10</v>
      </c>
    </row>
    <row r="46" spans="1:2" x14ac:dyDescent="0.25">
      <c r="A46" t="s">
        <v>60</v>
      </c>
      <c r="B46" t="s">
        <v>10</v>
      </c>
    </row>
    <row r="47" spans="1:2" x14ac:dyDescent="0.25">
      <c r="A47" t="s">
        <v>30</v>
      </c>
      <c r="B47" t="s">
        <v>33</v>
      </c>
    </row>
    <row r="48" spans="1:2" x14ac:dyDescent="0.25">
      <c r="A48" t="s">
        <v>61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2026-04-23T15:32:53Z</dcterms:modified>
</cp:coreProperties>
</file>