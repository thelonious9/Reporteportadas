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58EF58C6-4F99-4F6C-91DB-4C51618D4156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I2" i="1"/>
  <c r="J2" i="1"/>
</calcChain>
</file>

<file path=xl/sharedStrings.xml><?xml version="1.0" encoding="utf-8"?>
<sst xmlns="http://schemas.openxmlformats.org/spreadsheetml/2006/main" count="671" uniqueCount="214">
  <si>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</si>
  <si>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</si>
  <si>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</si>
  <si>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</si>
  <si>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</si>
  <si>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</si>
  <si>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</si>
  <si>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</si>
  <si>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</si>
  <si>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</si>
  <si>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</si>
  <si>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</si>
  <si>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</si>
  <si>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</si>
  <si>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</si>
  <si>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</si>
  <si>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</si>
  <si>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</si>
  <si>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</si>
  <si>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</si>
  <si>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</si>
  <si>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</si>
  <si>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</si>
  <si>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</si>
  <si>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</si>
  <si>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</si>
  <si>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</si>
  <si>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</si>
  <si>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</si>
  <si>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</si>
  <si>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</si>
  <si>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</si>
  <si>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</si>
  <si>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</si>
  <si>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</si>
  <si>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</si>
  <si>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</si>
  <si>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</si>
  <si>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</si>
  <si>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</si>
  <si>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</si>
  <si>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</si>
  <si>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</si>
  <si>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</si>
  <si>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</si>
  <si>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</si>
  <si>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</si>
  <si>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</si>
  <si>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</si>
  <si>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</si>
  <si>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</si>
  <si>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</si>
  <si>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</si>
  <si>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</si>
  <si>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</si>
  <si>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</si>
  <si>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</si>
  <si>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</si>
  <si>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</si>
  <si>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</si>
  <si>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</si>
  <si>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</si>
  <si>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</si>
  <si>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</si>
  <si>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</si>
  <si>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</si>
  <si>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</si>
  <si>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</si>
  <si>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</si>
  <si>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</si>
  <si>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</si>
  <si>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</si>
  <si>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</si>
  <si>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Pachuca Brilla</t>
  </si>
  <si>
    <t>La Jornada Hidalgo</t>
  </si>
  <si>
    <t>OCSAD</t>
  </si>
  <si>
    <t>Mundial De Futbol</t>
  </si>
  <si>
    <t>El Universal Hidalgo</t>
  </si>
  <si>
    <t>Effetá</t>
  </si>
  <si>
    <t>Alcalde</t>
  </si>
  <si>
    <t>Plaza Juárez</t>
  </si>
  <si>
    <t>Criterio</t>
  </si>
  <si>
    <t>Sipdus</t>
  </si>
  <si>
    <t>Policía municipal</t>
  </si>
  <si>
    <t>PRI</t>
  </si>
  <si>
    <t>Temas varios</t>
  </si>
  <si>
    <t>Marfeca</t>
  </si>
  <si>
    <t>Cintillo</t>
  </si>
  <si>
    <t>Publicidad</t>
  </si>
  <si>
    <t>Editorial</t>
  </si>
  <si>
    <t>Afectaciones Por Lluvias</t>
  </si>
  <si>
    <t>Fotonota</t>
  </si>
  <si>
    <t>Cambio de uso de suelo</t>
  </si>
  <si>
    <t>Cambio 21</t>
  </si>
  <si>
    <t>Prerrogativas</t>
  </si>
  <si>
    <t>GLMC</t>
  </si>
  <si>
    <t>Iniciativa</t>
  </si>
  <si>
    <t>ISSSTE</t>
  </si>
  <si>
    <t>Impago</t>
  </si>
  <si>
    <t>CBPEH</t>
  </si>
  <si>
    <t>SICT</t>
  </si>
  <si>
    <t>Publicidad gubernamental</t>
  </si>
  <si>
    <t>Ellos importan, adopta</t>
  </si>
  <si>
    <t>Recuperan en Tepeapulco, a bebé secuestrado en Huehuetoca</t>
  </si>
  <si>
    <t>Rescate secuestro</t>
  </si>
  <si>
    <t>Recibe la UAEH más de 43 MDP de HSBC por daños y perjuicios</t>
  </si>
  <si>
    <t>Cuentas UAEH</t>
  </si>
  <si>
    <t>Regularizará ISSSTE pagos a trabajadores</t>
  </si>
  <si>
    <t>Reportan afectaciones en cinco municipios por lluvias</t>
  </si>
  <si>
    <t>Atención Afectaciones Por Lluvias</t>
  </si>
  <si>
    <t>Hidalgo es pieza clave en política industrial y de inversión: IMCO</t>
  </si>
  <si>
    <t>Plan México</t>
  </si>
  <si>
    <t>Oribe. Hay que aprovechar la presión positiva del aficionado</t>
  </si>
  <si>
    <t>Lupa al ICE en el SoFi Stadium</t>
  </si>
  <si>
    <t>Percances del Tuzobús Atribuyen a particulares cinco incidentes en 8 días</t>
  </si>
  <si>
    <t>Sitmah</t>
  </si>
  <si>
    <t>Accidente Tuzobús</t>
  </si>
  <si>
    <t>Parque nacional El Chico Por plaga, prevén tala de más de 30 mil ejemplares</t>
  </si>
  <si>
    <t>Gusano Descortezador</t>
  </si>
  <si>
    <t>Sudáfrica. Los Bafana Bafana salen a CdMx para partido inaugural</t>
  </si>
  <si>
    <t>Carece estado de predios para reubicación</t>
  </si>
  <si>
    <t>Reubicación de viviendas</t>
  </si>
  <si>
    <t>Van 17 derrumbes que afectaron 24 caminos debido a precipitaciones</t>
  </si>
  <si>
    <t>Palacio. Sheinbaum y jefe de JP Morgan hablan sobre “perspectivas favorables”</t>
  </si>
  <si>
    <t>Otomí-Tepehua vive en zozobra por nuevas lluvias</t>
  </si>
  <si>
    <t>PC</t>
  </si>
  <si>
    <t>Prevención De Riesgos</t>
  </si>
  <si>
    <t>Adolescentes concentran 33% de los reportes de desaparición</t>
  </si>
  <si>
    <t>Desapariciones</t>
  </si>
  <si>
    <t>Por primera vez, ocio futbolero por decreto</t>
  </si>
  <si>
    <t>La Secretaría de Infraestructura Pública y Desarrollo Urbano Sostenible informó que 12 municipios presentan incidencias</t>
  </si>
  <si>
    <t>"Las protestas que se están dando en el marco del Mundial son sumamente dignas y debemos acompañarlas, porque la fiebre mundialista dura solo un mes; el dolor de la gente frente a la violencia del Estado, no”.</t>
  </si>
  <si>
    <t>Pretenden replicar el triunfo priista de Coahuila en Hidalgo</t>
  </si>
  <si>
    <t>Proyección de votos</t>
  </si>
  <si>
    <t>Ventas caen 50 por ciento en Campestre debido a obra</t>
  </si>
  <si>
    <t>Caasim</t>
  </si>
  <si>
    <t>Drenaje</t>
  </si>
  <si>
    <t>Incomunicadas, 40 localidades tras lluvias</t>
  </si>
  <si>
    <t>Apoyan proyecto de Javier Aguirre</t>
  </si>
  <si>
    <t>Pienaar respalda el sueño mundialista</t>
  </si>
  <si>
    <t>Suspenden clases en algunas zonas por precipitaciones</t>
  </si>
  <si>
    <t>Suspensión De Clases</t>
  </si>
  <si>
    <t>Lluvias se llevan vados y traen Lluvias se llevan vados y traen carestía y desesperación</t>
  </si>
  <si>
    <t>Refuerza gobierno de Hidalgo apoyo a familias de Tianguistengo ante estas lluvias</t>
  </si>
  <si>
    <t>En Huejutla niveles de ríos estables, sin reportes de desbordamientos</t>
  </si>
  <si>
    <t>Monitoreo De Ríos</t>
  </si>
  <si>
    <t>Apagones y fallas en telecomunicaciones</t>
  </si>
  <si>
    <t>CFE</t>
  </si>
  <si>
    <t>Suministro eléctrico</t>
  </si>
  <si>
    <t>Concluye obra de corredor Turístico - Artesanal de Huejutla</t>
  </si>
  <si>
    <t>Cedspi</t>
  </si>
  <si>
    <t>Corredor artesanal</t>
  </si>
  <si>
    <t>Resultan afectados 12 municipios por lluvias; siete comunidades están incomunicadas</t>
  </si>
  <si>
    <t>Inaugura Menchaca nueva sede del Tribunal de Justicia Administrativa</t>
  </si>
  <si>
    <t>Entrega de instalaciones</t>
  </si>
  <si>
    <t>Reconoce IMCO a Hidalgo como referente nacional en atracción de inversiones y desarrollo industrial</t>
  </si>
  <si>
    <t>Alistan albergues para atender a población afectada por las lluvias</t>
  </si>
  <si>
    <t>Habilitación de albergues</t>
  </si>
  <si>
    <t>Entrada sin costo</t>
  </si>
  <si>
    <t>INAH</t>
  </si>
  <si>
    <t>Zona Arqueológica</t>
  </si>
  <si>
    <t>Contratos fueron con García Luna</t>
  </si>
  <si>
    <t>Desvío de recursos</t>
  </si>
  <si>
    <t>Recupera la UAEH 480 mdp</t>
  </si>
  <si>
    <t>Suspenden clases por Mundial en CDMX</t>
  </si>
  <si>
    <t>“En las últimas décadas, la palabra patrimonio adquirió un prestigio casi incuestionable. Cuando un bien, una tradición o un objeto reciben...”</t>
  </si>
  <si>
    <t>Chapula otra vez bajo el agua; 12 municipios con afectaciones</t>
  </si>
  <si>
    <t>Exogen adecuaciones para personas con discapacidad</t>
  </si>
  <si>
    <t>Movilidad incluyente</t>
  </si>
  <si>
    <t>Busca hoy tu calendario mundialista</t>
  </si>
  <si>
    <t>Denuncian imposición de autoridad</t>
  </si>
  <si>
    <t>Imposición de delegados</t>
  </si>
  <si>
    <t>Falla juez a favor de la UAEH en litigio financiero</t>
  </si>
  <si>
    <t>Piden regular servicio de dispensadores de agua</t>
  </si>
  <si>
    <t>GLPT</t>
  </si>
  <si>
    <t>Exhorto</t>
  </si>
  <si>
    <t>Incomunicadas por lluvias 52 comunidades</t>
  </si>
  <si>
    <t>Suma UAEH 480 millones de pesos recuperados por juicio contra HSBC</t>
  </si>
  <si>
    <t>Así serán los trenes de la ruta México-Pachuca</t>
  </si>
  <si>
    <t>Tren AIFA</t>
  </si>
  <si>
    <t>Refuerzo a la justicia</t>
  </si>
  <si>
    <t>El efecto Coahuila del PRI</t>
  </si>
  <si>
    <t>Pachuca estudia extender parquímetros</t>
  </si>
  <si>
    <t>Parquímetros</t>
  </si>
  <si>
    <t>Lluvias provocan derrumbes, daños carreteros y alertas</t>
  </si>
  <si>
    <t>Sancionan a PAN, PRI y PRD por anomalías en 2021</t>
  </si>
  <si>
    <t>Multas INE</t>
  </si>
  <si>
    <t>TEEH batea reclamo de partidos por pagos eliminados en el IEEH</t>
  </si>
  <si>
    <t>Le hicieron lo que el viento a Juárez…</t>
  </si>
  <si>
    <t>Tren arrolla a vehículo en Teocalco; una mujer fue trasladada al IMSS de Tepeji</t>
  </si>
  <si>
    <t>Accidente de tren</t>
  </si>
  <si>
    <t>Alejandro Alcántara impulsa junto a Karla Perales iniciativa para ampliar licencias de paternidad</t>
  </si>
  <si>
    <t>Menchaca Salazar entrega nuevas instalaciones al Tribunal de Justicia Administrativa</t>
  </si>
  <si>
    <t>El amor no tiene color: alistan segunda marcha LGBTTTIQ+ en Atotonilco de Tula</t>
  </si>
  <si>
    <t>Mes del orgullo</t>
  </si>
  <si>
    <t>Destaca Zitlaly Zúñiga obras de drenaje y agua potable en Ajacuba</t>
  </si>
  <si>
    <t>Infraestructura Hidráulica</t>
  </si>
  <si>
    <t>Cabildo de Atitalaquia aprueba digitalización y reconoce a Hotel City Express con 3 distintivos nacionales</t>
  </si>
  <si>
    <t>Sesión De Cabildo</t>
  </si>
  <si>
    <t>Inicia construcción de cancha de squash y rehabilitación del gimnasio de la Unidad Deportiva de Tula</t>
  </si>
  <si>
    <t>Impulso al deporte</t>
  </si>
  <si>
    <t>Refuerzan la seguridad en Pachuca con operativo conjunto en Gran Patio, Central de Abastos y Plaza Independencia</t>
  </si>
  <si>
    <t>Refuerzo De Seguridad</t>
  </si>
  <si>
    <t>Policía de Pachuca localiza a mujer con ficha de búsqueda vigente</t>
  </si>
  <si>
    <t>Localización de persona</t>
  </si>
  <si>
    <t>Biofutura advierte riesgo ambiental por cambios de uso de suelo cerca del Parque de Cubitos</t>
  </si>
  <si>
    <t>Hidalgo reporta incidencias indirectas por tormenta tropical ‘Boris’</t>
  </si>
  <si>
    <t>Refuerzan la seguridad en Pachuca con operativo conjunto</t>
  </si>
  <si>
    <t>Natividad Castrejón realiza gira de trabajo por escuelas de Tepeji del Río</t>
  </si>
  <si>
    <t>Infraestructura escolar</t>
  </si>
  <si>
    <t>Sudáfrica dejó la Bella Airosa para el duelo inaugural del Mundial</t>
  </si>
  <si>
    <t>Menos espera más tiempo para ti</t>
  </si>
  <si>
    <t>Modernización Tuzobús</t>
  </si>
  <si>
    <t>Lluvias Afectan Carreteras de 12 Municipios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</si>
</sst>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4" totalsRowShown="0" headerRowDxfId="5" headerRowBorderDxfId="4">
  <autoFilter ref="A1:J74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4"/>
  <sheetViews>
    <sheetView tabSelected="1" workbookViewId="0">
      <selection activeCell="A2" sqref="A2:H74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ht="30" x14ac:dyDescent="0.25">
      <c r="A2" s="5">
        <v>46183</v>
      </c>
      <c r="B2" t="s">
        <v>80</v>
      </c>
      <c r="C2" s="6" t="s">
        <v>103</v>
      </c>
      <c r="D2" t="s">
        <v>12</v>
      </c>
      <c r="E2" t="s">
        <v>17</v>
      </c>
      <c r="F2" t="s">
        <v>17</v>
      </c>
      <c r="G2" t="s">
        <v>104</v>
      </c>
      <c r="H2" t="s">
        <v>69</v>
      </c>
      <c r="I2" t="str">
        <f>_xlfn.XLOOKUP(Tabla1[[#This Row],[Dependencia]],Tabla2[Dependencia],Tabla2[Clasificación],"No indexado")</f>
        <v>Gobierno del estado</v>
      </c>
      <c r="J2" t="str">
        <f>_xlfn.XLOOKUP(Tabla1[[#This Row],[Dependencia]],Tabla3[Dependencia],Tabla3[Nivel],"otros",0)</f>
        <v>Gabinete</v>
      </c>
    </row>
    <row r="3" spans="1:10" ht="30" x14ac:dyDescent="0.25">
      <c r="A3" s="5">
        <v>46183</v>
      </c>
      <c r="B3" t="s">
        <v>80</v>
      </c>
      <c r="C3" s="6" t="s">
        <v>105</v>
      </c>
      <c r="D3" t="s">
        <v>12</v>
      </c>
      <c r="E3" t="s">
        <v>59</v>
      </c>
      <c r="F3" t="s">
        <v>59</v>
      </c>
      <c r="G3" t="s">
        <v>106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46183</v>
      </c>
      <c r="B4" t="s">
        <v>80</v>
      </c>
      <c r="C4" s="6" t="s">
        <v>107</v>
      </c>
      <c r="D4" t="s">
        <v>12</v>
      </c>
      <c r="E4" t="s">
        <v>14</v>
      </c>
      <c r="F4" t="s">
        <v>97</v>
      </c>
      <c r="G4" t="s">
        <v>98</v>
      </c>
      <c r="H4" t="s">
        <v>11</v>
      </c>
      <c r="I4" t="str">
        <f>_xlfn.XLOOKUP(Tabla1[[#This Row],[Dependencia]],Tabla2[Dependencia],Tabla2[Clasificación],"No indexado")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46183</v>
      </c>
      <c r="B5" t="s">
        <v>80</v>
      </c>
      <c r="C5" s="6" t="s">
        <v>108</v>
      </c>
      <c r="D5" t="s">
        <v>13</v>
      </c>
      <c r="E5" t="s">
        <v>75</v>
      </c>
      <c r="F5" t="s">
        <v>75</v>
      </c>
      <c r="G5" t="s">
        <v>109</v>
      </c>
      <c r="H5" t="s">
        <v>11</v>
      </c>
      <c r="I5" t="str">
        <f>_xlfn.XLOOKUP(Tabla1[[#This Row],[Dependencia]],Tabla2[Dependencia],Tabla2[Clasificación],"No indexado")</f>
        <v>Gobierno del estado</v>
      </c>
      <c r="J5" t="str">
        <f>_xlfn.XLOOKUP(Tabla1[[#This Row],[Dependencia]],Tabla3[Dependencia],Tabla3[Nivel],"otros",0)</f>
        <v>Gabinete</v>
      </c>
    </row>
    <row r="6" spans="1:10" ht="30" x14ac:dyDescent="0.25">
      <c r="A6" s="5">
        <v>46183</v>
      </c>
      <c r="B6" t="s">
        <v>67</v>
      </c>
      <c r="C6" s="6" t="s">
        <v>110</v>
      </c>
      <c r="D6" t="s">
        <v>13</v>
      </c>
      <c r="E6" t="s">
        <v>54</v>
      </c>
      <c r="F6" t="s">
        <v>54</v>
      </c>
      <c r="G6" t="s">
        <v>111</v>
      </c>
      <c r="H6" t="s">
        <v>69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ht="30" x14ac:dyDescent="0.25">
      <c r="A7" s="5">
        <v>46183</v>
      </c>
      <c r="B7" t="s">
        <v>67</v>
      </c>
      <c r="C7" s="6" t="s">
        <v>112</v>
      </c>
      <c r="D7" t="s">
        <v>12</v>
      </c>
      <c r="E7" t="s">
        <v>10</v>
      </c>
      <c r="F7" t="s">
        <v>10</v>
      </c>
      <c r="G7" t="s">
        <v>76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5">
        <v>46183</v>
      </c>
      <c r="B8" t="s">
        <v>67</v>
      </c>
      <c r="C8" s="6" t="s">
        <v>113</v>
      </c>
      <c r="D8" t="s">
        <v>12</v>
      </c>
      <c r="E8" t="s">
        <v>10</v>
      </c>
      <c r="F8" t="s">
        <v>10</v>
      </c>
      <c r="G8" t="s">
        <v>76</v>
      </c>
      <c r="H8" t="s">
        <v>11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ht="30" x14ac:dyDescent="0.25">
      <c r="A9" s="5">
        <v>46183</v>
      </c>
      <c r="B9" t="s">
        <v>67</v>
      </c>
      <c r="C9" s="6" t="s">
        <v>114</v>
      </c>
      <c r="D9" t="s">
        <v>12</v>
      </c>
      <c r="E9" t="s">
        <v>27</v>
      </c>
      <c r="F9" t="s">
        <v>115</v>
      </c>
      <c r="G9" t="s">
        <v>116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ht="30" x14ac:dyDescent="0.25">
      <c r="A10" s="5">
        <v>46183</v>
      </c>
      <c r="B10" t="s">
        <v>67</v>
      </c>
      <c r="C10" s="6" t="s">
        <v>117</v>
      </c>
      <c r="D10" t="s">
        <v>12</v>
      </c>
      <c r="E10" t="s">
        <v>20</v>
      </c>
      <c r="F10" t="s">
        <v>2</v>
      </c>
      <c r="G10" t="s">
        <v>118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ht="30" x14ac:dyDescent="0.25">
      <c r="A11" s="5">
        <v>46183</v>
      </c>
      <c r="B11" t="s">
        <v>67</v>
      </c>
      <c r="C11" s="6" t="s">
        <v>119</v>
      </c>
      <c r="D11" t="s">
        <v>91</v>
      </c>
      <c r="E11" t="s">
        <v>10</v>
      </c>
      <c r="F11" t="s">
        <v>10</v>
      </c>
      <c r="G11" t="s">
        <v>76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46183</v>
      </c>
      <c r="B12" t="s">
        <v>67</v>
      </c>
      <c r="C12" s="6" t="s">
        <v>120</v>
      </c>
      <c r="D12" t="s">
        <v>12</v>
      </c>
      <c r="E12" t="s">
        <v>24</v>
      </c>
      <c r="F12" t="s">
        <v>24</v>
      </c>
      <c r="G12" t="s">
        <v>121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Gobernador</v>
      </c>
    </row>
    <row r="13" spans="1:10" ht="30" x14ac:dyDescent="0.25">
      <c r="A13" s="5">
        <v>46183</v>
      </c>
      <c r="B13" t="s">
        <v>67</v>
      </c>
      <c r="C13" s="6" t="s">
        <v>122</v>
      </c>
      <c r="D13" t="s">
        <v>12</v>
      </c>
      <c r="E13" t="s">
        <v>82</v>
      </c>
      <c r="F13" t="s">
        <v>82</v>
      </c>
      <c r="G13" t="s">
        <v>109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ht="30" x14ac:dyDescent="0.25">
      <c r="A14" s="5">
        <v>46183</v>
      </c>
      <c r="B14" t="s">
        <v>67</v>
      </c>
      <c r="C14" s="6" t="s">
        <v>123</v>
      </c>
      <c r="D14" t="s">
        <v>12</v>
      </c>
      <c r="E14" t="s">
        <v>14</v>
      </c>
      <c r="F14" t="s">
        <v>14</v>
      </c>
      <c r="G14" t="s">
        <v>85</v>
      </c>
      <c r="H14" t="s">
        <v>11</v>
      </c>
      <c r="I14" t="str">
        <f>_xlfn.XLOOKUP(Tabla1[[#This Row],[Dependencia]],Tabla2[Dependencia],Tabla2[Clasificación],"No indexado")</f>
        <v>Presidencia de la República</v>
      </c>
      <c r="J14" t="str">
        <f>_xlfn.XLOOKUP(Tabla1[[#This Row],[Dependencia]],Tabla3[Dependencia],Tabla3[Nivel],"otros",0)</f>
        <v>otros</v>
      </c>
    </row>
    <row r="15" spans="1:10" x14ac:dyDescent="0.25">
      <c r="A15" s="5">
        <v>46183</v>
      </c>
      <c r="B15" t="s">
        <v>74</v>
      </c>
      <c r="C15" s="6" t="s">
        <v>124</v>
      </c>
      <c r="D15" t="s">
        <v>13</v>
      </c>
      <c r="E15" t="s">
        <v>23</v>
      </c>
      <c r="F15" t="s">
        <v>125</v>
      </c>
      <c r="G15" t="s">
        <v>126</v>
      </c>
      <c r="H15" t="s">
        <v>70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ht="30" x14ac:dyDescent="0.25">
      <c r="A16" s="5">
        <v>46183</v>
      </c>
      <c r="B16" t="s">
        <v>74</v>
      </c>
      <c r="C16" s="6" t="s">
        <v>127</v>
      </c>
      <c r="D16" t="s">
        <v>12</v>
      </c>
      <c r="E16" t="s">
        <v>23</v>
      </c>
      <c r="F16" t="s">
        <v>99</v>
      </c>
      <c r="G16" t="s">
        <v>128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5">
        <v>46183</v>
      </c>
      <c r="B17" t="s">
        <v>74</v>
      </c>
      <c r="C17" s="6" t="s">
        <v>129</v>
      </c>
      <c r="D17" t="s">
        <v>12</v>
      </c>
      <c r="E17" t="s">
        <v>14</v>
      </c>
      <c r="F17" t="s">
        <v>14</v>
      </c>
      <c r="G17" t="s">
        <v>76</v>
      </c>
      <c r="H17" t="s">
        <v>11</v>
      </c>
      <c r="I17" t="str">
        <f>_xlfn.XLOOKUP(Tabla1[[#This Row],[Dependencia]],Tabla2[Dependencia],Tabla2[Clasificación],"No indexado")</f>
        <v>Presidencia de la República</v>
      </c>
      <c r="J17" t="str">
        <f>_xlfn.XLOOKUP(Tabla1[[#This Row],[Dependencia]],Tabla3[Dependencia],Tabla3[Nivel],"otros",0)</f>
        <v>otros</v>
      </c>
    </row>
    <row r="18" spans="1:10" ht="45" x14ac:dyDescent="0.25">
      <c r="A18" s="5">
        <v>46183</v>
      </c>
      <c r="B18" t="s">
        <v>74</v>
      </c>
      <c r="C18" s="6" t="s">
        <v>130</v>
      </c>
      <c r="D18" t="s">
        <v>9</v>
      </c>
      <c r="E18" t="s">
        <v>82</v>
      </c>
      <c r="F18" t="s">
        <v>82</v>
      </c>
      <c r="G18" t="s">
        <v>109</v>
      </c>
      <c r="H18" t="s">
        <v>11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ht="75" x14ac:dyDescent="0.25">
      <c r="A19" s="5">
        <v>46183</v>
      </c>
      <c r="B19" t="s">
        <v>74</v>
      </c>
      <c r="C19" s="6" t="s">
        <v>131</v>
      </c>
      <c r="D19" t="s">
        <v>12</v>
      </c>
      <c r="E19" t="s">
        <v>10</v>
      </c>
      <c r="F19" t="s">
        <v>10</v>
      </c>
      <c r="G19" t="s">
        <v>76</v>
      </c>
      <c r="H19" t="s">
        <v>70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ht="30" x14ac:dyDescent="0.25">
      <c r="A20" s="5">
        <v>46183</v>
      </c>
      <c r="B20" t="s">
        <v>81</v>
      </c>
      <c r="C20" s="6" t="s">
        <v>132</v>
      </c>
      <c r="D20" t="s">
        <v>12</v>
      </c>
      <c r="E20" t="s">
        <v>84</v>
      </c>
      <c r="F20" t="s">
        <v>84</v>
      </c>
      <c r="G20" t="s">
        <v>133</v>
      </c>
      <c r="H20" t="s">
        <v>11</v>
      </c>
      <c r="I20" t="str">
        <f>_xlfn.XLOOKUP(Tabla1[[#This Row],[Dependencia]],Tabla2[Dependencia],Tabla2[Clasificación],"No indexado")</f>
        <v>Partidos</v>
      </c>
      <c r="J20" t="str">
        <f>_xlfn.XLOOKUP(Tabla1[[#This Row],[Dependencia]],Tabla3[Dependencia],Tabla3[Nivel],"otros",0)</f>
        <v>otros</v>
      </c>
    </row>
    <row r="21" spans="1:10" x14ac:dyDescent="0.25">
      <c r="A21" s="5">
        <v>46183</v>
      </c>
      <c r="B21" t="s">
        <v>81</v>
      </c>
      <c r="C21" s="6" t="s">
        <v>134</v>
      </c>
      <c r="D21" t="s">
        <v>12</v>
      </c>
      <c r="E21" t="s">
        <v>82</v>
      </c>
      <c r="F21" t="s">
        <v>135</v>
      </c>
      <c r="G21" t="s">
        <v>136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5">
        <v>46183</v>
      </c>
      <c r="B22" t="s">
        <v>81</v>
      </c>
      <c r="C22" s="6" t="s">
        <v>137</v>
      </c>
      <c r="D22" t="s">
        <v>13</v>
      </c>
      <c r="E22" t="s">
        <v>82</v>
      </c>
      <c r="F22" t="s">
        <v>82</v>
      </c>
      <c r="G22" t="s">
        <v>90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5">
        <v>46183</v>
      </c>
      <c r="B23" t="s">
        <v>81</v>
      </c>
      <c r="C23" s="6" t="s">
        <v>138</v>
      </c>
      <c r="D23" t="s">
        <v>12</v>
      </c>
      <c r="E23" t="s">
        <v>10</v>
      </c>
      <c r="F23" t="s">
        <v>10</v>
      </c>
      <c r="G23" t="s">
        <v>76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x14ac:dyDescent="0.25">
      <c r="A24" s="5">
        <v>46183</v>
      </c>
      <c r="B24" t="s">
        <v>81</v>
      </c>
      <c r="C24" s="6" t="s">
        <v>139</v>
      </c>
      <c r="D24" t="s">
        <v>12</v>
      </c>
      <c r="E24" t="s">
        <v>10</v>
      </c>
      <c r="F24" t="s">
        <v>10</v>
      </c>
      <c r="G24" t="s">
        <v>76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ht="30" x14ac:dyDescent="0.25">
      <c r="A25" s="5">
        <v>46183</v>
      </c>
      <c r="B25" t="s">
        <v>81</v>
      </c>
      <c r="C25" s="6" t="s">
        <v>140</v>
      </c>
      <c r="D25" t="s">
        <v>12</v>
      </c>
      <c r="E25" t="s">
        <v>26</v>
      </c>
      <c r="F25" t="s">
        <v>26</v>
      </c>
      <c r="G25" t="s">
        <v>141</v>
      </c>
      <c r="H25" t="s">
        <v>11</v>
      </c>
      <c r="I25" t="str">
        <f>_xlfn.XLOOKUP(Tabla1[[#This Row],[Dependencia]],Tabla2[Dependencia],Tabla2[Clasificación],"No indexado")</f>
        <v>Gobierno del estado</v>
      </c>
      <c r="J25" t="str">
        <f>_xlfn.XLOOKUP(Tabla1[[#This Row],[Dependencia]],Tabla3[Dependencia],Tabla3[Nivel],"otros",0)</f>
        <v>Gabinete</v>
      </c>
    </row>
    <row r="26" spans="1:10" ht="30" x14ac:dyDescent="0.25">
      <c r="A26" s="5">
        <v>46183</v>
      </c>
      <c r="B26" t="s">
        <v>71</v>
      </c>
      <c r="C26" s="6" t="s">
        <v>142</v>
      </c>
      <c r="D26" t="s">
        <v>13</v>
      </c>
      <c r="E26" t="s">
        <v>14</v>
      </c>
      <c r="F26" t="s">
        <v>100</v>
      </c>
      <c r="G26" t="s">
        <v>90</v>
      </c>
      <c r="H26" t="s">
        <v>70</v>
      </c>
      <c r="I26" t="str">
        <f>_xlfn.XLOOKUP(Tabla1[[#This Row],[Dependencia]],Tabla2[Dependencia],Tabla2[Clasificación],"No indexado")</f>
        <v>Presidencia de la República</v>
      </c>
      <c r="J26" t="str">
        <f>_xlfn.XLOOKUP(Tabla1[[#This Row],[Dependencia]],Tabla3[Dependencia],Tabla3[Nivel],"otros",0)</f>
        <v>otros</v>
      </c>
    </row>
    <row r="27" spans="1:10" ht="30" x14ac:dyDescent="0.25">
      <c r="A27" s="5">
        <v>46183</v>
      </c>
      <c r="B27" t="s">
        <v>71</v>
      </c>
      <c r="C27" s="6" t="s">
        <v>143</v>
      </c>
      <c r="D27" t="s">
        <v>12</v>
      </c>
      <c r="E27" t="s">
        <v>75</v>
      </c>
      <c r="F27" t="s">
        <v>75</v>
      </c>
      <c r="G27" t="s">
        <v>126</v>
      </c>
      <c r="H27" t="s">
        <v>11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ht="30" x14ac:dyDescent="0.25">
      <c r="A28" s="5">
        <v>46183</v>
      </c>
      <c r="B28" t="s">
        <v>71</v>
      </c>
      <c r="C28" s="6" t="s">
        <v>144</v>
      </c>
      <c r="D28" t="s">
        <v>12</v>
      </c>
      <c r="E28" t="s">
        <v>16</v>
      </c>
      <c r="F28" t="s">
        <v>16</v>
      </c>
      <c r="G28" t="s">
        <v>145</v>
      </c>
      <c r="H28" t="s">
        <v>11</v>
      </c>
      <c r="I28" t="str">
        <f>_xlfn.XLOOKUP(Tabla1[[#This Row],[Dependencia]],Tabla2[Dependencia],Tabla2[Clasificación],"No indexado")</f>
        <v>Alcaldías</v>
      </c>
      <c r="J28" t="str">
        <f>_xlfn.XLOOKUP(Tabla1[[#This Row],[Dependencia]],Tabla3[Dependencia],Tabla3[Nivel],"otros",0)</f>
        <v>otros</v>
      </c>
    </row>
    <row r="29" spans="1:10" x14ac:dyDescent="0.25">
      <c r="A29" s="5">
        <v>46183</v>
      </c>
      <c r="B29" t="s">
        <v>71</v>
      </c>
      <c r="C29" s="6" t="s">
        <v>146</v>
      </c>
      <c r="D29" t="s">
        <v>12</v>
      </c>
      <c r="E29" t="s">
        <v>14</v>
      </c>
      <c r="F29" t="s">
        <v>147</v>
      </c>
      <c r="G29" t="s">
        <v>148</v>
      </c>
      <c r="H29" t="s">
        <v>11</v>
      </c>
      <c r="I29" t="str">
        <f>_xlfn.XLOOKUP(Tabla1[[#This Row],[Dependencia]],Tabla2[Dependencia],Tabla2[Clasificación],"No indexado")</f>
        <v>Presidencia de la República</v>
      </c>
      <c r="J29" t="str">
        <f>_xlfn.XLOOKUP(Tabla1[[#This Row],[Dependencia]],Tabla3[Dependencia],Tabla3[Nivel],"otros",0)</f>
        <v>otros</v>
      </c>
    </row>
    <row r="30" spans="1:10" ht="30" x14ac:dyDescent="0.25">
      <c r="A30" s="5">
        <v>46183</v>
      </c>
      <c r="B30" t="s">
        <v>71</v>
      </c>
      <c r="C30" s="6" t="s">
        <v>149</v>
      </c>
      <c r="D30" t="s">
        <v>12</v>
      </c>
      <c r="E30" t="s">
        <v>47</v>
      </c>
      <c r="F30" t="s">
        <v>150</v>
      </c>
      <c r="G30" t="s">
        <v>151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5">
        <v>46183</v>
      </c>
      <c r="B31" t="s">
        <v>72</v>
      </c>
      <c r="C31" s="6" t="s">
        <v>152</v>
      </c>
      <c r="D31" t="s">
        <v>9</v>
      </c>
      <c r="E31" t="s">
        <v>82</v>
      </c>
      <c r="F31" t="s">
        <v>82</v>
      </c>
      <c r="G31" t="s">
        <v>109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30" x14ac:dyDescent="0.25">
      <c r="A32" s="5">
        <v>46183</v>
      </c>
      <c r="B32" t="s">
        <v>72</v>
      </c>
      <c r="C32" s="6" t="s">
        <v>153</v>
      </c>
      <c r="D32" t="s">
        <v>13</v>
      </c>
      <c r="E32" t="s">
        <v>24</v>
      </c>
      <c r="F32" t="s">
        <v>24</v>
      </c>
      <c r="G32" t="s">
        <v>154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Gobernador</v>
      </c>
    </row>
    <row r="33" spans="1:10" ht="30" x14ac:dyDescent="0.25">
      <c r="A33" s="5">
        <v>46183</v>
      </c>
      <c r="B33" t="s">
        <v>72</v>
      </c>
      <c r="C33" s="6" t="s">
        <v>155</v>
      </c>
      <c r="D33" t="s">
        <v>12</v>
      </c>
      <c r="E33" t="s">
        <v>54</v>
      </c>
      <c r="F33" t="s">
        <v>54</v>
      </c>
      <c r="G33" t="s">
        <v>111</v>
      </c>
      <c r="H33" t="s">
        <v>69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ht="30" x14ac:dyDescent="0.25">
      <c r="A34" s="5">
        <v>46183</v>
      </c>
      <c r="B34" t="s">
        <v>72</v>
      </c>
      <c r="C34" s="6" t="s">
        <v>156</v>
      </c>
      <c r="D34" t="s">
        <v>12</v>
      </c>
      <c r="E34" t="s">
        <v>36</v>
      </c>
      <c r="F34" t="s">
        <v>36</v>
      </c>
      <c r="G34" t="s">
        <v>157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x14ac:dyDescent="0.25">
      <c r="A35" s="5">
        <v>46183</v>
      </c>
      <c r="B35" t="s">
        <v>77</v>
      </c>
      <c r="C35" s="6" t="s">
        <v>158</v>
      </c>
      <c r="D35" t="s">
        <v>9</v>
      </c>
      <c r="E35" t="s">
        <v>14</v>
      </c>
      <c r="F35" t="s">
        <v>159</v>
      </c>
      <c r="G35" t="s">
        <v>160</v>
      </c>
      <c r="H35" t="s">
        <v>11</v>
      </c>
      <c r="I35" t="str">
        <f>_xlfn.XLOOKUP(Tabla1[[#This Row],[Dependencia]],Tabla2[Dependencia],Tabla2[Clasificación],"No indexado")</f>
        <v>Presidencia de la República</v>
      </c>
      <c r="J35" t="str">
        <f>_xlfn.XLOOKUP(Tabla1[[#This Row],[Dependencia]],Tabla3[Dependencia],Tabla3[Nivel],"otros",0)</f>
        <v>otros</v>
      </c>
    </row>
    <row r="36" spans="1:10" x14ac:dyDescent="0.25">
      <c r="A36" s="5">
        <v>46183</v>
      </c>
      <c r="B36" t="s">
        <v>77</v>
      </c>
      <c r="C36" s="6" t="s">
        <v>161</v>
      </c>
      <c r="D36" t="s">
        <v>12</v>
      </c>
      <c r="E36" t="s">
        <v>14</v>
      </c>
      <c r="F36" t="s">
        <v>14</v>
      </c>
      <c r="G36" t="s">
        <v>162</v>
      </c>
      <c r="H36" t="s">
        <v>11</v>
      </c>
      <c r="I36" t="str">
        <f>_xlfn.XLOOKUP(Tabla1[[#This Row],[Dependencia]],Tabla2[Dependencia],Tabla2[Clasificación],"No indexado")</f>
        <v>Presidencia de la República</v>
      </c>
      <c r="J36" t="str">
        <f>_xlfn.XLOOKUP(Tabla1[[#This Row],[Dependencia]],Tabla3[Dependencia],Tabla3[Nivel],"otros",0)</f>
        <v>otros</v>
      </c>
    </row>
    <row r="37" spans="1:10" x14ac:dyDescent="0.25">
      <c r="A37" s="5">
        <v>46183</v>
      </c>
      <c r="B37" t="s">
        <v>77</v>
      </c>
      <c r="C37" s="6" t="s">
        <v>163</v>
      </c>
      <c r="D37" t="s">
        <v>12</v>
      </c>
      <c r="E37" t="s">
        <v>59</v>
      </c>
      <c r="F37" t="s">
        <v>59</v>
      </c>
      <c r="G37" t="s">
        <v>106</v>
      </c>
      <c r="H37" t="s">
        <v>11</v>
      </c>
      <c r="I37" t="str">
        <f>_xlfn.XLOOKUP(Tabla1[[#This Row],[Dependencia]],Tabla2[Dependencia],Tabla2[Clasificación],"No indexado")</f>
        <v>Otros</v>
      </c>
      <c r="J37" t="str">
        <f>_xlfn.XLOOKUP(Tabla1[[#This Row],[Dependencia]],Tabla3[Dependencia],Tabla3[Nivel],"otros",0)</f>
        <v>otros</v>
      </c>
    </row>
    <row r="38" spans="1:10" x14ac:dyDescent="0.25">
      <c r="A38" s="5">
        <v>46183</v>
      </c>
      <c r="B38" t="s">
        <v>77</v>
      </c>
      <c r="C38" s="6" t="s">
        <v>164</v>
      </c>
      <c r="D38" t="s">
        <v>12</v>
      </c>
      <c r="E38" t="s">
        <v>14</v>
      </c>
      <c r="F38" t="s">
        <v>14</v>
      </c>
      <c r="G38" t="s">
        <v>76</v>
      </c>
      <c r="H38" t="s">
        <v>11</v>
      </c>
      <c r="I38" t="str">
        <f>_xlfn.XLOOKUP(Tabla1[[#This Row],[Dependencia]],Tabla2[Dependencia],Tabla2[Clasificación],"No indexado")</f>
        <v>Presidencia de la República</v>
      </c>
      <c r="J38" t="str">
        <f>_xlfn.XLOOKUP(Tabla1[[#This Row],[Dependencia]],Tabla3[Dependencia],Tabla3[Nivel],"otros",0)</f>
        <v>otros</v>
      </c>
    </row>
    <row r="39" spans="1:10" ht="45" x14ac:dyDescent="0.25">
      <c r="A39" s="5">
        <v>46183</v>
      </c>
      <c r="B39" t="s">
        <v>77</v>
      </c>
      <c r="C39" s="6" t="s">
        <v>165</v>
      </c>
      <c r="D39" t="s">
        <v>12</v>
      </c>
      <c r="E39" t="s">
        <v>10</v>
      </c>
      <c r="F39" t="s">
        <v>10</v>
      </c>
      <c r="G39" t="s">
        <v>85</v>
      </c>
      <c r="H39" t="s">
        <v>11</v>
      </c>
      <c r="I39" t="str">
        <f>_xlfn.XLOOKUP(Tabla1[[#This Row],[Dependencia]],Tabla2[Dependencia],Tabla2[Clasificación],"No indexado")</f>
        <v>Otros</v>
      </c>
      <c r="J39" t="str">
        <f>_xlfn.XLOOKUP(Tabla1[[#This Row],[Dependencia]],Tabla3[Dependencia],Tabla3[Nivel],"otros",0)</f>
        <v>otros</v>
      </c>
    </row>
    <row r="40" spans="1:10" ht="30" x14ac:dyDescent="0.25">
      <c r="A40" s="5">
        <v>46183</v>
      </c>
      <c r="B40" t="s">
        <v>77</v>
      </c>
      <c r="C40" s="6" t="s">
        <v>166</v>
      </c>
      <c r="D40" t="s">
        <v>13</v>
      </c>
      <c r="E40" t="s">
        <v>82</v>
      </c>
      <c r="F40" t="s">
        <v>82</v>
      </c>
      <c r="G40" t="s">
        <v>109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25">
      <c r="A41" s="5">
        <v>46183</v>
      </c>
      <c r="B41" t="s">
        <v>68</v>
      </c>
      <c r="C41" s="6" t="s">
        <v>167</v>
      </c>
      <c r="D41" t="s">
        <v>12</v>
      </c>
      <c r="E41" t="s">
        <v>27</v>
      </c>
      <c r="F41" t="s">
        <v>115</v>
      </c>
      <c r="G41" t="s">
        <v>168</v>
      </c>
      <c r="H41" t="s">
        <v>70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25">
      <c r="A42" s="5">
        <v>46183</v>
      </c>
      <c r="B42" t="s">
        <v>68</v>
      </c>
      <c r="C42" s="6" t="s">
        <v>169</v>
      </c>
      <c r="D42" t="s">
        <v>12</v>
      </c>
      <c r="E42" t="s">
        <v>10</v>
      </c>
      <c r="F42" t="s">
        <v>10</v>
      </c>
      <c r="G42" t="s">
        <v>76</v>
      </c>
      <c r="H42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x14ac:dyDescent="0.25">
      <c r="A43" s="5">
        <v>46183</v>
      </c>
      <c r="B43" t="s">
        <v>68</v>
      </c>
      <c r="C43" s="6" t="s">
        <v>170</v>
      </c>
      <c r="D43" t="s">
        <v>9</v>
      </c>
      <c r="E43" t="s">
        <v>16</v>
      </c>
      <c r="F43" t="s">
        <v>79</v>
      </c>
      <c r="G43" t="s">
        <v>171</v>
      </c>
      <c r="H43" t="s">
        <v>70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x14ac:dyDescent="0.25">
      <c r="A44" s="5">
        <v>46183</v>
      </c>
      <c r="B44" t="s">
        <v>68</v>
      </c>
      <c r="C44" s="6" t="s">
        <v>172</v>
      </c>
      <c r="D44" t="s">
        <v>12</v>
      </c>
      <c r="E44" t="s">
        <v>59</v>
      </c>
      <c r="F44" t="s">
        <v>59</v>
      </c>
      <c r="G44" t="s">
        <v>106</v>
      </c>
      <c r="H44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x14ac:dyDescent="0.25">
      <c r="A45" s="5">
        <v>46183</v>
      </c>
      <c r="B45" t="s">
        <v>68</v>
      </c>
      <c r="C45" s="6" t="s">
        <v>173</v>
      </c>
      <c r="D45" t="s">
        <v>12</v>
      </c>
      <c r="E45" t="s">
        <v>33</v>
      </c>
      <c r="F45" t="s">
        <v>174</v>
      </c>
      <c r="G45" t="s">
        <v>175</v>
      </c>
      <c r="H45" t="s">
        <v>11</v>
      </c>
      <c r="I45" t="str">
        <f>_xlfn.XLOOKUP(Tabla1[[#This Row],[Dependencia]],Tabla2[Dependencia],Tabla2[Clasificación],"No indexado")</f>
        <v>Otros</v>
      </c>
      <c r="J45" t="str">
        <f>_xlfn.XLOOKUP(Tabla1[[#This Row],[Dependencia]],Tabla3[Dependencia],Tabla3[Nivel],"otros",0)</f>
        <v>otros</v>
      </c>
    </row>
    <row r="46" spans="1:10" x14ac:dyDescent="0.25">
      <c r="A46" s="5">
        <v>46183</v>
      </c>
      <c r="B46" t="s">
        <v>68</v>
      </c>
      <c r="C46" s="6" t="s">
        <v>176</v>
      </c>
      <c r="D46" t="s">
        <v>13</v>
      </c>
      <c r="E46" t="s">
        <v>82</v>
      </c>
      <c r="F46" t="s">
        <v>82</v>
      </c>
      <c r="G46" t="s">
        <v>109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5">
        <v>46183</v>
      </c>
      <c r="B47" t="s">
        <v>78</v>
      </c>
      <c r="C47" s="6" t="s">
        <v>177</v>
      </c>
      <c r="D47" t="s">
        <v>13</v>
      </c>
      <c r="E47" t="s">
        <v>59</v>
      </c>
      <c r="F47" t="s">
        <v>59</v>
      </c>
      <c r="G47" t="s">
        <v>106</v>
      </c>
      <c r="H47" t="s">
        <v>11</v>
      </c>
      <c r="I47" t="str">
        <f>_xlfn.XLOOKUP(Tabla1[[#This Row],[Dependencia]],Tabla2[Dependencia],Tabla2[Clasificación],"No indexado")</f>
        <v>Otros</v>
      </c>
      <c r="J47" t="str">
        <f>_xlfn.XLOOKUP(Tabla1[[#This Row],[Dependencia]],Tabla3[Dependencia],Tabla3[Nivel],"otros",0)</f>
        <v>otros</v>
      </c>
    </row>
    <row r="48" spans="1:10" x14ac:dyDescent="0.25">
      <c r="A48" s="5">
        <v>46183</v>
      </c>
      <c r="B48" t="s">
        <v>78</v>
      </c>
      <c r="C48" s="6" t="s">
        <v>178</v>
      </c>
      <c r="D48" t="s">
        <v>12</v>
      </c>
      <c r="E48" t="s">
        <v>14</v>
      </c>
      <c r="F48" t="s">
        <v>14</v>
      </c>
      <c r="G48" t="s">
        <v>179</v>
      </c>
      <c r="H48" t="s">
        <v>11</v>
      </c>
      <c r="I48" t="str">
        <f>_xlfn.XLOOKUP(Tabla1[[#This Row],[Dependencia]],Tabla2[Dependencia],Tabla2[Clasificación],"No indexado")</f>
        <v>Presidencia de la República</v>
      </c>
      <c r="J48" t="str">
        <f>_xlfn.XLOOKUP(Tabla1[[#This Row],[Dependencia]],Tabla3[Dependencia],Tabla3[Nivel],"otros",0)</f>
        <v>otros</v>
      </c>
    </row>
    <row r="49" spans="1:10" x14ac:dyDescent="0.25">
      <c r="A49" s="5">
        <v>46183</v>
      </c>
      <c r="B49" t="s">
        <v>78</v>
      </c>
      <c r="C49" s="6" t="s">
        <v>180</v>
      </c>
      <c r="D49" t="s">
        <v>9</v>
      </c>
      <c r="E49" t="s">
        <v>24</v>
      </c>
      <c r="F49" t="s">
        <v>24</v>
      </c>
      <c r="G49" t="s">
        <v>154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Gobernador</v>
      </c>
    </row>
    <row r="50" spans="1:10" x14ac:dyDescent="0.25">
      <c r="A50" s="5">
        <v>46183</v>
      </c>
      <c r="B50" t="s">
        <v>78</v>
      </c>
      <c r="C50" s="6" t="s">
        <v>181</v>
      </c>
      <c r="D50" t="s">
        <v>12</v>
      </c>
      <c r="E50" t="s">
        <v>84</v>
      </c>
      <c r="F50" t="s">
        <v>84</v>
      </c>
      <c r="G50" t="s">
        <v>133</v>
      </c>
      <c r="H50" t="s">
        <v>11</v>
      </c>
      <c r="I50" t="str">
        <f>_xlfn.XLOOKUP(Tabla1[[#This Row],[Dependencia]],Tabla2[Dependencia],Tabla2[Clasificación],"No indexado")</f>
        <v>Partidos</v>
      </c>
      <c r="J50" t="str">
        <f>_xlfn.XLOOKUP(Tabla1[[#This Row],[Dependencia]],Tabla3[Dependencia],Tabla3[Nivel],"otros",0)</f>
        <v>otros</v>
      </c>
    </row>
    <row r="51" spans="1:10" x14ac:dyDescent="0.25">
      <c r="A51" s="5">
        <v>46183</v>
      </c>
      <c r="B51" t="s">
        <v>78</v>
      </c>
      <c r="C51" s="6" t="s">
        <v>182</v>
      </c>
      <c r="D51" t="s">
        <v>12</v>
      </c>
      <c r="E51" t="s">
        <v>16</v>
      </c>
      <c r="F51" t="s">
        <v>79</v>
      </c>
      <c r="G51" t="s">
        <v>183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x14ac:dyDescent="0.25">
      <c r="A52" s="5">
        <v>46183</v>
      </c>
      <c r="B52" t="s">
        <v>78</v>
      </c>
      <c r="C52" s="6" t="s">
        <v>184</v>
      </c>
      <c r="D52" t="s">
        <v>12</v>
      </c>
      <c r="E52" t="s">
        <v>23</v>
      </c>
      <c r="F52" t="s">
        <v>125</v>
      </c>
      <c r="G52" t="s">
        <v>126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25">
      <c r="A53" s="5">
        <v>46183</v>
      </c>
      <c r="B53" t="s">
        <v>78</v>
      </c>
      <c r="C53" s="6" t="s">
        <v>185</v>
      </c>
      <c r="D53" t="s">
        <v>12</v>
      </c>
      <c r="E53" t="s">
        <v>10</v>
      </c>
      <c r="F53" t="s">
        <v>10</v>
      </c>
      <c r="G53" t="s">
        <v>186</v>
      </c>
      <c r="H53" t="s">
        <v>11</v>
      </c>
      <c r="I53" t="str">
        <f>_xlfn.XLOOKUP(Tabla1[[#This Row],[Dependencia]],Tabla2[Dependencia],Tabla2[Clasificación],"No indexado")</f>
        <v>Otros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46183</v>
      </c>
      <c r="B54" t="s">
        <v>78</v>
      </c>
      <c r="C54" s="6" t="s">
        <v>187</v>
      </c>
      <c r="D54" t="s">
        <v>12</v>
      </c>
      <c r="E54" t="s">
        <v>57</v>
      </c>
      <c r="F54" t="s">
        <v>57</v>
      </c>
      <c r="G54" t="s">
        <v>94</v>
      </c>
      <c r="H54" t="s">
        <v>11</v>
      </c>
      <c r="I54" t="str">
        <f>_xlfn.XLOOKUP(Tabla1[[#This Row],[Dependencia]],Tabla2[Dependencia],Tabla2[Clasificación],"No indexado")</f>
        <v>Otros</v>
      </c>
      <c r="J54" t="str">
        <f>_xlfn.XLOOKUP(Tabla1[[#This Row],[Dependencia]],Tabla3[Dependencia],Tabla3[Nivel],"otros",0)</f>
        <v>otros</v>
      </c>
    </row>
    <row r="55" spans="1:10" x14ac:dyDescent="0.25">
      <c r="A55" s="5">
        <v>46183</v>
      </c>
      <c r="B55" t="s">
        <v>78</v>
      </c>
      <c r="C55" s="6" t="s">
        <v>188</v>
      </c>
      <c r="D55" t="s">
        <v>89</v>
      </c>
      <c r="E55" t="s">
        <v>59</v>
      </c>
      <c r="F55" t="s">
        <v>59</v>
      </c>
      <c r="G55" t="s">
        <v>106</v>
      </c>
      <c r="H55" t="s">
        <v>69</v>
      </c>
      <c r="I55" t="str">
        <f>_xlfn.XLOOKUP(Tabla1[[#This Row],[Dependencia]],Tabla2[Dependencia],Tabla2[Clasificación],"No indexado")</f>
        <v>Otros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46183</v>
      </c>
      <c r="B56" t="s">
        <v>86</v>
      </c>
      <c r="C56" s="6" t="s">
        <v>189</v>
      </c>
      <c r="D56" t="s">
        <v>87</v>
      </c>
      <c r="E56" t="s">
        <v>16</v>
      </c>
      <c r="F56" t="s">
        <v>16</v>
      </c>
      <c r="G56" t="s">
        <v>190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ht="30" x14ac:dyDescent="0.25">
      <c r="A57" s="5">
        <v>46183</v>
      </c>
      <c r="B57" t="s">
        <v>86</v>
      </c>
      <c r="C57" s="6" t="s">
        <v>191</v>
      </c>
      <c r="D57" t="s">
        <v>12</v>
      </c>
      <c r="E57" t="s">
        <v>33</v>
      </c>
      <c r="F57" t="s">
        <v>95</v>
      </c>
      <c r="G57" t="s">
        <v>96</v>
      </c>
      <c r="H57" t="s">
        <v>11</v>
      </c>
      <c r="I57" t="str">
        <f>_xlfn.XLOOKUP(Tabla1[[#This Row],[Dependencia]],Tabla2[Dependencia],Tabla2[Clasificación],"No indexado")</f>
        <v>Otros</v>
      </c>
      <c r="J57" t="str">
        <f>_xlfn.XLOOKUP(Tabla1[[#This Row],[Dependencia]],Tabla3[Dependencia],Tabla3[Nivel],"otros",0)</f>
        <v>otros</v>
      </c>
    </row>
    <row r="58" spans="1:10" ht="30" x14ac:dyDescent="0.25">
      <c r="A58" s="5">
        <v>46183</v>
      </c>
      <c r="B58" t="s">
        <v>86</v>
      </c>
      <c r="C58" s="6" t="s">
        <v>192</v>
      </c>
      <c r="D58" t="s">
        <v>13</v>
      </c>
      <c r="E58" t="s">
        <v>24</v>
      </c>
      <c r="F58" t="s">
        <v>24</v>
      </c>
      <c r="G58" t="s">
        <v>154</v>
      </c>
      <c r="H58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Gobernador</v>
      </c>
    </row>
    <row r="59" spans="1:10" ht="30" x14ac:dyDescent="0.25">
      <c r="A59" s="5">
        <v>46183</v>
      </c>
      <c r="B59" t="s">
        <v>86</v>
      </c>
      <c r="C59" s="6" t="s">
        <v>193</v>
      </c>
      <c r="D59" t="s">
        <v>12</v>
      </c>
      <c r="E59" t="s">
        <v>16</v>
      </c>
      <c r="F59" t="s">
        <v>16</v>
      </c>
      <c r="G59" t="s">
        <v>194</v>
      </c>
      <c r="H59" t="s">
        <v>11</v>
      </c>
      <c r="I59" t="str">
        <f>_xlfn.XLOOKUP(Tabla1[[#This Row],[Dependencia]],Tabla2[Dependencia],Tabla2[Clasificación],"No indexado")</f>
        <v>Alcaldías</v>
      </c>
      <c r="J59" t="str">
        <f>_xlfn.XLOOKUP(Tabla1[[#This Row],[Dependencia]],Tabla3[Dependencia],Tabla3[Nivel],"otros",0)</f>
        <v>otros</v>
      </c>
    </row>
    <row r="60" spans="1:10" ht="30" x14ac:dyDescent="0.25">
      <c r="A60" s="5">
        <v>46183</v>
      </c>
      <c r="B60" t="s">
        <v>86</v>
      </c>
      <c r="C60" s="6" t="s">
        <v>195</v>
      </c>
      <c r="D60" t="s">
        <v>12</v>
      </c>
      <c r="E60" t="s">
        <v>16</v>
      </c>
      <c r="F60" t="s">
        <v>79</v>
      </c>
      <c r="G60" t="s">
        <v>196</v>
      </c>
      <c r="H60" t="s">
        <v>11</v>
      </c>
      <c r="I60" t="str">
        <f>_xlfn.XLOOKUP(Tabla1[[#This Row],[Dependencia]],Tabla2[Dependencia],Tabla2[Clasificación],"No indexado")</f>
        <v>Alcaldías</v>
      </c>
      <c r="J60" t="str">
        <f>_xlfn.XLOOKUP(Tabla1[[#This Row],[Dependencia]],Tabla3[Dependencia],Tabla3[Nivel],"otros",0)</f>
        <v>otros</v>
      </c>
    </row>
    <row r="61" spans="1:10" ht="45" x14ac:dyDescent="0.25">
      <c r="A61" s="5">
        <v>46183</v>
      </c>
      <c r="B61" t="s">
        <v>86</v>
      </c>
      <c r="C61" s="6" t="s">
        <v>197</v>
      </c>
      <c r="D61" t="s">
        <v>12</v>
      </c>
      <c r="E61" t="s">
        <v>16</v>
      </c>
      <c r="F61" t="s">
        <v>16</v>
      </c>
      <c r="G61" t="s">
        <v>198</v>
      </c>
      <c r="H61" t="s">
        <v>11</v>
      </c>
      <c r="I61" t="str">
        <f>_xlfn.XLOOKUP(Tabla1[[#This Row],[Dependencia]],Tabla2[Dependencia],Tabla2[Clasificación],"No indexado")</f>
        <v>Alcaldías</v>
      </c>
      <c r="J61" t="str">
        <f>_xlfn.XLOOKUP(Tabla1[[#This Row],[Dependencia]],Tabla3[Dependencia],Tabla3[Nivel],"otros",0)</f>
        <v>otros</v>
      </c>
    </row>
    <row r="62" spans="1:10" ht="45" x14ac:dyDescent="0.25">
      <c r="A62" s="5">
        <v>46183</v>
      </c>
      <c r="B62" t="s">
        <v>86</v>
      </c>
      <c r="C62" s="6" t="s">
        <v>199</v>
      </c>
      <c r="D62" t="s">
        <v>12</v>
      </c>
      <c r="E62" t="s">
        <v>16</v>
      </c>
      <c r="F62" t="s">
        <v>79</v>
      </c>
      <c r="G62" t="s">
        <v>200</v>
      </c>
      <c r="H62" t="s">
        <v>11</v>
      </c>
      <c r="I62" t="str">
        <f>_xlfn.XLOOKUP(Tabla1[[#This Row],[Dependencia]],Tabla2[Dependencia],Tabla2[Clasificación],"No indexado")</f>
        <v>Alcaldías</v>
      </c>
      <c r="J62" t="str">
        <f>_xlfn.XLOOKUP(Tabla1[[#This Row],[Dependencia]],Tabla3[Dependencia],Tabla3[Nivel],"otros",0)</f>
        <v>otros</v>
      </c>
    </row>
    <row r="63" spans="1:10" ht="45" x14ac:dyDescent="0.25">
      <c r="A63" s="5">
        <v>46183</v>
      </c>
      <c r="B63" t="s">
        <v>86</v>
      </c>
      <c r="C63" s="6" t="s">
        <v>201</v>
      </c>
      <c r="D63" t="s">
        <v>12</v>
      </c>
      <c r="E63" t="s">
        <v>16</v>
      </c>
      <c r="F63" t="s">
        <v>83</v>
      </c>
      <c r="G63" t="s">
        <v>202</v>
      </c>
      <c r="H63" t="s">
        <v>11</v>
      </c>
      <c r="I63" t="str">
        <f>_xlfn.XLOOKUP(Tabla1[[#This Row],[Dependencia]],Tabla2[Dependencia],Tabla2[Clasificación],"No indexado")</f>
        <v>Alcaldías</v>
      </c>
      <c r="J63" t="str">
        <f>_xlfn.XLOOKUP(Tabla1[[#This Row],[Dependencia]],Tabla3[Dependencia],Tabla3[Nivel],"otros",0)</f>
        <v>otros</v>
      </c>
    </row>
    <row r="64" spans="1:10" ht="30" x14ac:dyDescent="0.25">
      <c r="A64" s="5">
        <v>46183</v>
      </c>
      <c r="B64" t="s">
        <v>86</v>
      </c>
      <c r="C64" s="6" t="s">
        <v>203</v>
      </c>
      <c r="D64" t="s">
        <v>12</v>
      </c>
      <c r="E64" t="s">
        <v>16</v>
      </c>
      <c r="F64" t="s">
        <v>83</v>
      </c>
      <c r="G64" t="s">
        <v>204</v>
      </c>
      <c r="H64" t="s">
        <v>11</v>
      </c>
      <c r="I64" t="str">
        <f>_xlfn.XLOOKUP(Tabla1[[#This Row],[Dependencia]],Tabla2[Dependencia],Tabla2[Clasificación],"No indexado")</f>
        <v>Alcaldías</v>
      </c>
      <c r="J64" t="str">
        <f>_xlfn.XLOOKUP(Tabla1[[#This Row],[Dependencia]],Tabla3[Dependencia],Tabla3[Nivel],"otros",0)</f>
        <v>otros</v>
      </c>
    </row>
    <row r="65" spans="1:10" ht="30" x14ac:dyDescent="0.25">
      <c r="A65" s="5">
        <v>46183</v>
      </c>
      <c r="B65" t="s">
        <v>86</v>
      </c>
      <c r="C65" s="6" t="s">
        <v>205</v>
      </c>
      <c r="D65" t="s">
        <v>12</v>
      </c>
      <c r="E65" t="s">
        <v>16</v>
      </c>
      <c r="F65" t="s">
        <v>16</v>
      </c>
      <c r="G65" t="s">
        <v>92</v>
      </c>
      <c r="H65" t="s">
        <v>70</v>
      </c>
      <c r="I65" t="str">
        <f>_xlfn.XLOOKUP(Tabla1[[#This Row],[Dependencia]],Tabla2[Dependencia],Tabla2[Clasificación],"No indexado")</f>
        <v>Alcaldías</v>
      </c>
      <c r="J65" t="str">
        <f>_xlfn.XLOOKUP(Tabla1[[#This Row],[Dependencia]],Tabla3[Dependencia],Tabla3[Nivel],"otros",0)</f>
        <v>otros</v>
      </c>
    </row>
    <row r="66" spans="1:10" ht="30" x14ac:dyDescent="0.25">
      <c r="A66" s="5">
        <v>46183</v>
      </c>
      <c r="B66" t="s">
        <v>86</v>
      </c>
      <c r="C66" s="6" t="s">
        <v>206</v>
      </c>
      <c r="D66" t="s">
        <v>12</v>
      </c>
      <c r="E66" t="s">
        <v>75</v>
      </c>
      <c r="F66" t="s">
        <v>75</v>
      </c>
      <c r="G66" t="s">
        <v>109</v>
      </c>
      <c r="H66" t="s">
        <v>11</v>
      </c>
      <c r="I66" t="str">
        <f>_xlfn.XLOOKUP(Tabla1[[#This Row],[Dependencia]],Tabla2[Dependencia],Tabla2[Clasificación],"No indexado")</f>
        <v>Gobierno del estado</v>
      </c>
      <c r="J66" t="str">
        <f>_xlfn.XLOOKUP(Tabla1[[#This Row],[Dependencia]],Tabla3[Dependencia],Tabla3[Nivel],"otros",0)</f>
        <v>Gabinete</v>
      </c>
    </row>
    <row r="67" spans="1:10" ht="30" x14ac:dyDescent="0.25">
      <c r="A67" s="5">
        <v>46183</v>
      </c>
      <c r="B67" t="s">
        <v>73</v>
      </c>
      <c r="C67" s="6" t="s">
        <v>207</v>
      </c>
      <c r="D67" t="s">
        <v>13</v>
      </c>
      <c r="E67" t="s">
        <v>16</v>
      </c>
      <c r="F67" t="s">
        <v>83</v>
      </c>
      <c r="G67" t="s">
        <v>202</v>
      </c>
      <c r="H67" t="s">
        <v>69</v>
      </c>
      <c r="I67" t="str">
        <f>_xlfn.XLOOKUP(Tabla1[[#This Row],[Dependencia]],Tabla2[Dependencia],Tabla2[Clasificación],"No indexado")</f>
        <v>Alcaldías</v>
      </c>
      <c r="J67" t="str">
        <f>_xlfn.XLOOKUP(Tabla1[[#This Row],[Dependencia]],Tabla3[Dependencia],Tabla3[Nivel],"otros",0)</f>
        <v>otros</v>
      </c>
    </row>
    <row r="68" spans="1:10" ht="30" x14ac:dyDescent="0.25">
      <c r="A68" s="5">
        <v>46183</v>
      </c>
      <c r="B68" t="s">
        <v>73</v>
      </c>
      <c r="C68" s="6" t="s">
        <v>143</v>
      </c>
      <c r="D68" t="s">
        <v>12</v>
      </c>
      <c r="E68" t="s">
        <v>75</v>
      </c>
      <c r="F68" t="s">
        <v>75</v>
      </c>
      <c r="G68" t="s">
        <v>126</v>
      </c>
      <c r="H68" t="s">
        <v>11</v>
      </c>
      <c r="I68" t="str">
        <f>_xlfn.XLOOKUP(Tabla1[[#This Row],[Dependencia]],Tabla2[Dependencia],Tabla2[Clasificación],"No indexado")</f>
        <v>Gobierno del estado</v>
      </c>
      <c r="J68" t="str">
        <f>_xlfn.XLOOKUP(Tabla1[[#This Row],[Dependencia]],Tabla3[Dependencia],Tabla3[Nivel],"otros",0)</f>
        <v>Gabinete</v>
      </c>
    </row>
    <row r="69" spans="1:10" ht="30" x14ac:dyDescent="0.25">
      <c r="A69" s="5">
        <v>46183</v>
      </c>
      <c r="B69" t="s">
        <v>73</v>
      </c>
      <c r="C69" s="6" t="s">
        <v>192</v>
      </c>
      <c r="D69" t="s">
        <v>12</v>
      </c>
      <c r="E69" t="s">
        <v>24</v>
      </c>
      <c r="F69" t="s">
        <v>24</v>
      </c>
      <c r="G69" t="s">
        <v>154</v>
      </c>
      <c r="H69" t="s">
        <v>11</v>
      </c>
      <c r="I69" t="str">
        <f>_xlfn.XLOOKUP(Tabla1[[#This Row],[Dependencia]],Tabla2[Dependencia],Tabla2[Clasificación],"No indexado")</f>
        <v>Gobierno del estado</v>
      </c>
      <c r="J69" t="str">
        <f>_xlfn.XLOOKUP(Tabla1[[#This Row],[Dependencia]],Tabla3[Dependencia],Tabla3[Nivel],"otros",0)</f>
        <v>Gobernador</v>
      </c>
    </row>
    <row r="70" spans="1:10" ht="30" x14ac:dyDescent="0.25">
      <c r="A70" s="5">
        <v>46183</v>
      </c>
      <c r="B70" t="s">
        <v>73</v>
      </c>
      <c r="C70" s="6" t="s">
        <v>208</v>
      </c>
      <c r="D70" t="s">
        <v>12</v>
      </c>
      <c r="E70" t="s">
        <v>26</v>
      </c>
      <c r="F70" t="s">
        <v>2</v>
      </c>
      <c r="G70" t="s">
        <v>209</v>
      </c>
      <c r="H70" t="s">
        <v>11</v>
      </c>
      <c r="I70" t="str">
        <f>_xlfn.XLOOKUP(Tabla1[[#This Row],[Dependencia]],Tabla2[Dependencia],Tabla2[Clasificación],"No indexado")</f>
        <v>Gobierno del estado</v>
      </c>
      <c r="J70" t="str">
        <f>_xlfn.XLOOKUP(Tabla1[[#This Row],[Dependencia]],Tabla3[Dependencia],Tabla3[Nivel],"otros",0)</f>
        <v>Gabinete</v>
      </c>
    </row>
    <row r="71" spans="1:10" ht="30" x14ac:dyDescent="0.25">
      <c r="A71" s="5">
        <v>46183</v>
      </c>
      <c r="B71" t="s">
        <v>73</v>
      </c>
      <c r="C71" s="6" t="s">
        <v>210</v>
      </c>
      <c r="D71" t="s">
        <v>12</v>
      </c>
      <c r="E71" t="s">
        <v>10</v>
      </c>
      <c r="F71" t="s">
        <v>10</v>
      </c>
      <c r="G71" t="s">
        <v>76</v>
      </c>
      <c r="H71" t="s">
        <v>11</v>
      </c>
      <c r="I71" t="str">
        <f>_xlfn.XLOOKUP(Tabla1[[#This Row],[Dependencia]],Tabla2[Dependencia],Tabla2[Clasificación],"No indexado")</f>
        <v>Otros</v>
      </c>
      <c r="J71" t="str">
        <f>_xlfn.XLOOKUP(Tabla1[[#This Row],[Dependencia]],Tabla3[Dependencia],Tabla3[Nivel],"otros",0)</f>
        <v>otros</v>
      </c>
    </row>
    <row r="72" spans="1:10" x14ac:dyDescent="0.25">
      <c r="A72" s="5">
        <v>46183</v>
      </c>
      <c r="B72" t="s">
        <v>73</v>
      </c>
      <c r="C72" s="6" t="s">
        <v>211</v>
      </c>
      <c r="D72" t="s">
        <v>88</v>
      </c>
      <c r="E72" t="s">
        <v>27</v>
      </c>
      <c r="F72" t="s">
        <v>115</v>
      </c>
      <c r="G72" t="s">
        <v>212</v>
      </c>
      <c r="H72" t="s">
        <v>11</v>
      </c>
      <c r="I72" t="str">
        <f>_xlfn.XLOOKUP(Tabla1[[#This Row],[Dependencia]],Tabla2[Dependencia],Tabla2[Clasificación],"No indexado")</f>
        <v>Gobierno del estado</v>
      </c>
      <c r="J72" t="str">
        <f>_xlfn.XLOOKUP(Tabla1[[#This Row],[Dependencia]],Tabla3[Dependencia],Tabla3[Nivel],"otros",0)</f>
        <v>Gabinete</v>
      </c>
    </row>
    <row r="73" spans="1:10" x14ac:dyDescent="0.25">
      <c r="A73" s="5">
        <v>46183</v>
      </c>
      <c r="B73" t="s">
        <v>73</v>
      </c>
      <c r="C73" s="6" t="s">
        <v>102</v>
      </c>
      <c r="D73" t="s">
        <v>88</v>
      </c>
      <c r="E73" t="s">
        <v>16</v>
      </c>
      <c r="F73" t="s">
        <v>16</v>
      </c>
      <c r="G73" t="s">
        <v>101</v>
      </c>
      <c r="H73" t="s">
        <v>11</v>
      </c>
      <c r="I73" t="str">
        <f>_xlfn.XLOOKUP(Tabla1[[#This Row],[Dependencia]],Tabla2[Dependencia],Tabla2[Clasificación],"No indexado")</f>
        <v>Alcaldías</v>
      </c>
      <c r="J73" t="str">
        <f>_xlfn.XLOOKUP(Tabla1[[#This Row],[Dependencia]],Tabla3[Dependencia],Tabla3[Nivel],"otros",0)</f>
        <v>otros</v>
      </c>
    </row>
    <row r="74" spans="1:10" x14ac:dyDescent="0.25">
      <c r="A74" s="5">
        <v>46182</v>
      </c>
      <c r="B74" t="s">
        <v>93</v>
      </c>
      <c r="C74" s="6" t="s">
        <v>213</v>
      </c>
      <c r="D74" t="s">
        <v>13</v>
      </c>
      <c r="E74" t="s">
        <v>82</v>
      </c>
      <c r="F74" t="s">
        <v>82</v>
      </c>
      <c r="G74" t="s">
        <v>109</v>
      </c>
      <c r="H74" t="s">
        <v>11</v>
      </c>
      <c r="I74" t="str">
        <f>_xlfn.XLOOKUP(Tabla1[[#This Row],[Dependencia]],Tabla2[Dependencia],Tabla2[Clasificación],"No indexado")</f>
        <v>Gobierno del estado</v>
      </c>
      <c r="J74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75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75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2026-06-11T00:18:49Z</dcterms:modified>
</cp:coreProperties>
</file>