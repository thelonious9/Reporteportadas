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7A68B62-E3E3-4B3E-B853-AB2A8E957826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I2" i="1"/>
  <c r="J2" i="1"/>
</calcChain>
</file>

<file path=xl/sharedStrings.xml><?xml version="1.0" encoding="utf-8"?>
<sst xmlns="http://schemas.openxmlformats.org/spreadsheetml/2006/main" count="615" uniqueCount="192">
  <si>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</si>
  <si>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</si>
  <si>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</si>
  <si>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</si>
  <si>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</si>
  <si>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</si>
  <si>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</si>
  <si>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</si>
  <si>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</si>
  <si>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</si>
  <si>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</si>
  <si>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</si>
  <si>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</si>
  <si>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</si>
  <si>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</si>
  <si>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</si>
  <si>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</si>
  <si>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</si>
  <si>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</si>
  <si>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</si>
  <si>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</si>
  <si>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</si>
  <si>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</si>
  <si>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</si>
  <si>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</si>
  <si>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</si>
  <si>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</si>
  <si>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</si>
  <si>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</si>
  <si>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</si>
  <si>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</si>
  <si>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</si>
  <si>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</si>
  <si>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</si>
  <si>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</si>
  <si>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</si>
  <si>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</si>
  <si>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</si>
  <si>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</si>
  <si>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</si>
  <si>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</si>
  <si>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</si>
  <si>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</si>
  <si>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</si>
  <si>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</si>
  <si>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</si>
  <si>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</si>
  <si>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</si>
  <si>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</si>
  <si>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</si>
  <si>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</si>
  <si>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</si>
  <si>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</si>
  <si>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</si>
  <si>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</si>
  <si>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</si>
  <si>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</si>
  <si>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</si>
  <si>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</si>
  <si>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</si>
  <si>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</si>
  <si>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</si>
  <si>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</si>
  <si>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</si>
  <si>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</si>
  <si>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</si>
  <si>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</si>
  <si>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</si>
  <si>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</si>
  <si>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</si>
  <si>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</si>
  <si>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</si>
  <si>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</si>
  <si>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</si>
  <si>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</si>
  <si>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</si>
  <si>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</si>
  <si>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</si>
  <si>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</si>
  <si>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</si>
  <si>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</si>
  <si>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</si>
  <si>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Cintillo</t>
  </si>
  <si>
    <t>Pachuca Brilla</t>
  </si>
  <si>
    <t>Drones</t>
  </si>
  <si>
    <t>Publicidad</t>
  </si>
  <si>
    <t>Detención de policía</t>
  </si>
  <si>
    <t>Sipdus</t>
  </si>
  <si>
    <t>Día del maestro</t>
  </si>
  <si>
    <t>Videovigilancia</t>
  </si>
  <si>
    <t>CFE</t>
  </si>
  <si>
    <t>Conagua</t>
  </si>
  <si>
    <t>Pumas pasa a la final, va contra Cruz Azul</t>
  </si>
  <si>
    <t>Reportan un poste dañado en calle Mina</t>
  </si>
  <si>
    <t>Infraestructura en mal estado</t>
  </si>
  <si>
    <t>Tuzocón, un encuentro entre anime y cosplay</t>
  </si>
  <si>
    <t>Exportaciones del agro pierden dinamismo</t>
  </si>
  <si>
    <t>Exportaciones</t>
  </si>
  <si>
    <t>Obra deja sin servicios básicos a colonos</t>
  </si>
  <si>
    <t>Protesta por obra</t>
  </si>
  <si>
    <t>Tribunal electoral acumula juicios para la proteccion de derechos</t>
  </si>
  <si>
    <t>Derechos político electorales</t>
  </si>
  <si>
    <t>Magia y fantasía</t>
  </si>
  <si>
    <t>Lista la final del Clausura 2026</t>
  </si>
  <si>
    <t>Saneamiento del Río Tula costó 71 mdp</t>
  </si>
  <si>
    <t>Saneamiento río Tula</t>
  </si>
  <si>
    <t>Diputado ve como ""limpia"" la captura de policías</t>
  </si>
  <si>
    <t>Se acabó el sueño</t>
  </si>
  <si>
    <t>El alma del pachus</t>
  </si>
  <si>
    <t>Hidalgo, 2° lugar en menos jóvenes independizados</t>
  </si>
  <si>
    <t>Pobreza laboral</t>
  </si>
  <si>
    <t>En 17 días, reportan 5 ejecuciones en el estado</t>
  </si>
  <si>
    <t>Ejecuciones</t>
  </si>
  <si>
    <t>Instalaron el comité de Morena en La Reforma</t>
  </si>
  <si>
    <t>Comités Morena</t>
  </si>
  <si>
    <t>Lluvias causan afectaciones en la metrópolis</t>
  </si>
  <si>
    <t>Afectaciones Por Lluvias</t>
  </si>
  <si>
    <t>Consigue Feria del Taco 2026 un récord Guinness</t>
  </si>
  <si>
    <t>OEEH</t>
  </si>
  <si>
    <t>Festival Gastronómico</t>
  </si>
  <si>
    <t>Registra el estado 27 policías asesinados en los último meses</t>
  </si>
  <si>
    <t>Homicidio de Policía</t>
  </si>
  <si>
    <t>Instalan en Pachuca 256 cámaras en accesos y vías</t>
  </si>
  <si>
    <t>Dos plantas fotovoltaicas se instalaron en Nopala</t>
  </si>
  <si>
    <t>Parque Fotovoltaico</t>
  </si>
  <si>
    <t>Dudamel, a ritmo de salsa</t>
  </si>
  <si>
    <t>El desplazamiento por la narcoviolencia cayó 36% en el último año</t>
  </si>
  <si>
    <t>Desplazamiento forzado</t>
  </si>
  <si>
    <t>Bardem truena contra Trump y Netanyahu; Salma se viste de ""cisne""</t>
  </si>
  <si>
    <t>América feminil logra su tercer título</t>
  </si>
  <si>
    <t>Denuncian ante Profepa descargas clandestinas en río</t>
  </si>
  <si>
    <t>Contaminación de río</t>
  </si>
  <si>
    <t>En 2030 un tercio de las empresas mexicanas usará IA en sus procesos</t>
  </si>
  <si>
    <t>Poder Judicial local, listo para inicio de juicios orales familiares</t>
  </si>
  <si>
    <t>Juicios orales</t>
  </si>
  <si>
    <t>Atotonilco de Tula pagará 105 mdp tras perder litigio</t>
  </si>
  <si>
    <t>Laudos Municipios</t>
  </si>
  <si>
    <t>Pachuca ampliará vigilancia con 256 cámaras en colonias y accesos</t>
  </si>
  <si>
    <t>Fin de semana: masacre en Puebla, tiroteos en Tamaulipas</t>
  </si>
  <si>
    <t>Inseguridad</t>
  </si>
  <si>
    <t>No le alcanzó al Tuzo</t>
  </si>
  <si>
    <t>La viralidad de un hecho insignificante podría dejarse pasar,  pero sirve para reflexionar sobre lo que debemos hacer para que  los entornos digitales sean más seguros y no reproduzcan  la violencia cotidiana</t>
  </si>
  <si>
    <t>Simey</t>
  </si>
  <si>
    <t>Violencia digital</t>
  </si>
  <si>
    <t>Refuerzan seguridad en Pachuca con instalación de 256 cámaras de seguridad</t>
  </si>
  <si>
    <t>alcald</t>
  </si>
  <si>
    <t>Incentivan económicamente a jóvenes emprendedores en Mineral de la Reforma</t>
  </si>
  <si>
    <t>Apoyo a emprendedores</t>
  </si>
  <si>
    <t>Falla plataforma de Ceneval durante realización de examen del Servicio Profesional Electoral</t>
  </si>
  <si>
    <t>Promueven concientización  sobre la tolerancia y respeto a la  diversidad sexual</t>
  </si>
  <si>
    <t>Diversidad sexogenérica</t>
  </si>
  <si>
    <t>Gobierno de Hidalgo entrega obras educativas por más de 6 mdp en Huejutla</t>
  </si>
  <si>
    <t>Entrega de infraestructura escolar</t>
  </si>
  <si>
    <t>Inician rehabilitación de alcantarillas en zona del mercado municipal de Huejutla</t>
  </si>
  <si>
    <t>Rehabilitación De Mercados</t>
  </si>
  <si>
    <t>Ponen en marcha semana Nacional contra riesgos sanitarios</t>
  </si>
  <si>
    <t>Capacitación sanitaria</t>
  </si>
  <si>
    <t>Festejos del mes de mayo impulsan la economía local</t>
  </si>
  <si>
    <t>Reciclando Transformamos Hidalgo""</t>
  </si>
  <si>
    <t>Campaña de reciclaje</t>
  </si>
  <si>
    <t>Refuerzo a la seguridad</t>
  </si>
  <si>
    <t>Contraloría alista nueva depuración de proveedores irregulares en Hidalgo</t>
  </si>
  <si>
    <t>Padrón de proveedores</t>
  </si>
  <si>
    <t>¿Van PT-Verde sin Morena?</t>
  </si>
  <si>
    <t>Alianzas Electorales</t>
  </si>
  <si>
    <t>Busan independientes en Hidalgo</t>
  </si>
  <si>
    <t>Candidaturas independientes</t>
  </si>
  <si>
    <t>Niega Morena persecución contra diputadas por Fundación Cabañas</t>
  </si>
  <si>
    <t>GLMorena</t>
  </si>
  <si>
    <t>Fundación Herrera Cabañas</t>
  </si>
  <si>
    <t>Arde tractocamión en el Arco Norte</t>
  </si>
  <si>
    <t>Adultos mayores en Atitalaquia viven gran jornada de convivencia</t>
  </si>
  <si>
    <t>Atención a adultos mayores</t>
  </si>
  <si>
    <t>Cruz Azul y Pumas en la gran final del futbol mexicano</t>
  </si>
  <si>
    <t>Jorge Reyes fortalece la seguridad en Pachuca con 256 cámaras de videovigilancia en 64 puntos estratégicos de la capital</t>
  </si>
  <si>
    <t>En festejo del día del maestro, SNTE 15 refrenda cercanía con el gremio</t>
  </si>
  <si>
    <t>Reportar heridas y revisar ganado, fundamentales para combatir al gusano barrenador</t>
  </si>
  <si>
    <t>Gusano barrenador</t>
  </si>
  <si>
    <t>Fundación Misión de Doña Margarita realiza con éxito sorteo con causa de impacto nacional</t>
  </si>
  <si>
    <t>Bomberos de Atitalaquia atienden reportes derivados de las lluvias y garantizan seguridad de la población</t>
  </si>
  <si>
    <t>Atención Afectaciones Por Lluvias</t>
  </si>
  <si>
    <t>Jorge Reyes fortalece la seguridad en Pachuca con 256 cámaras de video vigilancia</t>
  </si>
  <si>
    <t>Alcalde</t>
  </si>
  <si>
    <t>Llaman a mantener medidas por el gusano barrenador</t>
  </si>
  <si>
    <t>Fuerte lluvia deja inundadas calles en zona metropolitana</t>
  </si>
  <si>
    <t>Pumas vs Cruz Azul, la final de liga MX</t>
  </si>
  <si>
    <t>Impactan lluvias intensas y granizo en Hidalgo</t>
  </si>
  <si>
    <t>Pumas vs Cruz Azul, la final de la Liga MX</t>
  </si>
  <si>
    <t>Buen momento escogieron los maestros de la CNTE para su huelga nacional a partir del 01 de junio, poco antes del inicio del Mundial de fútbol; la presión al gobierno es dura, sólo piden derogar la Reforma Educativa y la Ley del ISSSTE y más salario, casi nada ...</t>
  </si>
  <si>
    <t>Paro laboral</t>
  </si>
  <si>
    <t>Maestros anuncian huelga indefinida en la antesala al Mundial</t>
  </si>
  <si>
    <t>Rompen récord con la exposición de tacos más grande del mundo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</si>
</sst>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workbookViewId="0">
      <selection activeCell="A2" sqref="A2:H6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25">
      <c r="A2" s="5">
        <v>46160</v>
      </c>
      <c r="B2" t="s">
        <v>69</v>
      </c>
      <c r="C2" s="6" t="s">
        <v>92</v>
      </c>
      <c r="D2" t="s">
        <v>9</v>
      </c>
      <c r="E2" t="s">
        <v>10</v>
      </c>
      <c r="F2" t="s">
        <v>10</v>
      </c>
      <c r="G2" t="s">
        <v>71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46160</v>
      </c>
      <c r="B3" t="s">
        <v>69</v>
      </c>
      <c r="C3" s="6" t="s">
        <v>93</v>
      </c>
      <c r="D3" t="s">
        <v>12</v>
      </c>
      <c r="E3" t="s">
        <v>14</v>
      </c>
      <c r="F3" t="s">
        <v>90</v>
      </c>
      <c r="G3" t="s">
        <v>94</v>
      </c>
      <c r="H3" t="s">
        <v>72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46160</v>
      </c>
      <c r="B4" t="s">
        <v>69</v>
      </c>
      <c r="C4" s="6" t="s">
        <v>95</v>
      </c>
      <c r="D4" t="s">
        <v>12</v>
      </c>
      <c r="E4" t="s">
        <v>10</v>
      </c>
      <c r="F4" t="s">
        <v>10</v>
      </c>
      <c r="G4" t="s">
        <v>81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46160</v>
      </c>
      <c r="B5" t="s">
        <v>69</v>
      </c>
      <c r="C5" s="6" t="s">
        <v>96</v>
      </c>
      <c r="D5" t="s">
        <v>13</v>
      </c>
      <c r="E5" t="s">
        <v>54</v>
      </c>
      <c r="F5" t="s">
        <v>54</v>
      </c>
      <c r="G5" t="s">
        <v>97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46160</v>
      </c>
      <c r="B6" t="s">
        <v>69</v>
      </c>
      <c r="C6" s="6" t="s">
        <v>98</v>
      </c>
      <c r="D6" t="s">
        <v>12</v>
      </c>
      <c r="E6" t="s">
        <v>87</v>
      </c>
      <c r="F6" t="s">
        <v>87</v>
      </c>
      <c r="G6" t="s">
        <v>99</v>
      </c>
      <c r="H6" t="s">
        <v>72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ht="30" x14ac:dyDescent="0.25">
      <c r="A7" s="5">
        <v>46160</v>
      </c>
      <c r="B7" t="s">
        <v>77</v>
      </c>
      <c r="C7" s="6" t="s">
        <v>100</v>
      </c>
      <c r="D7" t="s">
        <v>13</v>
      </c>
      <c r="E7" t="s">
        <v>58</v>
      </c>
      <c r="F7" t="s">
        <v>58</v>
      </c>
      <c r="G7" t="s">
        <v>101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46160</v>
      </c>
      <c r="B8" t="s">
        <v>77</v>
      </c>
      <c r="C8" s="6" t="s">
        <v>102</v>
      </c>
      <c r="D8" t="s">
        <v>9</v>
      </c>
      <c r="E8" t="s">
        <v>10</v>
      </c>
      <c r="F8" t="s">
        <v>10</v>
      </c>
      <c r="G8" t="s">
        <v>81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46160</v>
      </c>
      <c r="B9" t="s">
        <v>77</v>
      </c>
      <c r="C9" s="6" t="s">
        <v>103</v>
      </c>
      <c r="D9" t="s">
        <v>12</v>
      </c>
      <c r="E9" t="s">
        <v>10</v>
      </c>
      <c r="F9" t="s">
        <v>10</v>
      </c>
      <c r="G9" t="s">
        <v>71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46160</v>
      </c>
      <c r="B10" t="s">
        <v>77</v>
      </c>
      <c r="C10" s="6" t="s">
        <v>104</v>
      </c>
      <c r="D10" t="s">
        <v>12</v>
      </c>
      <c r="E10" t="s">
        <v>14</v>
      </c>
      <c r="F10" t="s">
        <v>91</v>
      </c>
      <c r="G10" t="s">
        <v>105</v>
      </c>
      <c r="H10" t="s">
        <v>11</v>
      </c>
      <c r="I10" t="str">
        <f>_xlfn.XLOOKUP(Tabla1[[#This Row],[Dependencia]],Tabla2[Dependencia],Tabla2[Clasificación],"No indexado")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46160</v>
      </c>
      <c r="B11" t="s">
        <v>77</v>
      </c>
      <c r="C11" s="6" t="s">
        <v>106</v>
      </c>
      <c r="D11" t="s">
        <v>12</v>
      </c>
      <c r="E11" t="s">
        <v>34</v>
      </c>
      <c r="F11" t="s">
        <v>34</v>
      </c>
      <c r="G11" t="s">
        <v>86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46160</v>
      </c>
      <c r="B12" t="s">
        <v>74</v>
      </c>
      <c r="C12" s="6" t="s">
        <v>107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46160</v>
      </c>
      <c r="B13" t="s">
        <v>74</v>
      </c>
      <c r="C13" s="6" t="s">
        <v>108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46160</v>
      </c>
      <c r="B14" t="s">
        <v>74</v>
      </c>
      <c r="C14" s="6" t="s">
        <v>109</v>
      </c>
      <c r="D14" t="s">
        <v>13</v>
      </c>
      <c r="E14" t="s">
        <v>57</v>
      </c>
      <c r="F14" t="s">
        <v>57</v>
      </c>
      <c r="G14" t="s">
        <v>110</v>
      </c>
      <c r="H14" t="s">
        <v>72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46160</v>
      </c>
      <c r="B15" t="s">
        <v>74</v>
      </c>
      <c r="C15" s="6" t="s">
        <v>111</v>
      </c>
      <c r="D15" t="s">
        <v>12</v>
      </c>
      <c r="E15" t="s">
        <v>17</v>
      </c>
      <c r="F15" t="s">
        <v>17</v>
      </c>
      <c r="G15" t="s">
        <v>112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46160</v>
      </c>
      <c r="B16" t="s">
        <v>74</v>
      </c>
      <c r="C16" s="6" t="s">
        <v>113</v>
      </c>
      <c r="D16" t="s">
        <v>12</v>
      </c>
      <c r="E16" t="s">
        <v>18</v>
      </c>
      <c r="F16" t="s">
        <v>18</v>
      </c>
      <c r="G16" t="s">
        <v>114</v>
      </c>
      <c r="H16" t="s">
        <v>11</v>
      </c>
      <c r="I16" t="str">
        <f>_xlfn.XLOOKUP(Tabla1[[#This Row],[Dependencia]],Tabla2[Dependencia],Tabla2[Clasificación],"No indexado")</f>
        <v>Partidos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46160</v>
      </c>
      <c r="B17" t="s">
        <v>74</v>
      </c>
      <c r="C17" s="6" t="s">
        <v>115</v>
      </c>
      <c r="D17" t="s">
        <v>9</v>
      </c>
      <c r="E17" t="s">
        <v>10</v>
      </c>
      <c r="F17" t="s">
        <v>10</v>
      </c>
      <c r="G17" t="s">
        <v>116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46160</v>
      </c>
      <c r="B18" t="s">
        <v>74</v>
      </c>
      <c r="C18" s="6" t="s">
        <v>117</v>
      </c>
      <c r="D18" t="s">
        <v>12</v>
      </c>
      <c r="E18" t="s">
        <v>29</v>
      </c>
      <c r="F18" t="s">
        <v>118</v>
      </c>
      <c r="G18" t="s">
        <v>119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5">
        <v>46160</v>
      </c>
      <c r="B19" t="s">
        <v>68</v>
      </c>
      <c r="C19" s="6" t="s">
        <v>120</v>
      </c>
      <c r="D19" t="s">
        <v>13</v>
      </c>
      <c r="E19" t="s">
        <v>22</v>
      </c>
      <c r="F19" t="s">
        <v>22</v>
      </c>
      <c r="G19" t="s">
        <v>121</v>
      </c>
      <c r="H19" t="s">
        <v>72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5">
        <v>46160</v>
      </c>
      <c r="B20" t="s">
        <v>68</v>
      </c>
      <c r="C20" s="6" t="s">
        <v>122</v>
      </c>
      <c r="D20" t="s">
        <v>12</v>
      </c>
      <c r="E20" t="s">
        <v>16</v>
      </c>
      <c r="F20" t="s">
        <v>16</v>
      </c>
      <c r="G20" t="s">
        <v>89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46160</v>
      </c>
      <c r="B21" t="s">
        <v>68</v>
      </c>
      <c r="C21" s="6" t="s">
        <v>123</v>
      </c>
      <c r="D21" t="s">
        <v>12</v>
      </c>
      <c r="E21" t="s">
        <v>20</v>
      </c>
      <c r="F21" t="s">
        <v>20</v>
      </c>
      <c r="G21" t="s">
        <v>124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46160</v>
      </c>
      <c r="B22" t="s">
        <v>68</v>
      </c>
      <c r="C22" s="6" t="s">
        <v>125</v>
      </c>
      <c r="D22" t="s">
        <v>12</v>
      </c>
      <c r="E22" t="s">
        <v>10</v>
      </c>
      <c r="F22" t="s">
        <v>10</v>
      </c>
      <c r="G22" t="s">
        <v>81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5">
        <v>46160</v>
      </c>
      <c r="B23" t="s">
        <v>68</v>
      </c>
      <c r="C23" s="6" t="s">
        <v>126</v>
      </c>
      <c r="D23" t="s">
        <v>12</v>
      </c>
      <c r="E23" t="s">
        <v>14</v>
      </c>
      <c r="F23" t="s">
        <v>14</v>
      </c>
      <c r="G23" t="s">
        <v>127</v>
      </c>
      <c r="H23" t="s">
        <v>72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46160</v>
      </c>
      <c r="B24" t="s">
        <v>68</v>
      </c>
      <c r="C24" s="6" t="s">
        <v>128</v>
      </c>
      <c r="D24" t="s">
        <v>12</v>
      </c>
      <c r="E24" t="s">
        <v>10</v>
      </c>
      <c r="F24" t="s">
        <v>10</v>
      </c>
      <c r="G24" t="s">
        <v>81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46160</v>
      </c>
      <c r="B25" t="s">
        <v>68</v>
      </c>
      <c r="C25" s="6" t="s">
        <v>129</v>
      </c>
      <c r="D25" t="s">
        <v>9</v>
      </c>
      <c r="E25" t="s">
        <v>10</v>
      </c>
      <c r="F25" t="s">
        <v>10</v>
      </c>
      <c r="G25" t="s">
        <v>71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46160</v>
      </c>
      <c r="B26" t="s">
        <v>68</v>
      </c>
      <c r="C26" s="6" t="s">
        <v>130</v>
      </c>
      <c r="D26" t="s">
        <v>12</v>
      </c>
      <c r="E26" t="s">
        <v>14</v>
      </c>
      <c r="F26" t="s">
        <v>14</v>
      </c>
      <c r="G26" t="s">
        <v>131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46160</v>
      </c>
      <c r="B27" t="s">
        <v>68</v>
      </c>
      <c r="C27" s="6" t="s">
        <v>132</v>
      </c>
      <c r="D27" t="s">
        <v>12</v>
      </c>
      <c r="E27" t="s">
        <v>10</v>
      </c>
      <c r="F27" t="s">
        <v>10</v>
      </c>
      <c r="G27" t="s">
        <v>81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46160</v>
      </c>
      <c r="B28" t="s">
        <v>68</v>
      </c>
      <c r="C28" s="6" t="s">
        <v>133</v>
      </c>
      <c r="D28" t="s">
        <v>12</v>
      </c>
      <c r="E28" t="s">
        <v>59</v>
      </c>
      <c r="F28" t="s">
        <v>59</v>
      </c>
      <c r="G28" t="s">
        <v>134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46160</v>
      </c>
      <c r="B29" t="s">
        <v>68</v>
      </c>
      <c r="C29" s="6" t="s">
        <v>135</v>
      </c>
      <c r="D29" t="s">
        <v>13</v>
      </c>
      <c r="E29" t="s">
        <v>16</v>
      </c>
      <c r="F29" t="s">
        <v>16</v>
      </c>
      <c r="G29" t="s">
        <v>136</v>
      </c>
      <c r="H29" t="s">
        <v>72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46160</v>
      </c>
      <c r="B30" t="s">
        <v>68</v>
      </c>
      <c r="C30" s="6" t="s">
        <v>137</v>
      </c>
      <c r="D30" t="s">
        <v>12</v>
      </c>
      <c r="E30" t="s">
        <v>16</v>
      </c>
      <c r="F30" t="s">
        <v>16</v>
      </c>
      <c r="G30" t="s">
        <v>89</v>
      </c>
      <c r="H30" t="s">
        <v>11</v>
      </c>
      <c r="I30" t="str">
        <f>_xlfn.XLOOKUP(Tabla1[[#This Row],[Dependencia]],Tabla2[Dependencia],Tabla2[Clasificación],"No indexado")</f>
        <v>Alcaldías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46160</v>
      </c>
      <c r="B31" t="s">
        <v>68</v>
      </c>
      <c r="C31" s="6" t="s">
        <v>138</v>
      </c>
      <c r="D31" t="s">
        <v>12</v>
      </c>
      <c r="E31" t="s">
        <v>14</v>
      </c>
      <c r="F31" t="s">
        <v>14</v>
      </c>
      <c r="G31" t="s">
        <v>139</v>
      </c>
      <c r="H31" t="s">
        <v>72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5">
        <v>46160</v>
      </c>
      <c r="B32" t="s">
        <v>68</v>
      </c>
      <c r="C32" s="6" t="s">
        <v>140</v>
      </c>
      <c r="D32" t="s">
        <v>9</v>
      </c>
      <c r="E32" t="s">
        <v>10</v>
      </c>
      <c r="F32" t="s">
        <v>10</v>
      </c>
      <c r="G32" t="s">
        <v>71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60" x14ac:dyDescent="0.25">
      <c r="A33" s="5">
        <v>46160</v>
      </c>
      <c r="B33" t="s">
        <v>68</v>
      </c>
      <c r="C33" s="6" t="s">
        <v>141</v>
      </c>
      <c r="D33" t="s">
        <v>12</v>
      </c>
      <c r="E33" t="s">
        <v>62</v>
      </c>
      <c r="F33" t="s">
        <v>142</v>
      </c>
      <c r="G33" t="s">
        <v>143</v>
      </c>
      <c r="H33" t="s">
        <v>11</v>
      </c>
      <c r="I33" t="str">
        <f>_xlfn.XLOOKUP(Tabla1[[#This Row],[Dependencia]],Tabla2[Dependencia],Tabla2[Clasificación],"No indexado")</f>
        <v>Sucesión gubernamental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46160</v>
      </c>
      <c r="B34" t="s">
        <v>78</v>
      </c>
      <c r="C34" s="6" t="s">
        <v>144</v>
      </c>
      <c r="D34" t="s">
        <v>13</v>
      </c>
      <c r="E34" t="s">
        <v>16</v>
      </c>
      <c r="F34" t="s">
        <v>145</v>
      </c>
      <c r="G34" t="s">
        <v>89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46160</v>
      </c>
      <c r="B35" t="s">
        <v>78</v>
      </c>
      <c r="C35" s="6" t="s">
        <v>146</v>
      </c>
      <c r="D35" t="s">
        <v>12</v>
      </c>
      <c r="E35" t="s">
        <v>16</v>
      </c>
      <c r="F35" t="s">
        <v>16</v>
      </c>
      <c r="G35" t="s">
        <v>147</v>
      </c>
      <c r="H35" t="s">
        <v>11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46160</v>
      </c>
      <c r="B36" t="s">
        <v>78</v>
      </c>
      <c r="C36" s="6" t="s">
        <v>148</v>
      </c>
      <c r="D36" t="s">
        <v>12</v>
      </c>
      <c r="E36" t="s">
        <v>10</v>
      </c>
      <c r="F36" t="s">
        <v>10</v>
      </c>
      <c r="G36" t="s">
        <v>81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46160</v>
      </c>
      <c r="B37" t="s">
        <v>78</v>
      </c>
      <c r="C37" s="6" t="s">
        <v>149</v>
      </c>
      <c r="D37" t="s">
        <v>12</v>
      </c>
      <c r="E37" t="s">
        <v>61</v>
      </c>
      <c r="F37" t="s">
        <v>61</v>
      </c>
      <c r="G37" t="s">
        <v>150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46160</v>
      </c>
      <c r="B38" t="s">
        <v>73</v>
      </c>
      <c r="C38" s="6" t="s">
        <v>151</v>
      </c>
      <c r="D38" t="s">
        <v>13</v>
      </c>
      <c r="E38" t="s">
        <v>26</v>
      </c>
      <c r="F38" t="s">
        <v>2</v>
      </c>
      <c r="G38" t="s">
        <v>152</v>
      </c>
      <c r="H38" t="s">
        <v>70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46160</v>
      </c>
      <c r="B39" t="s">
        <v>73</v>
      </c>
      <c r="C39" s="6" t="s">
        <v>153</v>
      </c>
      <c r="D39" t="s">
        <v>12</v>
      </c>
      <c r="E39" t="s">
        <v>16</v>
      </c>
      <c r="F39" t="s">
        <v>16</v>
      </c>
      <c r="G39" t="s">
        <v>154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46160</v>
      </c>
      <c r="B40" t="s">
        <v>73</v>
      </c>
      <c r="C40" s="6" t="s">
        <v>155</v>
      </c>
      <c r="D40" t="s">
        <v>12</v>
      </c>
      <c r="E40" t="s">
        <v>16</v>
      </c>
      <c r="F40" t="s">
        <v>16</v>
      </c>
      <c r="G40" t="s">
        <v>156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46160</v>
      </c>
      <c r="B41" t="s">
        <v>73</v>
      </c>
      <c r="C41" s="6" t="s">
        <v>157</v>
      </c>
      <c r="D41" t="s">
        <v>12</v>
      </c>
      <c r="E41" t="s">
        <v>16</v>
      </c>
      <c r="F41" t="s">
        <v>16</v>
      </c>
      <c r="G41" t="s">
        <v>81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46160</v>
      </c>
      <c r="B42" t="s">
        <v>73</v>
      </c>
      <c r="C42" s="6" t="s">
        <v>158</v>
      </c>
      <c r="D42" t="s">
        <v>12</v>
      </c>
      <c r="E42" t="s">
        <v>20</v>
      </c>
      <c r="F42" t="s">
        <v>20</v>
      </c>
      <c r="G42" t="s">
        <v>159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5">
        <v>46160</v>
      </c>
      <c r="B43" t="s">
        <v>75</v>
      </c>
      <c r="C43" s="6" t="s">
        <v>160</v>
      </c>
      <c r="D43" t="s">
        <v>9</v>
      </c>
      <c r="E43" t="s">
        <v>16</v>
      </c>
      <c r="F43" t="s">
        <v>145</v>
      </c>
      <c r="G43" t="s">
        <v>89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46160</v>
      </c>
      <c r="B44" t="s">
        <v>75</v>
      </c>
      <c r="C44" s="6" t="s">
        <v>161</v>
      </c>
      <c r="D44" t="s">
        <v>13</v>
      </c>
      <c r="E44" t="s">
        <v>35</v>
      </c>
      <c r="F44" t="s">
        <v>35</v>
      </c>
      <c r="G44" t="s">
        <v>162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46160</v>
      </c>
      <c r="B45" t="s">
        <v>75</v>
      </c>
      <c r="C45" s="6" t="s">
        <v>163</v>
      </c>
      <c r="D45" t="s">
        <v>12</v>
      </c>
      <c r="E45" t="s">
        <v>18</v>
      </c>
      <c r="F45" t="s">
        <v>18</v>
      </c>
      <c r="G45" t="s">
        <v>164</v>
      </c>
      <c r="H45" t="s">
        <v>11</v>
      </c>
      <c r="I45" t="str">
        <f>_xlfn.XLOOKUP(Tabla1[[#This Row],[Dependencia]],Tabla2[Dependencia],Tabla2[Clasificación],"No indexado")</f>
        <v>Partidos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46160</v>
      </c>
      <c r="B46" t="s">
        <v>75</v>
      </c>
      <c r="C46" s="6" t="s">
        <v>165</v>
      </c>
      <c r="D46" t="s">
        <v>12</v>
      </c>
      <c r="E46" t="s">
        <v>10</v>
      </c>
      <c r="F46" t="s">
        <v>10</v>
      </c>
      <c r="G46" t="s">
        <v>166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46160</v>
      </c>
      <c r="B47" t="s">
        <v>75</v>
      </c>
      <c r="C47" s="6" t="s">
        <v>167</v>
      </c>
      <c r="D47" t="s">
        <v>12</v>
      </c>
      <c r="E47" t="s">
        <v>34</v>
      </c>
      <c r="F47" t="s">
        <v>168</v>
      </c>
      <c r="G47" t="s">
        <v>169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x14ac:dyDescent="0.25">
      <c r="A48" s="5">
        <v>46160</v>
      </c>
      <c r="B48" t="s">
        <v>79</v>
      </c>
      <c r="C48" s="6" t="s">
        <v>170</v>
      </c>
      <c r="D48" t="s">
        <v>82</v>
      </c>
      <c r="E48" t="s">
        <v>10</v>
      </c>
      <c r="F48" t="s">
        <v>10</v>
      </c>
      <c r="G48" t="s">
        <v>81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46160</v>
      </c>
      <c r="B49" t="s">
        <v>79</v>
      </c>
      <c r="C49" s="6" t="s">
        <v>171</v>
      </c>
      <c r="D49" t="s">
        <v>12</v>
      </c>
      <c r="E49" t="s">
        <v>16</v>
      </c>
      <c r="F49" t="s">
        <v>16</v>
      </c>
      <c r="G49" t="s">
        <v>172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5">
        <v>46160</v>
      </c>
      <c r="B50" t="s">
        <v>79</v>
      </c>
      <c r="C50" s="6" t="s">
        <v>173</v>
      </c>
      <c r="D50" t="s">
        <v>13</v>
      </c>
      <c r="E50" t="s">
        <v>10</v>
      </c>
      <c r="F50" t="s">
        <v>10</v>
      </c>
      <c r="G50" t="s">
        <v>71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45" x14ac:dyDescent="0.25">
      <c r="A51" s="5">
        <v>46160</v>
      </c>
      <c r="B51" t="s">
        <v>79</v>
      </c>
      <c r="C51" s="6" t="s">
        <v>174</v>
      </c>
      <c r="D51" t="s">
        <v>12</v>
      </c>
      <c r="E51" t="s">
        <v>16</v>
      </c>
      <c r="F51" t="s">
        <v>16</v>
      </c>
      <c r="G51" t="s">
        <v>89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46160</v>
      </c>
      <c r="B52" t="s">
        <v>79</v>
      </c>
      <c r="C52" s="6" t="s">
        <v>175</v>
      </c>
      <c r="D52" t="s">
        <v>12</v>
      </c>
      <c r="E52" t="s">
        <v>10</v>
      </c>
      <c r="F52" t="s">
        <v>10</v>
      </c>
      <c r="G52" t="s">
        <v>88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46160</v>
      </c>
      <c r="B53" t="s">
        <v>79</v>
      </c>
      <c r="C53" s="6" t="s">
        <v>176</v>
      </c>
      <c r="D53" t="s">
        <v>12</v>
      </c>
      <c r="E53" t="s">
        <v>54</v>
      </c>
      <c r="F53" t="s">
        <v>54</v>
      </c>
      <c r="G53" t="s">
        <v>177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5">
        <v>46160</v>
      </c>
      <c r="B54" t="s">
        <v>79</v>
      </c>
      <c r="C54" s="6" t="s">
        <v>178</v>
      </c>
      <c r="D54" t="s">
        <v>12</v>
      </c>
      <c r="E54" t="s">
        <v>10</v>
      </c>
      <c r="F54" t="s">
        <v>10</v>
      </c>
      <c r="G54" t="s">
        <v>81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46160</v>
      </c>
      <c r="B55" t="s">
        <v>79</v>
      </c>
      <c r="C55" s="6" t="s">
        <v>179</v>
      </c>
      <c r="D55" t="s">
        <v>12</v>
      </c>
      <c r="E55" t="s">
        <v>16</v>
      </c>
      <c r="F55" t="s">
        <v>16</v>
      </c>
      <c r="G55" t="s">
        <v>180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46160</v>
      </c>
      <c r="B56" t="s">
        <v>83</v>
      </c>
      <c r="C56" s="6" t="s">
        <v>181</v>
      </c>
      <c r="D56" t="s">
        <v>13</v>
      </c>
      <c r="E56" t="s">
        <v>16</v>
      </c>
      <c r="F56" t="s">
        <v>182</v>
      </c>
      <c r="G56" t="s">
        <v>89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46160</v>
      </c>
      <c r="B57" t="s">
        <v>83</v>
      </c>
      <c r="C57" s="6" t="s">
        <v>183</v>
      </c>
      <c r="D57" t="s">
        <v>12</v>
      </c>
      <c r="E57" t="s">
        <v>54</v>
      </c>
      <c r="F57" t="s">
        <v>54</v>
      </c>
      <c r="G57" t="s">
        <v>177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5">
        <v>46160</v>
      </c>
      <c r="B58" t="s">
        <v>83</v>
      </c>
      <c r="C58" s="6" t="s">
        <v>184</v>
      </c>
      <c r="D58" t="s">
        <v>12</v>
      </c>
      <c r="E58" t="s">
        <v>10</v>
      </c>
      <c r="F58" t="s">
        <v>10</v>
      </c>
      <c r="G58" t="s">
        <v>116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46160</v>
      </c>
      <c r="B59" t="s">
        <v>83</v>
      </c>
      <c r="C59" s="6" t="s">
        <v>185</v>
      </c>
      <c r="D59" t="s">
        <v>12</v>
      </c>
      <c r="E59" t="s">
        <v>10</v>
      </c>
      <c r="F59" t="s">
        <v>10</v>
      </c>
      <c r="G59" t="s">
        <v>71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46160</v>
      </c>
      <c r="B60" t="s">
        <v>83</v>
      </c>
      <c r="C60" s="6" t="s">
        <v>151</v>
      </c>
      <c r="D60" t="s">
        <v>12</v>
      </c>
      <c r="E60" t="s">
        <v>26</v>
      </c>
      <c r="F60" t="s">
        <v>26</v>
      </c>
      <c r="G60" t="s">
        <v>152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5">
        <v>46160</v>
      </c>
      <c r="B61" t="s">
        <v>83</v>
      </c>
      <c r="C61" s="6" t="s">
        <v>84</v>
      </c>
      <c r="D61" t="s">
        <v>85</v>
      </c>
      <c r="E61" t="s">
        <v>16</v>
      </c>
      <c r="F61" t="s">
        <v>16</v>
      </c>
      <c r="G61" t="s">
        <v>89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x14ac:dyDescent="0.25">
      <c r="A62" s="5">
        <v>46160</v>
      </c>
      <c r="B62" t="s">
        <v>80</v>
      </c>
      <c r="C62" s="6" t="s">
        <v>186</v>
      </c>
      <c r="D62" t="s">
        <v>13</v>
      </c>
      <c r="E62" t="s">
        <v>10</v>
      </c>
      <c r="F62" t="s">
        <v>10</v>
      </c>
      <c r="G62" t="s">
        <v>116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46160</v>
      </c>
      <c r="B63" t="s">
        <v>80</v>
      </c>
      <c r="C63" s="6" t="s">
        <v>187</v>
      </c>
      <c r="D63" t="s">
        <v>12</v>
      </c>
      <c r="E63" t="s">
        <v>10</v>
      </c>
      <c r="F63" t="s">
        <v>10</v>
      </c>
      <c r="G63" t="s">
        <v>71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ht="75" x14ac:dyDescent="0.25">
      <c r="A64" s="5">
        <v>46160</v>
      </c>
      <c r="B64" t="s">
        <v>80</v>
      </c>
      <c r="C64" s="6" t="s">
        <v>188</v>
      </c>
      <c r="D64" t="s">
        <v>76</v>
      </c>
      <c r="E64" t="s">
        <v>14</v>
      </c>
      <c r="F64" t="s">
        <v>14</v>
      </c>
      <c r="G64" t="s">
        <v>189</v>
      </c>
      <c r="H64" t="s">
        <v>11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  <row r="65" spans="1:10" ht="30" x14ac:dyDescent="0.25">
      <c r="A65" s="5">
        <v>46160</v>
      </c>
      <c r="B65" t="s">
        <v>80</v>
      </c>
      <c r="C65" s="6" t="s">
        <v>190</v>
      </c>
      <c r="D65" t="s">
        <v>12</v>
      </c>
      <c r="E65" t="s">
        <v>14</v>
      </c>
      <c r="F65" t="s">
        <v>14</v>
      </c>
      <c r="G65" t="s">
        <v>189</v>
      </c>
      <c r="H65" t="s">
        <v>72</v>
      </c>
      <c r="I65" t="str">
        <f>_xlfn.XLOOKUP(Tabla1[[#This Row],[Dependencia]],Tabla2[Dependencia],Tabla2[Clasificación],"No indexado")</f>
        <v>Presidencia de la República</v>
      </c>
      <c r="J65" t="str">
        <f>_xlfn.XLOOKUP(Tabla1[[#This Row],[Dependencia]],Tabla3[Dependencia],Tabla3[Nivel],"otros",0)</f>
        <v>otros</v>
      </c>
    </row>
    <row r="66" spans="1:10" ht="30" x14ac:dyDescent="0.25">
      <c r="A66" s="5">
        <v>46160</v>
      </c>
      <c r="B66" t="s">
        <v>80</v>
      </c>
      <c r="C66" s="6" t="s">
        <v>191</v>
      </c>
      <c r="D66" t="s">
        <v>12</v>
      </c>
      <c r="E66" t="s">
        <v>29</v>
      </c>
      <c r="F66" t="s">
        <v>118</v>
      </c>
      <c r="G66" t="s">
        <v>119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66</v>
      </c>
    </row>
    <row r="2" spans="1:5" x14ac:dyDescent="0.25">
      <c r="A2" t="s">
        <v>62</v>
      </c>
      <c r="B2" t="s">
        <v>63</v>
      </c>
      <c r="D2" s="10" t="s">
        <v>19</v>
      </c>
      <c r="E2" t="s">
        <v>67</v>
      </c>
    </row>
    <row r="3" spans="1:5" x14ac:dyDescent="0.25">
      <c r="A3" t="s">
        <v>16</v>
      </c>
      <c r="B3" t="s">
        <v>31</v>
      </c>
      <c r="D3" s="9" t="s">
        <v>33</v>
      </c>
      <c r="E3" t="s">
        <v>67</v>
      </c>
    </row>
    <row r="4" spans="1:5" x14ac:dyDescent="0.25">
      <c r="A4" t="s">
        <v>19</v>
      </c>
      <c r="B4" t="s">
        <v>32</v>
      </c>
      <c r="D4" s="9" t="s">
        <v>35</v>
      </c>
      <c r="E4" t="s">
        <v>67</v>
      </c>
    </row>
    <row r="5" spans="1:5" x14ac:dyDescent="0.25">
      <c r="A5" t="s">
        <v>61</v>
      </c>
      <c r="B5" t="s">
        <v>10</v>
      </c>
      <c r="D5" s="10" t="s">
        <v>28</v>
      </c>
      <c r="E5" t="s">
        <v>67</v>
      </c>
    </row>
    <row r="6" spans="1:5" x14ac:dyDescent="0.25">
      <c r="A6" t="s">
        <v>33</v>
      </c>
      <c r="B6" t="s">
        <v>32</v>
      </c>
      <c r="D6" s="10" t="s">
        <v>36</v>
      </c>
      <c r="E6" t="s">
        <v>67</v>
      </c>
    </row>
    <row r="7" spans="1:5" x14ac:dyDescent="0.25">
      <c r="A7" t="s">
        <v>34</v>
      </c>
      <c r="B7" t="s">
        <v>10</v>
      </c>
      <c r="D7" s="9" t="s">
        <v>37</v>
      </c>
      <c r="E7" t="s">
        <v>67</v>
      </c>
    </row>
    <row r="8" spans="1:5" x14ac:dyDescent="0.25">
      <c r="A8" t="s">
        <v>35</v>
      </c>
      <c r="B8" t="s">
        <v>32</v>
      </c>
      <c r="D8" s="9" t="s">
        <v>37</v>
      </c>
      <c r="E8" t="s">
        <v>67</v>
      </c>
    </row>
    <row r="9" spans="1:5" x14ac:dyDescent="0.25">
      <c r="A9" t="s">
        <v>28</v>
      </c>
      <c r="B9" t="s">
        <v>32</v>
      </c>
      <c r="D9" s="9" t="s">
        <v>38</v>
      </c>
      <c r="E9" t="s">
        <v>67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2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2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2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2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2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2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2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2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2026-05-18T15:40:43Z</dcterms:modified>
</cp:coreProperties>
</file>