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45C5340E-967A-4930-98E3-535A18369738}" xr6:coauthVersionLast="47" xr6:coauthVersionMax="47" xr10:uidLastSave="{00000000-0000-0000-0000-000000000000}"/>
  <bookViews>
    <workbookView xWindow="-120" yWindow="-120" windowWidth="29040" windowHeight="1572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</calcChain>
</file>

<file path=xl/sharedStrings.xml><?xml version="1.0" encoding="utf-8"?>
<sst xmlns="http://schemas.openxmlformats.org/spreadsheetml/2006/main" count="702" uniqueCount="199">
  <si>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</si>
  <si>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</si>
  <si>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</si>
  <si>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</si>
  <si>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</si>
  <si>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</si>
  <si>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</si>
  <si>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</si>
  <si>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</si>
  <si>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</si>
  <si>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</si>
  <si>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</si>
  <si>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</si>
  <si>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</si>
  <si>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</si>
  <si>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</si>
  <si>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</si>
  <si>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</si>
  <si>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</si>
  <si>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</si>
  <si>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</si>
  <si>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</si>
  <si>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</si>
  <si>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</si>
  <si>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</si>
  <si>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</si>
  <si>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</si>
  <si>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</si>
  <si>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</si>
  <si>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</si>
  <si>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</si>
  <si>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</si>
  <si>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</si>
  <si>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</si>
  <si>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</si>
  <si>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</si>
  <si>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</si>
  <si>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</si>
  <si>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</si>
  <si>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</si>
  <si>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</si>
  <si>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</si>
  <si>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</si>
  <si>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</si>
  <si>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</si>
  <si>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</si>
  <si>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</si>
  <si>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</si>
  <si>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</si>
  <si>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</si>
  <si>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</si>
  <si>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</si>
  <si>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</si>
  <si>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</si>
  <si>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</si>
  <si>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</si>
  <si>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</si>
  <si>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</si>
  <si>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</si>
  <si>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</si>
  <si>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</si>
  <si>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</si>
  <si>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</si>
  <si>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</si>
  <si>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</si>
  <si>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</si>
  <si>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</si>
  <si>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</si>
  <si>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</si>
  <si>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</si>
  <si>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</si>
  <si>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</si>
  <si>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</si>
  <si>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</si>
  <si>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</si>
  <si>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</si>
  <si>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</si>
  <si>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La Jornada Hidalgo</t>
  </si>
  <si>
    <t>Publicidad</t>
  </si>
  <si>
    <t>El Sol de Hidalgo</t>
  </si>
  <si>
    <t>Marfeca</t>
  </si>
  <si>
    <t>Cintillo</t>
  </si>
  <si>
    <t>Prevención cáncer de mama</t>
  </si>
  <si>
    <t>Alcalde</t>
  </si>
  <si>
    <t>Comparecencias</t>
  </si>
  <si>
    <t>Editorial</t>
  </si>
  <si>
    <t>Cuenta de Recurso editorial</t>
  </si>
  <si>
    <t>Etiquetas de fila</t>
  </si>
  <si>
    <t>Total general</t>
  </si>
  <si>
    <t>Effetá</t>
  </si>
  <si>
    <t>Pachuca Brilla</t>
  </si>
  <si>
    <t>Temas internacionales</t>
  </si>
  <si>
    <t>Videovigilancia</t>
  </si>
  <si>
    <t>Apps de transporte</t>
  </si>
  <si>
    <t>MUERTE DE EMPLEADO</t>
  </si>
  <si>
    <t>Intervención extranjera</t>
  </si>
  <si>
    <t>Recuerda: la detección temprana salva vidas</t>
  </si>
  <si>
    <t>Comerciantes exigen se otorguen espacios dignos</t>
  </si>
  <si>
    <t>Ordenamiento ambulantaje</t>
  </si>
  <si>
    <t>Cuestionan cláusula de la tesorería</t>
  </si>
  <si>
    <t>Presupuesto De Egresos</t>
  </si>
  <si>
    <t>Genoveva, centinela del Cempasúchil</t>
  </si>
  <si>
    <t>Día De Muertos</t>
  </si>
  <si>
    <t>Detienen a implicado en el caso de CFE</t>
  </si>
  <si>
    <t>FGR</t>
  </si>
  <si>
    <t>Detención</t>
  </si>
  <si>
    <t>NQ ayuda al cuidado de mascotas</t>
  </si>
  <si>
    <t>Bienestar Animal</t>
  </si>
  <si>
    <t>Piden más agua y mejoras en la atención médica</t>
  </si>
  <si>
    <t>Mesas de acercamiento</t>
  </si>
  <si>
    <t>Pemex entrega apoyos para la infraestructura</t>
  </si>
  <si>
    <t>Donación Pemex</t>
  </si>
  <si>
    <t>Limpian de marchantas el antiguo palacio</t>
  </si>
  <si>
    <t>Destinan 2.7 mil mdp para obras educativas</t>
  </si>
  <si>
    <t>Dona Pemex 654 mdp a Hidalgo en apoyos</t>
  </si>
  <si>
    <t>Preparan una demanda contra Uber</t>
  </si>
  <si>
    <t>Delinean ruta de candidaturas comunes</t>
  </si>
  <si>
    <t>Omiten 59 ediles programas de desarrollo urbano</t>
  </si>
  <si>
    <t>Prohibido fallar</t>
  </si>
  <si>
    <t>Marcan el paso en champions</t>
  </si>
  <si>
    <t>Consolida la SEPH edificación de 64 Telebachilleratos</t>
  </si>
  <si>
    <t>En 13 años, han fallecido 10 en derrumbes del sector minero</t>
  </si>
  <si>
    <t>Taxistas: es ""capricho"" el que ya opere Uber</t>
  </si>
  <si>
    <t>Reformas con impugnaciones podrían tener error, admiten</t>
  </si>
  <si>
    <t>Reforma De Ley</t>
  </si>
  <si>
    <t>Ve el PAZ falta de experiencia en permisos a los cabildos</t>
  </si>
  <si>
    <t>Reforma a contrataciones municipales</t>
  </si>
  <si>
    <t>Prepara el gobierno de Hidalgo acciones penales contra Uber</t>
  </si>
  <si>
    <t>Impulsa SEPH obras y calidad educativa</t>
  </si>
  <si>
    <t>Participa ciudadanía en plan de desarrollo de la ZMVM</t>
  </si>
  <si>
    <t>Pemex aporta insumos para descontaminar</t>
  </si>
  <si>
    <t>Pemex</t>
  </si>
  <si>
    <t>El mandatario encabezó la recepción de apoyos por parte de Pemex, que en su gestión suman más de 654 mdp</t>
  </si>
  <si>
    <t>Más de 19 mil hectáreas de bosque se han restaurado</t>
  </si>
  <si>
    <t>Restauración ecológica</t>
  </si>
  <si>
    <t>Invita IMSS a detectar la osteoporosis a tiempo</t>
  </si>
  <si>
    <t>IMSS</t>
  </si>
  <si>
    <t>Prevención De Enfermedades</t>
  </si>
  <si>
    <t>Nuevo orden mundial: China es el rival económico y militar de EU</t>
  </si>
  <si>
    <t>Como instructores de drones y sin permiso entraron los de la CIA</t>
  </si>
  <si>
    <t>Conectan con el Centro de Inteligencia a la Guardia</t>
  </si>
  <si>
    <t>GN</t>
  </si>
  <si>
    <t>Manufactura tuvo su mayor alza en tres años reporta el Inegi</t>
  </si>
  <si>
    <t>Índice De Actividad Industrial</t>
  </si>
  <si>
    <t>Gobierno local consigue más de 654 millones en donaciones de Pemex</t>
  </si>
  <si>
    <t>Ejecutivo estatal alista denuncia contra Uber por operar sin permiso: En la entidad  hay saturación del  transporte público,  reconoció. La coordinación  jurídica integra  una carpeta,  reveló Menchaca. Recordó que  la legislación penal  establece sanciones  a choferes.</t>
  </si>
  <si>
    <t>Niega Claudia Sheinbaum pacto con Maru Campos</t>
  </si>
  <si>
    <t>Más de 148 mdp para atender daños por vaguada</t>
  </si>
  <si>
    <t>¿Quién quiere gestar cuando no se tiene un trabajo con un salario digno  y seguridad social, o cuando las personas se están endeudando para  sobrevivir? ¿Por qué traeríamos al mundo a personas que enfrentarán  graves crisis hídricas y climáticas?”</t>
  </si>
  <si>
    <t>Dinámica demográfica</t>
  </si>
  <si>
    <t>Fortalecen infraestructura pública de Hidalgo con apoyo de Pemex</t>
  </si>
  <si>
    <t>Alista Gobierno de Hidalgo denuncia contra Uber</t>
  </si>
  <si>
    <t>Suman 148.7 mdp destinados a escuelas afectadas por la vaguada monzónica</t>
  </si>
  <si>
    <t>Reubican a comerciantes del centro de Pachuca por obras en la Escuela de Música</t>
  </si>
  <si>
    <t>Encuentran dos hombres muertos en igual número de moteles</t>
  </si>
  <si>
    <t>Localización de cuerpo</t>
  </si>
  <si>
    <t>Pemex ha invertido 654 mdp en Hidalgo en esta adiministración</t>
  </si>
  <si>
    <t>Sin respuestas de Serrano Rivera a preguntas de diputados</t>
  </si>
  <si>
    <t>Reportaron saldo blanco al concluir la Feria San Francisco Pachuca</t>
  </si>
  <si>
    <t>Feria Pachuca</t>
  </si>
  <si>
    <t>Hidalgo, octavo lugar en eficiencia terminal educativa</t>
  </si>
  <si>
    <t>Eficiencia terminal</t>
  </si>
  <si>
    <t>Conectarán Guardia Nacional con central de inteligencia criminal</t>
  </si>
  <si>
    <t>Pachuca, cuarta metrópoli del país donde más tiempo se pierde en el tráfico: IMCO: Usuarios del transporte público, los más afectados</t>
  </si>
  <si>
    <t>Movilidad urbana</t>
  </si>
  <si>
    <t>Gobierno de Hidalgo prepara denuncia penal contra Uber</t>
  </si>
  <si>
    <t>Botín político"": SEPH señala a Roberto Azpeitia de usar a El Mexe en intereses personales</t>
  </si>
  <si>
    <t>Hidalgo supera los 380 mil casos de infecciones respiratorias</t>
  </si>
  <si>
    <t>Vigilancia Epidemiológica</t>
  </si>
  <si>
    <t>Cinco marchas de la UAEH paralizarán el Centro de Pachuca este miércoles</t>
  </si>
  <si>
    <t>Autonomía</t>
  </si>
  <si>
    <t>Pemex entrega otros 78.5 millones en apoyos a Hidalgo</t>
  </si>
  <si>
    <t>Alista gobierno de Hidalgo denuncia penal contra Uber</t>
  </si>
  <si>
    <t>Secretario de Gobierno podría supervisar que elección de delegado de San Ildefonso se realice con usos y costumbres</t>
  </si>
  <si>
    <t>Elección de delegados</t>
  </si>
  <si>
    <t>Menchaca Salazar logra gestión histórica ante Pemex por más de 654 millones de pesos</t>
  </si>
  <si>
    <t>Con inversión superior a 7 mdp, Yocelín Tovar inicia rehabilitación integral de 2 calles</t>
  </si>
  <si>
    <t>Rehabilitación Vial</t>
  </si>
  <si>
    <t>Tere Olivares inicia obra en calle Ignacio Altamirano</t>
  </si>
  <si>
    <t>Ejecución de obras</t>
  </si>
  <si>
    <t>Claudia Sandoival fortalece trabajo conjunto con gobierno estatal y empresarios para impulsar Atitalaquia</t>
  </si>
  <si>
    <t>Coordinación entre poderes</t>
  </si>
  <si>
    <t>Relleno de Siete Mezquites sigue suspendido; analizan tres predios alternativos</t>
  </si>
  <si>
    <t>Relleno Sanitario</t>
  </si>
  <si>
    <t>Realiza ISSSTE Hidalgo 300 mastografías</t>
  </si>
  <si>
    <t>ISSSTE</t>
  </si>
  <si>
    <t>Miguel Tello recorre colonias de Pachuca</t>
  </si>
  <si>
    <t>Apoyos al campo impulsan la productividad de ocho municipios de la Sierra y Huasteca</t>
  </si>
  <si>
    <t>Apoyo Al Agro</t>
  </si>
  <si>
    <t>Fortalecen el campo y la infraestructura en Ajacuba con obras de capacitación</t>
  </si>
  <si>
    <t>Vacante operador quinta rueda</t>
  </si>
  <si>
    <t>Publicidad comercial</t>
  </si>
  <si>
    <t>Julio Menchaca logra gestión histórica ante Pemex por más de 654 millones de pesos</t>
  </si>
  <si>
    <t>Tuzos y Cruz Azul se enfrentan en el Clásico Hidalguense</t>
  </si>
  <si>
    <t>Hidalgo consolida liderazgo en indicadores educativos a nivel nacional: SEPH</t>
  </si>
  <si>
    <t>Preparación penal contra Uber por intentar operar en la entidad</t>
  </si>
  <si>
    <t>Fortalecen la planeación estatal con participación, evaluación e innovación</t>
  </si>
  <si>
    <t>Hidalgo tiene algo... descubre en cada página</t>
  </si>
  <si>
    <t>Promoción turística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</si>
</sst>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2" totalsRowShown="0" headerRowDxfId="7" headerRowBorderDxfId="6">
  <autoFilter ref="A1:J72" xr:uid="{5593606E-308D-4113-AE3C-6E714B763B6E}"/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87</v>
      </c>
      <c r="B4" t="s">
        <v>86</v>
      </c>
    </row>
    <row r="5" spans="1:2" x14ac:dyDescent="0.25">
      <c r="A5" s="13" t="s">
        <v>71</v>
      </c>
      <c r="B5">
        <v>7</v>
      </c>
    </row>
    <row r="6" spans="1:2" x14ac:dyDescent="0.25">
      <c r="A6" s="14" t="s">
        <v>9</v>
      </c>
      <c r="B6">
        <v>1</v>
      </c>
    </row>
    <row r="7" spans="1:2" x14ac:dyDescent="0.25">
      <c r="A7" s="14" t="s">
        <v>12</v>
      </c>
      <c r="B7">
        <v>5</v>
      </c>
    </row>
    <row r="8" spans="1:2" x14ac:dyDescent="0.25">
      <c r="A8" s="14" t="s">
        <v>13</v>
      </c>
      <c r="B8">
        <v>1</v>
      </c>
    </row>
    <row r="9" spans="1:2" x14ac:dyDescent="0.25">
      <c r="A9" s="13" t="s">
        <v>79</v>
      </c>
      <c r="B9">
        <v>6</v>
      </c>
    </row>
    <row r="10" spans="1:2" x14ac:dyDescent="0.25">
      <c r="A10" s="14" t="s">
        <v>9</v>
      </c>
      <c r="B10">
        <v>1</v>
      </c>
    </row>
    <row r="11" spans="1:2" x14ac:dyDescent="0.25">
      <c r="A11" s="14" t="s">
        <v>12</v>
      </c>
      <c r="B11">
        <v>4</v>
      </c>
    </row>
    <row r="12" spans="1:2" x14ac:dyDescent="0.25">
      <c r="A12" s="14" t="s">
        <v>13</v>
      </c>
      <c r="B12">
        <v>1</v>
      </c>
    </row>
    <row r="13" spans="1:2" x14ac:dyDescent="0.25">
      <c r="A13" s="13" t="s">
        <v>69</v>
      </c>
      <c r="B13">
        <v>6</v>
      </c>
    </row>
    <row r="14" spans="1:2" x14ac:dyDescent="0.25">
      <c r="A14" s="14" t="s">
        <v>9</v>
      </c>
      <c r="B14">
        <v>1</v>
      </c>
    </row>
    <row r="15" spans="1:2" x14ac:dyDescent="0.25">
      <c r="A15" s="14" t="s">
        <v>12</v>
      </c>
      <c r="B15">
        <v>4</v>
      </c>
    </row>
    <row r="16" spans="1:2" x14ac:dyDescent="0.25">
      <c r="A16" s="14" t="s">
        <v>13</v>
      </c>
      <c r="B16">
        <v>1</v>
      </c>
    </row>
    <row r="17" spans="1:2" x14ac:dyDescent="0.25">
      <c r="A17" s="13" t="s">
        <v>77</v>
      </c>
      <c r="B17">
        <v>5</v>
      </c>
    </row>
    <row r="18" spans="1:2" x14ac:dyDescent="0.25">
      <c r="A18" s="14" t="s">
        <v>9</v>
      </c>
      <c r="B18">
        <v>1</v>
      </c>
    </row>
    <row r="19" spans="1:2" x14ac:dyDescent="0.25">
      <c r="A19" s="14" t="s">
        <v>12</v>
      </c>
      <c r="B19">
        <v>3</v>
      </c>
    </row>
    <row r="20" spans="1:2" x14ac:dyDescent="0.25">
      <c r="A20" s="14" t="s">
        <v>13</v>
      </c>
      <c r="B20">
        <v>1</v>
      </c>
    </row>
    <row r="21" spans="1:2" x14ac:dyDescent="0.25">
      <c r="A21" s="13" t="s">
        <v>80</v>
      </c>
      <c r="B21">
        <v>9</v>
      </c>
    </row>
    <row r="22" spans="1:2" x14ac:dyDescent="0.25">
      <c r="A22" s="14" t="s">
        <v>81</v>
      </c>
      <c r="B22">
        <v>1</v>
      </c>
    </row>
    <row r="23" spans="1:2" x14ac:dyDescent="0.25">
      <c r="A23" s="14" t="s">
        <v>12</v>
      </c>
      <c r="B23">
        <v>6</v>
      </c>
    </row>
    <row r="24" spans="1:2" x14ac:dyDescent="0.25">
      <c r="A24" s="14" t="s">
        <v>13</v>
      </c>
      <c r="B24">
        <v>1</v>
      </c>
    </row>
    <row r="25" spans="1:2" x14ac:dyDescent="0.25">
      <c r="A25" s="14" t="s">
        <v>78</v>
      </c>
      <c r="B25">
        <v>1</v>
      </c>
    </row>
    <row r="26" spans="1:2" x14ac:dyDescent="0.25">
      <c r="A26" s="13" t="s">
        <v>74</v>
      </c>
      <c r="B26">
        <v>9</v>
      </c>
    </row>
    <row r="27" spans="1:2" x14ac:dyDescent="0.25">
      <c r="A27" s="14" t="s">
        <v>9</v>
      </c>
      <c r="B27">
        <v>1</v>
      </c>
    </row>
    <row r="28" spans="1:2" x14ac:dyDescent="0.25">
      <c r="A28" s="14" t="s">
        <v>12</v>
      </c>
      <c r="B28">
        <v>7</v>
      </c>
    </row>
    <row r="29" spans="1:2" x14ac:dyDescent="0.25">
      <c r="A29" s="14" t="s">
        <v>13</v>
      </c>
      <c r="B29">
        <v>1</v>
      </c>
    </row>
    <row r="30" spans="1:2" x14ac:dyDescent="0.25">
      <c r="A30" s="13" t="s">
        <v>76</v>
      </c>
      <c r="B30">
        <v>5</v>
      </c>
    </row>
    <row r="31" spans="1:2" x14ac:dyDescent="0.25">
      <c r="A31" s="14" t="s">
        <v>85</v>
      </c>
      <c r="B31">
        <v>1</v>
      </c>
    </row>
    <row r="32" spans="1:2" x14ac:dyDescent="0.25">
      <c r="A32" s="14" t="s">
        <v>12</v>
      </c>
      <c r="B32">
        <v>3</v>
      </c>
    </row>
    <row r="33" spans="1:2" x14ac:dyDescent="0.25">
      <c r="A33" s="14" t="s">
        <v>13</v>
      </c>
      <c r="B33">
        <v>1</v>
      </c>
    </row>
    <row r="34" spans="1:2" x14ac:dyDescent="0.25">
      <c r="A34" s="13" t="s">
        <v>73</v>
      </c>
      <c r="B34">
        <v>4</v>
      </c>
    </row>
    <row r="35" spans="1:2" x14ac:dyDescent="0.25">
      <c r="A35" s="14" t="s">
        <v>12</v>
      </c>
      <c r="B35">
        <v>3</v>
      </c>
    </row>
    <row r="36" spans="1:2" x14ac:dyDescent="0.25">
      <c r="A36" s="14" t="s">
        <v>13</v>
      </c>
      <c r="B36">
        <v>1</v>
      </c>
    </row>
    <row r="37" spans="1:2" x14ac:dyDescent="0.25">
      <c r="A37" s="13" t="s">
        <v>89</v>
      </c>
      <c r="B37">
        <v>6</v>
      </c>
    </row>
    <row r="38" spans="1:2" x14ac:dyDescent="0.25">
      <c r="A38" s="14" t="s">
        <v>9</v>
      </c>
      <c r="B38">
        <v>1</v>
      </c>
    </row>
    <row r="39" spans="1:2" x14ac:dyDescent="0.25">
      <c r="A39" s="14" t="s">
        <v>12</v>
      </c>
      <c r="B39">
        <v>4</v>
      </c>
    </row>
    <row r="40" spans="1:2" x14ac:dyDescent="0.25">
      <c r="A40" s="14" t="s">
        <v>13</v>
      </c>
      <c r="B40">
        <v>1</v>
      </c>
    </row>
    <row r="41" spans="1:2" x14ac:dyDescent="0.25">
      <c r="A41" s="13" t="s">
        <v>90</v>
      </c>
      <c r="B41">
        <v>7</v>
      </c>
    </row>
    <row r="42" spans="1:2" x14ac:dyDescent="0.25">
      <c r="A42" s="14" t="s">
        <v>12</v>
      </c>
      <c r="B42">
        <v>5</v>
      </c>
    </row>
    <row r="43" spans="1:2" x14ac:dyDescent="0.25">
      <c r="A43" s="14" t="s">
        <v>13</v>
      </c>
      <c r="B43">
        <v>1</v>
      </c>
    </row>
    <row r="44" spans="1:2" x14ac:dyDescent="0.25">
      <c r="A44" s="14" t="s">
        <v>78</v>
      </c>
      <c r="B44">
        <v>1</v>
      </c>
    </row>
    <row r="45" spans="1:2" x14ac:dyDescent="0.25">
      <c r="A45" s="13" t="s">
        <v>88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2"/>
  <sheetViews>
    <sheetView tabSelected="1" workbookViewId="0">
      <selection activeCell="A2" sqref="A2:H7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46316</v>
      </c>
      <c r="B2" t="s">
        <v>79</v>
      </c>
      <c r="C2" s="5" t="s">
        <v>97</v>
      </c>
      <c r="D2" t="s">
        <v>12</v>
      </c>
      <c r="E2" t="s">
        <v>16</v>
      </c>
      <c r="F2" t="s">
        <v>16</v>
      </c>
      <c r="G2" t="s">
        <v>98</v>
      </c>
      <c r="H2" t="s">
        <v>11</v>
      </c>
      <c r="I2" t="str">
        <f>_xlfn.XLOOKUP(Tabla1[[#This Row],[Dependencia]],Tabla2[Dependencia],Tabla2[Clasificación],"XXX",0)</f>
        <v>Alcaldías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46316</v>
      </c>
      <c r="B3" t="s">
        <v>79</v>
      </c>
      <c r="C3" s="5" t="s">
        <v>99</v>
      </c>
      <c r="D3" t="s">
        <v>12</v>
      </c>
      <c r="E3" t="s">
        <v>16</v>
      </c>
      <c r="F3" t="s">
        <v>16</v>
      </c>
      <c r="G3" t="s">
        <v>100</v>
      </c>
      <c r="H3" t="s">
        <v>68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46316</v>
      </c>
      <c r="B4" t="s">
        <v>79</v>
      </c>
      <c r="C4" s="5" t="s">
        <v>101</v>
      </c>
      <c r="D4" t="s">
        <v>9</v>
      </c>
      <c r="E4" t="s">
        <v>10</v>
      </c>
      <c r="F4" t="s">
        <v>10</v>
      </c>
      <c r="G4" t="s">
        <v>102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46316</v>
      </c>
      <c r="B5" t="s">
        <v>79</v>
      </c>
      <c r="C5" s="5" t="s">
        <v>103</v>
      </c>
      <c r="D5" t="s">
        <v>12</v>
      </c>
      <c r="E5" t="s">
        <v>14</v>
      </c>
      <c r="F5" t="s">
        <v>104</v>
      </c>
      <c r="G5" t="s">
        <v>105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46316</v>
      </c>
      <c r="B6" t="s">
        <v>79</v>
      </c>
      <c r="C6" s="5" t="s">
        <v>106</v>
      </c>
      <c r="D6" t="s">
        <v>12</v>
      </c>
      <c r="E6" t="s">
        <v>10</v>
      </c>
      <c r="F6" t="s">
        <v>10</v>
      </c>
      <c r="G6" t="s">
        <v>107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46316</v>
      </c>
      <c r="B7" t="s">
        <v>79</v>
      </c>
      <c r="C7" s="5" t="s">
        <v>108</v>
      </c>
      <c r="D7" t="s">
        <v>13</v>
      </c>
      <c r="E7" t="s">
        <v>23</v>
      </c>
      <c r="F7" t="s">
        <v>23</v>
      </c>
      <c r="G7" t="s">
        <v>109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46316</v>
      </c>
      <c r="B8" t="s">
        <v>79</v>
      </c>
      <c r="C8" s="5" t="s">
        <v>110</v>
      </c>
      <c r="D8" t="s">
        <v>12</v>
      </c>
      <c r="E8" t="s">
        <v>24</v>
      </c>
      <c r="F8" t="s">
        <v>24</v>
      </c>
      <c r="G8" t="s">
        <v>111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46316</v>
      </c>
      <c r="B9" t="s">
        <v>69</v>
      </c>
      <c r="C9" s="5" t="s">
        <v>112</v>
      </c>
      <c r="D9" t="s">
        <v>9</v>
      </c>
      <c r="E9" t="s">
        <v>16</v>
      </c>
      <c r="F9" t="s">
        <v>16</v>
      </c>
      <c r="G9" t="s">
        <v>98</v>
      </c>
      <c r="H9" t="s">
        <v>68</v>
      </c>
      <c r="I9" t="str">
        <f>_xlfn.XLOOKUP(Tabla1[[#This Row],[Dependencia]],Tabla2[Dependencia],Tabla2[Clasificación],"XXX",0)</f>
        <v>Alcaldías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46316</v>
      </c>
      <c r="B10" t="s">
        <v>69</v>
      </c>
      <c r="C10" s="5" t="s">
        <v>113</v>
      </c>
      <c r="D10" t="s">
        <v>12</v>
      </c>
      <c r="E10" t="s">
        <v>26</v>
      </c>
      <c r="F10" t="s">
        <v>2</v>
      </c>
      <c r="G10" t="s">
        <v>84</v>
      </c>
      <c r="H10" t="s">
        <v>72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46316</v>
      </c>
      <c r="B11" t="s">
        <v>69</v>
      </c>
      <c r="C11" s="5" t="s">
        <v>114</v>
      </c>
      <c r="D11" t="s">
        <v>13</v>
      </c>
      <c r="E11" t="s">
        <v>24</v>
      </c>
      <c r="F11" t="s">
        <v>24</v>
      </c>
      <c r="G11" t="s">
        <v>111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25">
      <c r="A12" s="11">
        <v>46316</v>
      </c>
      <c r="B12" t="s">
        <v>69</v>
      </c>
      <c r="C12" s="5" t="s">
        <v>115</v>
      </c>
      <c r="D12" t="s">
        <v>12</v>
      </c>
      <c r="E12" t="s">
        <v>27</v>
      </c>
      <c r="F12" t="s">
        <v>27</v>
      </c>
      <c r="G12" t="s">
        <v>93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46316</v>
      </c>
      <c r="B13" t="s">
        <v>69</v>
      </c>
      <c r="C13" s="5" t="s">
        <v>116</v>
      </c>
      <c r="D13" t="s">
        <v>12</v>
      </c>
      <c r="E13" t="s">
        <v>40</v>
      </c>
      <c r="F13" t="s">
        <v>40</v>
      </c>
      <c r="G13" t="s">
        <v>42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46316</v>
      </c>
      <c r="B14" t="s">
        <v>69</v>
      </c>
      <c r="C14" s="5" t="s">
        <v>117</v>
      </c>
      <c r="D14" t="s">
        <v>12</v>
      </c>
      <c r="E14" t="s">
        <v>47</v>
      </c>
      <c r="F14" t="s">
        <v>47</v>
      </c>
      <c r="G14" t="s">
        <v>84</v>
      </c>
      <c r="H14" t="s">
        <v>11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11">
        <v>46316</v>
      </c>
      <c r="B15" t="s">
        <v>71</v>
      </c>
      <c r="C15" s="5" t="s">
        <v>118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46316</v>
      </c>
      <c r="B16" t="s">
        <v>71</v>
      </c>
      <c r="C16" s="5" t="s">
        <v>119</v>
      </c>
      <c r="D16" t="s">
        <v>12</v>
      </c>
      <c r="E16" t="s">
        <v>10</v>
      </c>
      <c r="F16" t="s">
        <v>10</v>
      </c>
      <c r="G16" t="s">
        <v>70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46316</v>
      </c>
      <c r="B17" t="s">
        <v>71</v>
      </c>
      <c r="C17" s="5" t="s">
        <v>120</v>
      </c>
      <c r="D17" t="s">
        <v>13</v>
      </c>
      <c r="E17" t="s">
        <v>26</v>
      </c>
      <c r="F17" t="s">
        <v>26</v>
      </c>
      <c r="G17" t="s">
        <v>84</v>
      </c>
      <c r="H17" t="s">
        <v>72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46316</v>
      </c>
      <c r="B18" t="s">
        <v>71</v>
      </c>
      <c r="C18" s="5" t="s">
        <v>121</v>
      </c>
      <c r="D18" t="s">
        <v>12</v>
      </c>
      <c r="E18" t="s">
        <v>10</v>
      </c>
      <c r="F18" t="s">
        <v>10</v>
      </c>
      <c r="G18" t="s">
        <v>94</v>
      </c>
      <c r="H18" t="s">
        <v>68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46316</v>
      </c>
      <c r="B19" t="s">
        <v>71</v>
      </c>
      <c r="C19" s="5" t="s">
        <v>122</v>
      </c>
      <c r="D19" t="s">
        <v>12</v>
      </c>
      <c r="E19" t="s">
        <v>27</v>
      </c>
      <c r="F19" t="s">
        <v>27</v>
      </c>
      <c r="G19" t="s">
        <v>93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11">
        <v>46316</v>
      </c>
      <c r="B20" t="s">
        <v>71</v>
      </c>
      <c r="C20" s="5" t="s">
        <v>123</v>
      </c>
      <c r="D20" t="s">
        <v>12</v>
      </c>
      <c r="E20" t="s">
        <v>33</v>
      </c>
      <c r="F20" t="s">
        <v>33</v>
      </c>
      <c r="G20" t="s">
        <v>124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46316</v>
      </c>
      <c r="B21" t="s">
        <v>71</v>
      </c>
      <c r="C21" s="5" t="s">
        <v>125</v>
      </c>
      <c r="D21" t="s">
        <v>12</v>
      </c>
      <c r="E21" t="s">
        <v>16</v>
      </c>
      <c r="F21" t="s">
        <v>16</v>
      </c>
      <c r="G21" t="s">
        <v>126</v>
      </c>
      <c r="H21" t="s">
        <v>68</v>
      </c>
      <c r="I21" t="str">
        <f>_xlfn.XLOOKUP(Tabla1[[#This Row],[Dependencia]],Tabla2[Dependencia],Tabla2[Clasificación],"XXX",0)</f>
        <v>Alcaldías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46316</v>
      </c>
      <c r="B22" t="s">
        <v>74</v>
      </c>
      <c r="C22" s="5" t="s">
        <v>127</v>
      </c>
      <c r="D22" t="s">
        <v>13</v>
      </c>
      <c r="E22" t="s">
        <v>24</v>
      </c>
      <c r="F22" t="s">
        <v>24</v>
      </c>
      <c r="G22" t="s">
        <v>93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Gobernador</v>
      </c>
    </row>
    <row r="23" spans="1:10" x14ac:dyDescent="0.25">
      <c r="A23" s="11">
        <v>46316</v>
      </c>
      <c r="B23" t="s">
        <v>74</v>
      </c>
      <c r="C23" s="5" t="s">
        <v>128</v>
      </c>
      <c r="D23" t="s">
        <v>12</v>
      </c>
      <c r="E23" t="s">
        <v>26</v>
      </c>
      <c r="F23" t="s">
        <v>2</v>
      </c>
      <c r="G23" t="s">
        <v>84</v>
      </c>
      <c r="H23" t="s">
        <v>72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46316</v>
      </c>
      <c r="B24" t="s">
        <v>74</v>
      </c>
      <c r="C24" s="5" t="s">
        <v>129</v>
      </c>
      <c r="D24" t="s">
        <v>12</v>
      </c>
      <c r="E24" t="s">
        <v>47</v>
      </c>
      <c r="F24" t="s">
        <v>47</v>
      </c>
      <c r="G24" t="s">
        <v>84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11">
        <v>46316</v>
      </c>
      <c r="B25" t="s">
        <v>74</v>
      </c>
      <c r="C25" s="5" t="s">
        <v>130</v>
      </c>
      <c r="D25" t="s">
        <v>12</v>
      </c>
      <c r="E25" t="s">
        <v>14</v>
      </c>
      <c r="F25" t="s">
        <v>131</v>
      </c>
      <c r="G25" t="s">
        <v>111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ht="45" x14ac:dyDescent="0.25">
      <c r="A26" s="11">
        <v>46316</v>
      </c>
      <c r="B26" t="s">
        <v>74</v>
      </c>
      <c r="C26" s="5" t="s">
        <v>132</v>
      </c>
      <c r="D26" t="s">
        <v>9</v>
      </c>
      <c r="E26" t="s">
        <v>24</v>
      </c>
      <c r="F26" t="s">
        <v>24</v>
      </c>
      <c r="G26" t="s">
        <v>111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Gobernador</v>
      </c>
    </row>
    <row r="27" spans="1:10" x14ac:dyDescent="0.25">
      <c r="A27" s="11">
        <v>46316</v>
      </c>
      <c r="B27" t="s">
        <v>74</v>
      </c>
      <c r="C27" s="5" t="s">
        <v>133</v>
      </c>
      <c r="D27" t="s">
        <v>12</v>
      </c>
      <c r="E27" t="s">
        <v>20</v>
      </c>
      <c r="F27" t="s">
        <v>20</v>
      </c>
      <c r="G27" t="s">
        <v>134</v>
      </c>
      <c r="H27" t="s">
        <v>72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11">
        <v>46316</v>
      </c>
      <c r="B28" t="s">
        <v>74</v>
      </c>
      <c r="C28" s="5" t="s">
        <v>135</v>
      </c>
      <c r="D28" t="s">
        <v>12</v>
      </c>
      <c r="E28" t="s">
        <v>14</v>
      </c>
      <c r="F28" t="s">
        <v>136</v>
      </c>
      <c r="G28" t="s">
        <v>137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46316</v>
      </c>
      <c r="B29" t="s">
        <v>74</v>
      </c>
      <c r="C29" s="5" t="s">
        <v>138</v>
      </c>
      <c r="D29" t="s">
        <v>12</v>
      </c>
      <c r="E29" t="s">
        <v>10</v>
      </c>
      <c r="F29" t="s">
        <v>10</v>
      </c>
      <c r="G29" t="s">
        <v>91</v>
      </c>
      <c r="H29" t="s">
        <v>72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46316</v>
      </c>
      <c r="B30" t="s">
        <v>74</v>
      </c>
      <c r="C30" s="5" t="s">
        <v>139</v>
      </c>
      <c r="D30" t="s">
        <v>12</v>
      </c>
      <c r="E30" t="s">
        <v>14</v>
      </c>
      <c r="F30" t="s">
        <v>104</v>
      </c>
      <c r="G30" t="s">
        <v>95</v>
      </c>
      <c r="H30" t="s">
        <v>68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46316</v>
      </c>
      <c r="B31" t="s">
        <v>74</v>
      </c>
      <c r="C31" s="5" t="s">
        <v>140</v>
      </c>
      <c r="D31" t="s">
        <v>12</v>
      </c>
      <c r="E31" t="s">
        <v>14</v>
      </c>
      <c r="F31" t="s">
        <v>141</v>
      </c>
      <c r="G31" t="s">
        <v>92</v>
      </c>
      <c r="H31" t="s">
        <v>11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46316</v>
      </c>
      <c r="B32" t="s">
        <v>74</v>
      </c>
      <c r="C32" s="5" t="s">
        <v>142</v>
      </c>
      <c r="D32" t="s">
        <v>12</v>
      </c>
      <c r="E32" t="s">
        <v>10</v>
      </c>
      <c r="F32" t="s">
        <v>10</v>
      </c>
      <c r="G32" t="s">
        <v>143</v>
      </c>
      <c r="H32" t="s">
        <v>72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46316</v>
      </c>
      <c r="B33" t="s">
        <v>77</v>
      </c>
      <c r="C33" s="5" t="s">
        <v>144</v>
      </c>
      <c r="D33" t="s">
        <v>12</v>
      </c>
      <c r="E33" t="s">
        <v>38</v>
      </c>
      <c r="F33" t="s">
        <v>38</v>
      </c>
      <c r="G33" t="s">
        <v>111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90" x14ac:dyDescent="0.25">
      <c r="A34" s="11">
        <v>46316</v>
      </c>
      <c r="B34" t="s">
        <v>77</v>
      </c>
      <c r="C34" s="5" t="s">
        <v>145</v>
      </c>
      <c r="D34" t="s">
        <v>13</v>
      </c>
      <c r="E34" t="s">
        <v>24</v>
      </c>
      <c r="F34" t="s">
        <v>24</v>
      </c>
      <c r="G34" t="s">
        <v>93</v>
      </c>
      <c r="H34" t="s">
        <v>68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Gobernador</v>
      </c>
    </row>
    <row r="35" spans="1:10" x14ac:dyDescent="0.25">
      <c r="A35" s="11">
        <v>46316</v>
      </c>
      <c r="B35" t="s">
        <v>77</v>
      </c>
      <c r="C35" s="5" t="s">
        <v>146</v>
      </c>
      <c r="D35" t="s">
        <v>12</v>
      </c>
      <c r="E35" t="s">
        <v>14</v>
      </c>
      <c r="F35" t="s">
        <v>14</v>
      </c>
      <c r="G35" t="s">
        <v>95</v>
      </c>
      <c r="H35" t="s">
        <v>68</v>
      </c>
      <c r="I35" t="str">
        <f>_xlfn.XLOOKUP(Tabla1[[#This Row],[Dependencia]],Tabla2[Dependencia],Tabla2[Clasificación],"XXX",0)</f>
        <v>Presidencia de la República</v>
      </c>
      <c r="J35" t="str">
        <f>_xlfn.XLOOKUP(Tabla1[[#This Row],[Dependencia]],Tabla3[Dependencia],Tabla3[Nivel],"Otros",0)</f>
        <v>Otros</v>
      </c>
    </row>
    <row r="36" spans="1:10" x14ac:dyDescent="0.25">
      <c r="A36" s="11">
        <v>46316</v>
      </c>
      <c r="B36" t="s">
        <v>77</v>
      </c>
      <c r="C36" s="5" t="s">
        <v>147</v>
      </c>
      <c r="D36" t="s">
        <v>9</v>
      </c>
      <c r="E36" t="s">
        <v>26</v>
      </c>
      <c r="F36" t="s">
        <v>2</v>
      </c>
      <c r="G36" t="s">
        <v>84</v>
      </c>
      <c r="H36" t="s">
        <v>72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75" x14ac:dyDescent="0.25">
      <c r="A37" s="11">
        <v>46316</v>
      </c>
      <c r="B37" t="s">
        <v>77</v>
      </c>
      <c r="C37" s="5" t="s">
        <v>148</v>
      </c>
      <c r="D37" t="s">
        <v>12</v>
      </c>
      <c r="E37" t="s">
        <v>10</v>
      </c>
      <c r="F37" t="s">
        <v>10</v>
      </c>
      <c r="G37" t="s">
        <v>149</v>
      </c>
      <c r="H37" t="s">
        <v>68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46316</v>
      </c>
      <c r="B38" t="s">
        <v>73</v>
      </c>
      <c r="C38" s="5" t="s">
        <v>150</v>
      </c>
      <c r="D38" t="s">
        <v>13</v>
      </c>
      <c r="E38" t="s">
        <v>24</v>
      </c>
      <c r="F38" t="s">
        <v>24</v>
      </c>
      <c r="G38" t="s">
        <v>111</v>
      </c>
      <c r="H38" t="s">
        <v>72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x14ac:dyDescent="0.25">
      <c r="A39" s="11">
        <v>46316</v>
      </c>
      <c r="B39" t="s">
        <v>73</v>
      </c>
      <c r="C39" s="5" t="s">
        <v>151</v>
      </c>
      <c r="D39" t="s">
        <v>12</v>
      </c>
      <c r="E39" t="s">
        <v>38</v>
      </c>
      <c r="F39" t="s">
        <v>38</v>
      </c>
      <c r="G39" t="s">
        <v>93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46316</v>
      </c>
      <c r="B40" t="s">
        <v>73</v>
      </c>
      <c r="C40" s="5" t="s">
        <v>152</v>
      </c>
      <c r="D40" t="s">
        <v>12</v>
      </c>
      <c r="E40" t="s">
        <v>26</v>
      </c>
      <c r="F40" t="s">
        <v>26</v>
      </c>
      <c r="G40" t="s">
        <v>84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46316</v>
      </c>
      <c r="B41" t="s">
        <v>73</v>
      </c>
      <c r="C41" s="5" t="s">
        <v>153</v>
      </c>
      <c r="D41" t="s">
        <v>12</v>
      </c>
      <c r="E41" t="s">
        <v>16</v>
      </c>
      <c r="F41" t="s">
        <v>16</v>
      </c>
      <c r="G41" t="s">
        <v>98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46316</v>
      </c>
      <c r="B42" t="s">
        <v>73</v>
      </c>
      <c r="C42" s="5" t="s">
        <v>154</v>
      </c>
      <c r="D42" t="s">
        <v>12</v>
      </c>
      <c r="E42" t="s">
        <v>22</v>
      </c>
      <c r="F42" t="s">
        <v>22</v>
      </c>
      <c r="G42" t="s">
        <v>155</v>
      </c>
      <c r="H42" t="s">
        <v>68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46316</v>
      </c>
      <c r="B43" t="s">
        <v>76</v>
      </c>
      <c r="C43" s="5" t="s">
        <v>156</v>
      </c>
      <c r="D43" t="s">
        <v>13</v>
      </c>
      <c r="E43" t="s">
        <v>14</v>
      </c>
      <c r="F43" t="s">
        <v>131</v>
      </c>
      <c r="G43" t="s">
        <v>111</v>
      </c>
      <c r="H43" t="s">
        <v>72</v>
      </c>
      <c r="I43" t="str">
        <f>_xlfn.XLOOKUP(Tabla1[[#This Row],[Dependencia]],Tabla2[Dependencia],Tabla2[Clasificación],"XXX",0)</f>
        <v>Presidencia de la República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46316</v>
      </c>
      <c r="B44" t="s">
        <v>76</v>
      </c>
      <c r="C44" s="5" t="s">
        <v>157</v>
      </c>
      <c r="D44" t="s">
        <v>12</v>
      </c>
      <c r="E44" t="s">
        <v>47</v>
      </c>
      <c r="F44" t="s">
        <v>2</v>
      </c>
      <c r="G44" t="s">
        <v>84</v>
      </c>
      <c r="H44" t="s">
        <v>68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46316</v>
      </c>
      <c r="B45" t="s">
        <v>76</v>
      </c>
      <c r="C45" s="5" t="s">
        <v>158</v>
      </c>
      <c r="D45" t="s">
        <v>12</v>
      </c>
      <c r="E45" t="s">
        <v>37</v>
      </c>
      <c r="F45" t="s">
        <v>37</v>
      </c>
      <c r="G45" t="s">
        <v>159</v>
      </c>
      <c r="H45" t="s">
        <v>72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1">
        <v>46316</v>
      </c>
      <c r="B46" t="s">
        <v>76</v>
      </c>
      <c r="C46" s="5" t="s">
        <v>160</v>
      </c>
      <c r="D46" t="s">
        <v>12</v>
      </c>
      <c r="E46" t="s">
        <v>26</v>
      </c>
      <c r="F46" t="s">
        <v>2</v>
      </c>
      <c r="G46" t="s">
        <v>161</v>
      </c>
      <c r="H46" t="s">
        <v>72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46316</v>
      </c>
      <c r="B47" t="s">
        <v>76</v>
      </c>
      <c r="C47" s="5" t="s">
        <v>162</v>
      </c>
      <c r="D47" t="s">
        <v>12</v>
      </c>
      <c r="E47" t="s">
        <v>14</v>
      </c>
      <c r="F47" t="s">
        <v>141</v>
      </c>
      <c r="G47" t="s">
        <v>92</v>
      </c>
      <c r="H47" t="s">
        <v>11</v>
      </c>
      <c r="I47" t="str">
        <f>_xlfn.XLOOKUP(Tabla1[[#This Row],[Dependencia]],Tabla2[Dependencia],Tabla2[Clasificación],"XXX",0)</f>
        <v>Presidencia de la República</v>
      </c>
      <c r="J47" t="str">
        <f>_xlfn.XLOOKUP(Tabla1[[#This Row],[Dependencia]],Tabla3[Dependencia],Tabla3[Nivel],"Otros",0)</f>
        <v>Otros</v>
      </c>
    </row>
    <row r="48" spans="1:10" ht="45" x14ac:dyDescent="0.25">
      <c r="A48" s="11">
        <v>46316</v>
      </c>
      <c r="B48" t="s">
        <v>89</v>
      </c>
      <c r="C48" s="5" t="s">
        <v>163</v>
      </c>
      <c r="D48" t="s">
        <v>13</v>
      </c>
      <c r="E48" t="s">
        <v>27</v>
      </c>
      <c r="F48" t="s">
        <v>27</v>
      </c>
      <c r="G48" t="s">
        <v>164</v>
      </c>
      <c r="H48" t="s">
        <v>68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46316</v>
      </c>
      <c r="B49" t="s">
        <v>89</v>
      </c>
      <c r="C49" s="5" t="s">
        <v>165</v>
      </c>
      <c r="D49" t="s">
        <v>12</v>
      </c>
      <c r="E49" t="s">
        <v>38</v>
      </c>
      <c r="F49" t="s">
        <v>38</v>
      </c>
      <c r="G49" t="s">
        <v>93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11">
        <v>46316</v>
      </c>
      <c r="B50" t="s">
        <v>89</v>
      </c>
      <c r="C50" s="5" t="s">
        <v>166</v>
      </c>
      <c r="D50" t="s">
        <v>9</v>
      </c>
      <c r="E50" t="s">
        <v>26</v>
      </c>
      <c r="F50" t="s">
        <v>2</v>
      </c>
      <c r="G50" t="s">
        <v>84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11">
        <v>46316</v>
      </c>
      <c r="B51" t="s">
        <v>89</v>
      </c>
      <c r="C51" s="5" t="s">
        <v>167</v>
      </c>
      <c r="D51" t="s">
        <v>12</v>
      </c>
      <c r="E51" t="s">
        <v>15</v>
      </c>
      <c r="F51" t="s">
        <v>15</v>
      </c>
      <c r="G51" t="s">
        <v>168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46316</v>
      </c>
      <c r="B52" t="s">
        <v>89</v>
      </c>
      <c r="C52" s="5" t="s">
        <v>169</v>
      </c>
      <c r="D52" t="s">
        <v>12</v>
      </c>
      <c r="E52" t="s">
        <v>59</v>
      </c>
      <c r="F52" t="s">
        <v>59</v>
      </c>
      <c r="G52" t="s">
        <v>170</v>
      </c>
      <c r="H52" t="s">
        <v>68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11">
        <v>46316</v>
      </c>
      <c r="B53" t="s">
        <v>89</v>
      </c>
      <c r="C53" s="5" t="s">
        <v>171</v>
      </c>
      <c r="D53" t="s">
        <v>12</v>
      </c>
      <c r="E53" t="s">
        <v>24</v>
      </c>
      <c r="F53" t="s">
        <v>24</v>
      </c>
      <c r="G53" t="s">
        <v>111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25">
      <c r="A54" s="11">
        <v>46316</v>
      </c>
      <c r="B54" t="s">
        <v>80</v>
      </c>
      <c r="C54" s="5" t="s">
        <v>172</v>
      </c>
      <c r="D54" t="s">
        <v>12</v>
      </c>
      <c r="E54" t="s">
        <v>38</v>
      </c>
      <c r="F54" t="s">
        <v>38</v>
      </c>
      <c r="G54" t="s">
        <v>93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45" x14ac:dyDescent="0.25">
      <c r="A55" s="11">
        <v>46316</v>
      </c>
      <c r="B55" t="s">
        <v>80</v>
      </c>
      <c r="C55" s="5" t="s">
        <v>173</v>
      </c>
      <c r="D55" t="s">
        <v>12</v>
      </c>
      <c r="E55" t="s">
        <v>23</v>
      </c>
      <c r="F55" t="s">
        <v>23</v>
      </c>
      <c r="G55" t="s">
        <v>174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46316</v>
      </c>
      <c r="B56" t="s">
        <v>80</v>
      </c>
      <c r="C56" s="5" t="s">
        <v>175</v>
      </c>
      <c r="D56" t="s">
        <v>13</v>
      </c>
      <c r="E56" t="s">
        <v>24</v>
      </c>
      <c r="F56" t="s">
        <v>24</v>
      </c>
      <c r="G56" t="s">
        <v>111</v>
      </c>
      <c r="H56" t="s">
        <v>72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Gobernador</v>
      </c>
    </row>
    <row r="57" spans="1:10" ht="30" x14ac:dyDescent="0.25">
      <c r="A57" s="11">
        <v>46316</v>
      </c>
      <c r="B57" t="s">
        <v>80</v>
      </c>
      <c r="C57" s="5" t="s">
        <v>176</v>
      </c>
      <c r="D57" t="s">
        <v>12</v>
      </c>
      <c r="E57" t="s">
        <v>16</v>
      </c>
      <c r="F57" t="s">
        <v>83</v>
      </c>
      <c r="G57" t="s">
        <v>177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x14ac:dyDescent="0.25">
      <c r="A58" s="11">
        <v>46316</v>
      </c>
      <c r="B58" t="s">
        <v>80</v>
      </c>
      <c r="C58" s="5" t="s">
        <v>178</v>
      </c>
      <c r="D58" t="s">
        <v>12</v>
      </c>
      <c r="E58" t="s">
        <v>16</v>
      </c>
      <c r="F58" t="s">
        <v>83</v>
      </c>
      <c r="G58" t="s">
        <v>179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ht="45" x14ac:dyDescent="0.25">
      <c r="A59" s="11">
        <v>46316</v>
      </c>
      <c r="B59" t="s">
        <v>80</v>
      </c>
      <c r="C59" s="5" t="s">
        <v>180</v>
      </c>
      <c r="D59" t="s">
        <v>12</v>
      </c>
      <c r="E59" t="s">
        <v>16</v>
      </c>
      <c r="F59" t="s">
        <v>83</v>
      </c>
      <c r="G59" t="s">
        <v>181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46316</v>
      </c>
      <c r="B60" t="s">
        <v>80</v>
      </c>
      <c r="C60" s="5" t="s">
        <v>182</v>
      </c>
      <c r="D60" t="s">
        <v>12</v>
      </c>
      <c r="E60" t="s">
        <v>16</v>
      </c>
      <c r="F60" t="s">
        <v>83</v>
      </c>
      <c r="G60" t="s">
        <v>183</v>
      </c>
      <c r="H60" t="s">
        <v>11</v>
      </c>
      <c r="I60" t="str">
        <f>_xlfn.XLOOKUP(Tabla1[[#This Row],[Dependencia]],Tabla2[Dependencia],Tabla2[Clasificación],"XXX",0)</f>
        <v>Alcaldías</v>
      </c>
      <c r="J60" t="str">
        <f>_xlfn.XLOOKUP(Tabla1[[#This Row],[Dependencia]],Tabla3[Dependencia],Tabla3[Nivel],"Otros",0)</f>
        <v>Otros</v>
      </c>
    </row>
    <row r="61" spans="1:10" x14ac:dyDescent="0.25">
      <c r="A61" s="11">
        <v>46316</v>
      </c>
      <c r="B61" t="s">
        <v>80</v>
      </c>
      <c r="C61" s="5" t="s">
        <v>184</v>
      </c>
      <c r="D61" t="s">
        <v>12</v>
      </c>
      <c r="E61" t="s">
        <v>14</v>
      </c>
      <c r="F61" t="s">
        <v>185</v>
      </c>
      <c r="G61" t="s">
        <v>82</v>
      </c>
      <c r="H61" t="s">
        <v>11</v>
      </c>
      <c r="I61" t="str">
        <f>_xlfn.XLOOKUP(Tabla1[[#This Row],[Dependencia]],Tabla2[Dependencia],Tabla2[Clasificación],"XXX",0)</f>
        <v>Presidencia de la República</v>
      </c>
      <c r="J61" t="str">
        <f>_xlfn.XLOOKUP(Tabla1[[#This Row],[Dependencia]],Tabla3[Dependencia],Tabla3[Nivel],"Otros",0)</f>
        <v>Otros</v>
      </c>
    </row>
    <row r="62" spans="1:10" x14ac:dyDescent="0.25">
      <c r="A62" s="11">
        <v>46316</v>
      </c>
      <c r="B62" t="s">
        <v>80</v>
      </c>
      <c r="C62" s="5" t="s">
        <v>186</v>
      </c>
      <c r="D62" t="s">
        <v>12</v>
      </c>
      <c r="E62" t="s">
        <v>10</v>
      </c>
      <c r="F62" t="s">
        <v>10</v>
      </c>
      <c r="G62" t="s">
        <v>61</v>
      </c>
      <c r="H62" t="s">
        <v>11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  <row r="63" spans="1:10" ht="30" x14ac:dyDescent="0.25">
      <c r="A63" s="11">
        <v>46316</v>
      </c>
      <c r="B63" t="s">
        <v>80</v>
      </c>
      <c r="C63" s="5" t="s">
        <v>187</v>
      </c>
      <c r="D63" t="s">
        <v>12</v>
      </c>
      <c r="E63" t="s">
        <v>53</v>
      </c>
      <c r="F63" t="s">
        <v>53</v>
      </c>
      <c r="G63" t="s">
        <v>188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11">
        <v>46316</v>
      </c>
      <c r="B64" t="s">
        <v>80</v>
      </c>
      <c r="C64" s="5" t="s">
        <v>189</v>
      </c>
      <c r="D64" t="s">
        <v>12</v>
      </c>
      <c r="E64" t="s">
        <v>16</v>
      </c>
      <c r="F64" t="s">
        <v>16</v>
      </c>
      <c r="G64" t="s">
        <v>188</v>
      </c>
      <c r="H64" t="s">
        <v>11</v>
      </c>
      <c r="I64" t="str">
        <f>_xlfn.XLOOKUP(Tabla1[[#This Row],[Dependencia]],Tabla2[Dependencia],Tabla2[Clasificación],"XXX",0)</f>
        <v>Alcaldías</v>
      </c>
      <c r="J64" t="str">
        <f>_xlfn.XLOOKUP(Tabla1[[#This Row],[Dependencia]],Tabla3[Dependencia],Tabla3[Nivel],"Otros",0)</f>
        <v>Otros</v>
      </c>
    </row>
    <row r="65" spans="1:10" x14ac:dyDescent="0.25">
      <c r="A65" s="11">
        <v>46316</v>
      </c>
      <c r="B65" t="s">
        <v>80</v>
      </c>
      <c r="C65" s="5" t="s">
        <v>190</v>
      </c>
      <c r="D65" t="s">
        <v>78</v>
      </c>
      <c r="E65" t="s">
        <v>10</v>
      </c>
      <c r="F65" t="s">
        <v>10</v>
      </c>
      <c r="G65" t="s">
        <v>191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ht="30" x14ac:dyDescent="0.25">
      <c r="A66" s="11">
        <v>46316</v>
      </c>
      <c r="B66" t="s">
        <v>90</v>
      </c>
      <c r="C66" s="5" t="s">
        <v>192</v>
      </c>
      <c r="D66" t="s">
        <v>13</v>
      </c>
      <c r="E66" t="s">
        <v>24</v>
      </c>
      <c r="F66" t="s">
        <v>24</v>
      </c>
      <c r="G66" t="s">
        <v>111</v>
      </c>
      <c r="H66" t="s">
        <v>72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Gobernador</v>
      </c>
    </row>
    <row r="67" spans="1:10" ht="30" x14ac:dyDescent="0.25">
      <c r="A67" s="11">
        <v>46316</v>
      </c>
      <c r="B67" t="s">
        <v>90</v>
      </c>
      <c r="C67" s="5" t="s">
        <v>193</v>
      </c>
      <c r="D67" t="s">
        <v>12</v>
      </c>
      <c r="E67" t="s">
        <v>10</v>
      </c>
      <c r="F67" t="s">
        <v>10</v>
      </c>
      <c r="G67" t="s">
        <v>70</v>
      </c>
      <c r="H67" t="s">
        <v>11</v>
      </c>
      <c r="I67" t="str">
        <f>_xlfn.XLOOKUP(Tabla1[[#This Row],[Dependencia]],Tabla2[Dependencia],Tabla2[Clasificación],"XXX",0)</f>
        <v>Otros</v>
      </c>
      <c r="J67" t="str">
        <f>_xlfn.XLOOKUP(Tabla1[[#This Row],[Dependencia]],Tabla3[Dependencia],Tabla3[Nivel],"Otros",0)</f>
        <v>Otros</v>
      </c>
    </row>
    <row r="68" spans="1:10" ht="30" x14ac:dyDescent="0.25">
      <c r="A68" s="11">
        <v>46316</v>
      </c>
      <c r="B68" t="s">
        <v>90</v>
      </c>
      <c r="C68" s="5" t="s">
        <v>194</v>
      </c>
      <c r="D68" t="s">
        <v>12</v>
      </c>
      <c r="E68" t="s">
        <v>26</v>
      </c>
      <c r="F68" t="s">
        <v>2</v>
      </c>
      <c r="G68" t="s">
        <v>84</v>
      </c>
      <c r="H68" t="s">
        <v>72</v>
      </c>
      <c r="I68" t="str">
        <f>_xlfn.XLOOKUP(Tabla1[[#This Row],[Dependencia]],Tabla2[Dependencia],Tabla2[Clasificación],"XXX",0)</f>
        <v>Gobierno del estado</v>
      </c>
      <c r="J68" t="str">
        <f>_xlfn.XLOOKUP(Tabla1[[#This Row],[Dependencia]],Tabla3[Dependencia],Tabla3[Nivel],"Otros",0)</f>
        <v>Gabinete</v>
      </c>
    </row>
    <row r="69" spans="1:10" ht="30" x14ac:dyDescent="0.25">
      <c r="A69" s="11">
        <v>46316</v>
      </c>
      <c r="B69" t="s">
        <v>90</v>
      </c>
      <c r="C69" s="5" t="s">
        <v>195</v>
      </c>
      <c r="D69" t="s">
        <v>12</v>
      </c>
      <c r="E69" t="s">
        <v>24</v>
      </c>
      <c r="F69" t="s">
        <v>24</v>
      </c>
      <c r="G69" t="s">
        <v>93</v>
      </c>
      <c r="H69" t="s">
        <v>11</v>
      </c>
      <c r="I69" t="str">
        <f>_xlfn.XLOOKUP(Tabla1[[#This Row],[Dependencia]],Tabla2[Dependencia],Tabla2[Clasificación],"XXX",0)</f>
        <v>Gobierno del estado</v>
      </c>
      <c r="J69" t="str">
        <f>_xlfn.XLOOKUP(Tabla1[[#This Row],[Dependencia]],Tabla3[Dependencia],Tabla3[Nivel],"Otros",0)</f>
        <v>Gobernador</v>
      </c>
    </row>
    <row r="70" spans="1:10" ht="30" x14ac:dyDescent="0.25">
      <c r="A70" s="11">
        <v>46316</v>
      </c>
      <c r="B70" t="s">
        <v>90</v>
      </c>
      <c r="C70" s="5" t="s">
        <v>196</v>
      </c>
      <c r="D70" t="s">
        <v>12</v>
      </c>
      <c r="E70" t="s">
        <v>47</v>
      </c>
      <c r="F70" t="s">
        <v>2</v>
      </c>
      <c r="G70" t="s">
        <v>84</v>
      </c>
      <c r="H70" t="s">
        <v>72</v>
      </c>
      <c r="I70" t="str">
        <f>_xlfn.XLOOKUP(Tabla1[[#This Row],[Dependencia]],Tabla2[Dependencia],Tabla2[Clasificación],"XXX",0)</f>
        <v>Gobierno del estado</v>
      </c>
      <c r="J70" t="str">
        <f>_xlfn.XLOOKUP(Tabla1[[#This Row],[Dependencia]],Tabla3[Dependencia],Tabla3[Nivel],"Otros",0)</f>
        <v>Gabinete</v>
      </c>
    </row>
    <row r="71" spans="1:10" x14ac:dyDescent="0.25">
      <c r="A71" s="11">
        <v>46316</v>
      </c>
      <c r="B71" t="s">
        <v>90</v>
      </c>
      <c r="C71" s="5" t="s">
        <v>96</v>
      </c>
      <c r="D71" t="s">
        <v>78</v>
      </c>
      <c r="E71" t="s">
        <v>16</v>
      </c>
      <c r="F71" t="s">
        <v>16</v>
      </c>
      <c r="G71" t="s">
        <v>82</v>
      </c>
      <c r="H71" t="s">
        <v>11</v>
      </c>
      <c r="I71" t="str">
        <f>_xlfn.XLOOKUP(Tabla1[[#This Row],[Dependencia]],Tabla2[Dependencia],Tabla2[Clasificación],"XXX",0)</f>
        <v>Alcaldías</v>
      </c>
      <c r="J71" t="str">
        <f>_xlfn.XLOOKUP(Tabla1[[#This Row],[Dependencia]],Tabla3[Dependencia],Tabla3[Nivel],"Otros",0)</f>
        <v>Otros</v>
      </c>
    </row>
    <row r="72" spans="1:10" x14ac:dyDescent="0.25">
      <c r="A72" s="11">
        <v>46316</v>
      </c>
      <c r="B72" t="s">
        <v>90</v>
      </c>
      <c r="C72" s="5" t="s">
        <v>197</v>
      </c>
      <c r="D72" t="s">
        <v>78</v>
      </c>
      <c r="E72" t="s">
        <v>29</v>
      </c>
      <c r="F72" t="s">
        <v>29</v>
      </c>
      <c r="G72" t="s">
        <v>198</v>
      </c>
      <c r="H72" t="s">
        <v>11</v>
      </c>
      <c r="I72" t="str">
        <f>_xlfn.XLOOKUP(Tabla1[[#This Row],[Dependencia]],Tabla2[Dependencia],Tabla2[Clasificación],"XXX",0)</f>
        <v>Gobierno del estado</v>
      </c>
      <c r="J72" t="str">
        <f>_xlfn.XLOOKUP(Tabla1[[#This Row],[Dependencia]],Tabla3[Dependencia],Tabla3[Nivel],"Otros",0)</f>
        <v>Gabinete</v>
      </c>
    </row>
  </sheetData>
  <conditionalFormatting sqref="I2:I72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2026-10-21T15:27:11Z</dcterms:modified>
</cp:coreProperties>
</file>