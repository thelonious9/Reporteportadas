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3684B322-5A21-4364-85A1-3811003DEF98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I2" i="1"/>
  <c r="J2" i="1"/>
</calcChain>
</file>

<file path=xl/sharedStrings.xml><?xml version="1.0" encoding="utf-8"?>
<sst xmlns="http://schemas.openxmlformats.org/spreadsheetml/2006/main" count="608" uniqueCount="200">
  <si>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</si>
  <si>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</si>
  <si>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</si>
  <si>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</si>
  <si>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</si>
  <si>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</si>
  <si>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</si>
  <si>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</si>
  <si>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</si>
  <si>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</si>
  <si>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</si>
  <si>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</si>
  <si>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</si>
  <si>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</si>
  <si>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</si>
  <si>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</si>
  <si>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</si>
  <si>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</si>
  <si>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</si>
  <si>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</si>
  <si>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</si>
  <si>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</si>
  <si>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</si>
  <si>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</si>
  <si>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</si>
  <si>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</si>
  <si>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</si>
  <si>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</si>
  <si>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</si>
  <si>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</si>
  <si>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</si>
  <si>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</si>
  <si>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</si>
  <si>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</si>
  <si>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</si>
  <si>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</si>
  <si>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</si>
  <si>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</si>
  <si>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</si>
  <si>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</si>
  <si>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</si>
  <si>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</si>
  <si>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</si>
  <si>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</si>
  <si>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</si>
  <si>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</si>
  <si>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</si>
  <si>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</si>
  <si>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</si>
  <si>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</si>
  <si>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</si>
  <si>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</si>
  <si>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</si>
  <si>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</si>
  <si>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</si>
  <si>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</si>
  <si>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</si>
  <si>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</si>
  <si>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</si>
  <si>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</si>
  <si>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</si>
  <si>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</si>
  <si>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</si>
  <si>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</si>
  <si>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</si>
  <si>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</si>
  <si>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</si>
  <si>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</si>
  <si>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</si>
  <si>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</si>
  <si>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</si>
  <si>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Milenio Hidalgo</t>
  </si>
  <si>
    <t>El Universal Hidalgo</t>
  </si>
  <si>
    <t>Pachuca Brilla</t>
  </si>
  <si>
    <t>Temas varios</t>
  </si>
  <si>
    <t>Deportes</t>
  </si>
  <si>
    <t>Plaza Juárez</t>
  </si>
  <si>
    <t>Publicidad</t>
  </si>
  <si>
    <t>Videovigilancia</t>
  </si>
  <si>
    <t>Zunoticia</t>
  </si>
  <si>
    <t>ZMVM</t>
  </si>
  <si>
    <t>Alcalde</t>
  </si>
  <si>
    <t>Combate Al Huachicol</t>
  </si>
  <si>
    <t>Sipdus</t>
  </si>
  <si>
    <t>Rehabilitación Vial</t>
  </si>
  <si>
    <t>Temas internacionales</t>
  </si>
  <si>
    <t>Central De Abastos</t>
  </si>
  <si>
    <t>Criterio</t>
  </si>
  <si>
    <t>Rehabilitación de instalaciones</t>
  </si>
  <si>
    <t>Estrategia de seguridad</t>
  </si>
  <si>
    <t>Bacheo</t>
  </si>
  <si>
    <t>Marfeca</t>
  </si>
  <si>
    <t>Cintillo</t>
  </si>
  <si>
    <t>Seguridad</t>
  </si>
  <si>
    <t>La Planchada, enfermera que cuida el silencio</t>
  </si>
  <si>
    <t>De cantar en la Santanera a vivir su retiro en Pachuca</t>
  </si>
  <si>
    <t>Más de 3 mil alumnos dejan la universidad</t>
  </si>
  <si>
    <t>Deserción escolar</t>
  </si>
  <si>
    <t>Simey acusa a Viggiano de violencia de género</t>
  </si>
  <si>
    <t>Simey</t>
  </si>
  <si>
    <t>Violencia Política De Género</t>
  </si>
  <si>
    <t>Promueven envejecimiento activo y sano</t>
  </si>
  <si>
    <t>Envejecimiento saludable</t>
  </si>
  <si>
    <t>Descartan expertos fracking en Hidalgo</t>
  </si>
  <si>
    <t>Fracking</t>
  </si>
  <si>
    <t>Feria del Libro supera 10 mil visitas</t>
  </si>
  <si>
    <t>Feria Del Libro</t>
  </si>
  <si>
    <t>Mosco por lirio en Endhó llega a 21 poblados</t>
  </si>
  <si>
    <t>Conagua</t>
  </si>
  <si>
    <t>Mosco Culex</t>
  </si>
  <si>
    <t>Alcanzan remesas en Hidalgo los 460 mdd</t>
  </si>
  <si>
    <t>Remesas</t>
  </si>
  <si>
    <t>Van 2.2 mil mdp a la Pachuca Huejutla</t>
  </si>
  <si>
    <t>Carretera Huejutla</t>
  </si>
  <si>
    <t>Reciben sentencia dos feminicidas en 2026</t>
  </si>
  <si>
    <t>Sentencia Feminicida</t>
  </si>
  <si>
    <t>Pachuca lista programa para renovación de imagen urbana</t>
  </si>
  <si>
    <t>Imagen Urbana</t>
  </si>
  <si>
    <t>Epazoyucan otorgó 15 adjudicaciones directas</t>
  </si>
  <si>
    <t>Licitaciones</t>
  </si>
  <si>
    <t>Vini seguirá siendo merengue</t>
  </si>
  <si>
    <t>El inmueble del Cuartel del Arte será rehabilitado</t>
  </si>
  <si>
    <t>Remplazar barreras costará 2.5 millones</t>
  </si>
  <si>
    <t>Rehabilitación carretera</t>
  </si>
  <si>
    <t>A ganar o morir</t>
  </si>
  <si>
    <t>La violencia familiar lidera agresiones contra menores</t>
  </si>
  <si>
    <t>Violencia familiar</t>
  </si>
  <si>
    <t>Analiza SSPH indicadores de 19 municipios del estado</t>
  </si>
  <si>
    <t>Decomisan 7 mil litros de combustible en Atitalaquia</t>
  </si>
  <si>
    <t>Van 2.3 mmdp para reparar vía de Pachuca hacia Huejutla</t>
  </si>
  <si>
    <t>SICT</t>
  </si>
  <si>
    <t>Detectan 400 viviendas en la sierra con afectaciones</t>
  </si>
  <si>
    <t>Reubicación de viviendas</t>
  </si>
  <si>
    <t>Confía contralor del TEEH mantenerse en el encargo</t>
  </si>
  <si>
    <t>Órganos de Control Interno</t>
  </si>
  <si>
    <t>Decomisan máquinas tragamonedas en la capital</t>
  </si>
  <si>
    <t>FGR</t>
  </si>
  <si>
    <t>Operativo FGR</t>
  </si>
  <si>
    <t>Diseñan dron operado con control mental</t>
  </si>
  <si>
    <t>Investigación académica</t>
  </si>
  <si>
    <t>Aconsejan a Sheinbaum fracking en Tamaulipas</t>
  </si>
  <si>
    <t>Plantea Claudia sustituir a inspectores que pone EU</t>
  </si>
  <si>
    <t>Reunirán a pueblos originarios de seis estados</t>
  </si>
  <si>
    <t>Tlajtoli</t>
  </si>
  <si>
    <t>Simey Olvera denuncia ante el INE violencia política de género</t>
  </si>
  <si>
    <t>Van 99 amonestaciones por invadir carril exclusivo</t>
  </si>
  <si>
    <t>Sitmah</t>
  </si>
  <si>
    <t>Carril confinado</t>
  </si>
  <si>
    <t>Ángel Aguirre manipuló el caso Ayotzinapa, afirma la FGR</t>
  </si>
  <si>
    <t>Detención exgobernador</t>
  </si>
  <si>
    <t>Con operativo Balam buscan blindar rutas del autotransporte</t>
  </si>
  <si>
    <t>GN</t>
  </si>
  <si>
    <t>Inseguridad Carretera</t>
  </si>
  <si>
    <t>La suma de siete municipios a la ZMVM se deberá traducir en presupuesto para obras que  mejoren la conectividad, en controles para impedir la especulación inmobiliaria, e incluso para  crear una policía metropolitana”.</t>
  </si>
  <si>
    <t>Colegio de Notarios emitió más de 20 opiniones técnicas por posibles casos de usurpación de funciones</t>
  </si>
  <si>
    <t>Se pronuncian comerciantes de Central de Abasto de Pachuca contra relocalización a Zapotlán</t>
  </si>
  <si>
    <t>Habrá cierre vial durante 45 días por obras en Felipe Ángeles</t>
  </si>
  <si>
    <t>Gobierno estatal y federal anuncian  rehabilitación de la carretera Pachuca-Huejutla</t>
  </si>
  <si>
    <t>Menchaca Salazar favorece desarrollo de Metztitlán con más de 212 mdp para infraestructura</t>
  </si>
  <si>
    <t>Rutas de la Reconstrucción</t>
  </si>
  <si>
    <t>Realizan entrega de apoyos auditivos a beneficiados en Sierra y Huasteca</t>
  </si>
  <si>
    <t>Apoyos funcionales</t>
  </si>
  <si>
    <t>"Jorge Alberto, entiende, el terreno del mercado no se vende"</t>
  </si>
  <si>
    <t>Enfrentamiento Político</t>
  </si>
  <si>
    <t>Comerciantes recordarán con misa el 36 aniversario del paso del huracán Diana</t>
  </si>
  <si>
    <t>Adolescentes celebran sus 15 años con el respaldo de la Familia DIFH</t>
  </si>
  <si>
    <t>Casa de adolescentes</t>
  </si>
  <si>
    <t>Infonavit abre registro para Vivienda del Bienestar en Mineral de la Reforma</t>
  </si>
  <si>
    <t>Infonavit</t>
  </si>
  <si>
    <t>Plan Nacional De Vivienda</t>
  </si>
  <si>
    <t>Menchaca favorece desarrollo de Metztitlán con más de 212 mdp para infraestructura</t>
  </si>
  <si>
    <t>Pachuca arrastra rezago histórico en vialidades; alcaldía destaca inversión récord para combatir baches</t>
  </si>
  <si>
    <t>Inician reposición de tanque elevado en El Chamizal; obra fortalecerá el suministro de agua</t>
  </si>
  <si>
    <t>Infraestructura Hidráulica</t>
  </si>
  <si>
    <t>Lety Reyes preside banderazo de ampliación de las instalaciones de Protección Civil</t>
  </si>
  <si>
    <t>Remodelación de instalaciones</t>
  </si>
  <si>
    <t>Unidad de Fauna Silvestre recibe cría de mono aullador macho</t>
  </si>
  <si>
    <t>Rescate Animal</t>
  </si>
  <si>
    <t>Gobierno de Hidalgo regresa a Acaxochitlán con seguimiento a planteamientos ciuadanos</t>
  </si>
  <si>
    <t>Mesas de acercamiento</t>
  </si>
  <si>
    <t>Inicia Sipdus sustitución de pavimentación por concreto hidráulico en el bulevar Felipe Ángeles</t>
  </si>
  <si>
    <t>SImey Olvera denuncia ante el INE a Carolina Viggiano</t>
  </si>
  <si>
    <t>Mando coordinado de Tlahuelilpan recupera camioneta robada momentos antes</t>
  </si>
  <si>
    <t>Recuperación De Vehículos Robados</t>
  </si>
  <si>
    <t>Hidalgo tiene algo</t>
  </si>
  <si>
    <t>Promoción turística</t>
  </si>
  <si>
    <t>Egresada del Itesa es reconocida entre las mejores ingenieras de México</t>
  </si>
  <si>
    <t>Excelencia académica</t>
  </si>
  <si>
    <t>Infonavit tendrá registro a Vivienda del Bienestar en Mineral de la Reforma</t>
  </si>
  <si>
    <t>Envía Pachuca mono aullador a Chiapas para su rehabilitación</t>
  </si>
  <si>
    <t>Rehabilitación animal</t>
  </si>
  <si>
    <t>Inicia Sipdus sustitución de pavimento por concreto hidráulico en el Bulevar Felipe Ángeles</t>
  </si>
  <si>
    <t>Gobierno de Hidalgo y SICT anuncian rehabilitación del tramo Zacualtipán-Tehuetlán de lac carretera</t>
  </si>
  <si>
    <t>Insulini y los espantasuegras</t>
  </si>
  <si>
    <t>cult</t>
  </si>
  <si>
    <t>Protegerán a docentes ante violencia cibernética</t>
  </si>
  <si>
    <t>Iniciativa</t>
  </si>
  <si>
    <t>Beneficiarán a Metztitlán con más de 212 millones de pesos</t>
  </si>
  <si>
    <t>Exgobernador de Guerrero ingresa en prisión por caso Ayotzinapa</t>
  </si>
  <si>
    <t>Nuestro país descarta un brote de ciclosporiasis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</si>
</sst>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5" totalsRowShown="0" headerRowDxfId="5" headerRowBorderDxfId="4">
  <autoFilter ref="A1:J65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5"/>
  <sheetViews>
    <sheetView tabSelected="1" topLeftCell="A54" workbookViewId="0">
      <selection activeCell="A65" sqref="A65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46241</v>
      </c>
      <c r="B2" t="s">
        <v>67</v>
      </c>
      <c r="C2" s="5" t="s">
        <v>94</v>
      </c>
      <c r="D2" t="s">
        <v>12</v>
      </c>
      <c r="E2" t="s">
        <v>10</v>
      </c>
      <c r="F2" t="s">
        <v>10</v>
      </c>
      <c r="G2" t="s">
        <v>74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46241</v>
      </c>
      <c r="B3" t="s">
        <v>67</v>
      </c>
      <c r="C3" s="5" t="s">
        <v>95</v>
      </c>
      <c r="D3" t="s">
        <v>12</v>
      </c>
      <c r="E3" t="s">
        <v>10</v>
      </c>
      <c r="F3" t="s">
        <v>10</v>
      </c>
      <c r="G3" t="s">
        <v>74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46241</v>
      </c>
      <c r="B4" t="s">
        <v>67</v>
      </c>
      <c r="C4" s="5" t="s">
        <v>96</v>
      </c>
      <c r="D4" t="s">
        <v>13</v>
      </c>
      <c r="E4" t="s">
        <v>26</v>
      </c>
      <c r="F4" t="s">
        <v>26</v>
      </c>
      <c r="G4" t="s">
        <v>97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35">
      <c r="A5" s="11">
        <v>46241</v>
      </c>
      <c r="B5" t="s">
        <v>67</v>
      </c>
      <c r="C5" s="5" t="s">
        <v>98</v>
      </c>
      <c r="D5" t="s">
        <v>12</v>
      </c>
      <c r="E5" t="s">
        <v>61</v>
      </c>
      <c r="F5" t="s">
        <v>99</v>
      </c>
      <c r="G5" t="s">
        <v>100</v>
      </c>
      <c r="H5" t="s">
        <v>11</v>
      </c>
      <c r="I5" t="str">
        <f>_xlfn.XLOOKUP(Tabla1[[#This Row],[Dependencia]],Tabla2[Dependencia],Tabla2[Clasificación],"XXX",0)</f>
        <v>Sucesión gubernamental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46241</v>
      </c>
      <c r="B6" t="s">
        <v>67</v>
      </c>
      <c r="C6" s="5" t="s">
        <v>101</v>
      </c>
      <c r="D6" t="s">
        <v>9</v>
      </c>
      <c r="E6" t="s">
        <v>10</v>
      </c>
      <c r="F6" t="s">
        <v>10</v>
      </c>
      <c r="G6" t="s">
        <v>102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35">
      <c r="A7" s="11">
        <v>46241</v>
      </c>
      <c r="B7" t="s">
        <v>72</v>
      </c>
      <c r="C7" s="5" t="s">
        <v>103</v>
      </c>
      <c r="D7" t="s">
        <v>12</v>
      </c>
      <c r="E7" t="s">
        <v>14</v>
      </c>
      <c r="F7" t="s">
        <v>14</v>
      </c>
      <c r="G7" t="s">
        <v>104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35">
      <c r="A8" s="11">
        <v>46241</v>
      </c>
      <c r="B8" t="s">
        <v>72</v>
      </c>
      <c r="C8" s="5" t="s">
        <v>105</v>
      </c>
      <c r="D8" t="s">
        <v>9</v>
      </c>
      <c r="E8" t="s">
        <v>28</v>
      </c>
      <c r="F8" t="s">
        <v>28</v>
      </c>
      <c r="G8" t="s">
        <v>106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11">
        <v>46241</v>
      </c>
      <c r="B9" t="s">
        <v>72</v>
      </c>
      <c r="C9" s="5" t="s">
        <v>107</v>
      </c>
      <c r="D9" t="s">
        <v>12</v>
      </c>
      <c r="E9" t="s">
        <v>14</v>
      </c>
      <c r="F9" t="s">
        <v>108</v>
      </c>
      <c r="G9" t="s">
        <v>109</v>
      </c>
      <c r="H9" t="s">
        <v>70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46241</v>
      </c>
      <c r="B10" t="s">
        <v>72</v>
      </c>
      <c r="C10" s="5" t="s">
        <v>110</v>
      </c>
      <c r="D10" t="s">
        <v>13</v>
      </c>
      <c r="E10" t="s">
        <v>10</v>
      </c>
      <c r="F10" t="s">
        <v>10</v>
      </c>
      <c r="G10" t="s">
        <v>111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46241</v>
      </c>
      <c r="B11" t="s">
        <v>72</v>
      </c>
      <c r="C11" s="5" t="s">
        <v>112</v>
      </c>
      <c r="D11" t="s">
        <v>12</v>
      </c>
      <c r="E11" t="s">
        <v>24</v>
      </c>
      <c r="F11" t="s">
        <v>24</v>
      </c>
      <c r="G11" t="s">
        <v>113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Gobernador</v>
      </c>
    </row>
    <row r="12" spans="1:10" x14ac:dyDescent="0.35">
      <c r="A12" s="11">
        <v>46241</v>
      </c>
      <c r="B12" t="s">
        <v>87</v>
      </c>
      <c r="C12" s="5" t="s">
        <v>114</v>
      </c>
      <c r="D12" t="s">
        <v>12</v>
      </c>
      <c r="E12" t="s">
        <v>17</v>
      </c>
      <c r="F12" t="s">
        <v>17</v>
      </c>
      <c r="G12" t="s">
        <v>115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11">
        <v>46241</v>
      </c>
      <c r="B13" t="s">
        <v>87</v>
      </c>
      <c r="C13" s="5" t="s">
        <v>116</v>
      </c>
      <c r="D13" t="s">
        <v>12</v>
      </c>
      <c r="E13" t="s">
        <v>16</v>
      </c>
      <c r="F13" t="s">
        <v>81</v>
      </c>
      <c r="G13" t="s">
        <v>117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46241</v>
      </c>
      <c r="B14" t="s">
        <v>87</v>
      </c>
      <c r="C14" s="5" t="s">
        <v>118</v>
      </c>
      <c r="D14" t="s">
        <v>13</v>
      </c>
      <c r="E14" t="s">
        <v>16</v>
      </c>
      <c r="F14" t="s">
        <v>16</v>
      </c>
      <c r="G14" t="s">
        <v>119</v>
      </c>
      <c r="H14" t="s">
        <v>70</v>
      </c>
      <c r="I14" t="str">
        <f>_xlfn.XLOOKUP(Tabla1[[#This Row],[Dependencia]],Tabla2[Dependencia],Tabla2[Clasificación],"XXX",0)</f>
        <v>Alcaldías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46241</v>
      </c>
      <c r="B15" t="s">
        <v>87</v>
      </c>
      <c r="C15" s="5" t="s">
        <v>120</v>
      </c>
      <c r="D15" t="s">
        <v>12</v>
      </c>
      <c r="E15" t="s">
        <v>10</v>
      </c>
      <c r="F15" t="s">
        <v>10</v>
      </c>
      <c r="G15" t="s">
        <v>75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46241</v>
      </c>
      <c r="B16" t="s">
        <v>87</v>
      </c>
      <c r="C16" s="5" t="s">
        <v>121</v>
      </c>
      <c r="D16" t="s">
        <v>9</v>
      </c>
      <c r="E16" t="s">
        <v>83</v>
      </c>
      <c r="F16" t="s">
        <v>83</v>
      </c>
      <c r="G16" t="s">
        <v>88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46241</v>
      </c>
      <c r="B17" t="s">
        <v>87</v>
      </c>
      <c r="C17" s="5" t="s">
        <v>122</v>
      </c>
      <c r="D17" t="s">
        <v>12</v>
      </c>
      <c r="E17" t="s">
        <v>83</v>
      </c>
      <c r="F17" t="s">
        <v>83</v>
      </c>
      <c r="G17" t="s">
        <v>123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46241</v>
      </c>
      <c r="B18" t="s">
        <v>87</v>
      </c>
      <c r="C18" s="5" t="s">
        <v>124</v>
      </c>
      <c r="D18" t="s">
        <v>12</v>
      </c>
      <c r="E18" t="s">
        <v>10</v>
      </c>
      <c r="F18" t="s">
        <v>10</v>
      </c>
      <c r="G18" t="s">
        <v>75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11">
        <v>46241</v>
      </c>
      <c r="B19" t="s">
        <v>71</v>
      </c>
      <c r="C19" s="5" t="s">
        <v>125</v>
      </c>
      <c r="D19" t="s">
        <v>13</v>
      </c>
      <c r="E19" t="s">
        <v>36</v>
      </c>
      <c r="F19" t="s">
        <v>36</v>
      </c>
      <c r="G19" t="s">
        <v>126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11">
        <v>46241</v>
      </c>
      <c r="B20" t="s">
        <v>71</v>
      </c>
      <c r="C20" s="5" t="s">
        <v>127</v>
      </c>
      <c r="D20" t="s">
        <v>12</v>
      </c>
      <c r="E20" t="s">
        <v>22</v>
      </c>
      <c r="F20" t="s">
        <v>22</v>
      </c>
      <c r="G20" t="s">
        <v>89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11">
        <v>46241</v>
      </c>
      <c r="B21" t="s">
        <v>71</v>
      </c>
      <c r="C21" s="5" t="s">
        <v>128</v>
      </c>
      <c r="D21" t="s">
        <v>12</v>
      </c>
      <c r="E21" t="s">
        <v>22</v>
      </c>
      <c r="F21" t="s">
        <v>22</v>
      </c>
      <c r="G21" t="s">
        <v>82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11">
        <v>46241</v>
      </c>
      <c r="B22" t="s">
        <v>71</v>
      </c>
      <c r="C22" s="5" t="s">
        <v>129</v>
      </c>
      <c r="D22" t="s">
        <v>12</v>
      </c>
      <c r="E22" t="s">
        <v>14</v>
      </c>
      <c r="F22" t="s">
        <v>130</v>
      </c>
      <c r="G22" t="s">
        <v>113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46241</v>
      </c>
      <c r="B23" t="s">
        <v>71</v>
      </c>
      <c r="C23" s="5" t="s">
        <v>131</v>
      </c>
      <c r="D23" t="s">
        <v>12</v>
      </c>
      <c r="E23" t="s">
        <v>10</v>
      </c>
      <c r="F23" t="s">
        <v>10</v>
      </c>
      <c r="G23" t="s">
        <v>132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46241</v>
      </c>
      <c r="B24" t="s">
        <v>71</v>
      </c>
      <c r="C24" s="5" t="s">
        <v>133</v>
      </c>
      <c r="D24" t="s">
        <v>12</v>
      </c>
      <c r="E24" t="s">
        <v>57</v>
      </c>
      <c r="F24" t="s">
        <v>57</v>
      </c>
      <c r="G24" t="s">
        <v>134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46241</v>
      </c>
      <c r="B25" t="s">
        <v>71</v>
      </c>
      <c r="C25" s="5" t="s">
        <v>135</v>
      </c>
      <c r="D25" t="s">
        <v>9</v>
      </c>
      <c r="E25" t="s">
        <v>14</v>
      </c>
      <c r="F25" t="s">
        <v>136</v>
      </c>
      <c r="G25" t="s">
        <v>137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11">
        <v>46241</v>
      </c>
      <c r="B26" t="s">
        <v>71</v>
      </c>
      <c r="C26" s="5" t="s">
        <v>138</v>
      </c>
      <c r="D26" t="s">
        <v>12</v>
      </c>
      <c r="E26" t="s">
        <v>26</v>
      </c>
      <c r="F26" t="s">
        <v>26</v>
      </c>
      <c r="G26" t="s">
        <v>139</v>
      </c>
      <c r="H26" t="s">
        <v>11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11">
        <v>46241</v>
      </c>
      <c r="B27" t="s">
        <v>71</v>
      </c>
      <c r="C27" s="5" t="s">
        <v>140</v>
      </c>
      <c r="D27" t="s">
        <v>12</v>
      </c>
      <c r="E27" t="s">
        <v>14</v>
      </c>
      <c r="F27" t="s">
        <v>14</v>
      </c>
      <c r="G27" t="s">
        <v>104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46241</v>
      </c>
      <c r="B28" t="s">
        <v>71</v>
      </c>
      <c r="C28" s="5" t="s">
        <v>141</v>
      </c>
      <c r="D28" t="s">
        <v>12</v>
      </c>
      <c r="E28" t="s">
        <v>14</v>
      </c>
      <c r="F28" t="s">
        <v>14</v>
      </c>
      <c r="G28" t="s">
        <v>85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35">
      <c r="A29" s="11">
        <v>46241</v>
      </c>
      <c r="B29" t="s">
        <v>71</v>
      </c>
      <c r="C29" s="5" t="s">
        <v>142</v>
      </c>
      <c r="D29" t="s">
        <v>12</v>
      </c>
      <c r="E29" t="s">
        <v>16</v>
      </c>
      <c r="F29" t="s">
        <v>81</v>
      </c>
      <c r="G29" t="s">
        <v>143</v>
      </c>
      <c r="H29" t="s">
        <v>11</v>
      </c>
      <c r="I29" t="str">
        <f>_xlfn.XLOOKUP(Tabla1[[#This Row],[Dependencia]],Tabla2[Dependencia],Tabla2[Clasificación],"XXX",0)</f>
        <v>Alcaldías</v>
      </c>
      <c r="J29" t="str">
        <f>_xlfn.XLOOKUP(Tabla1[[#This Row],[Dependencia]],Tabla3[Dependencia],Tabla3[Nivel],"Otros",0)</f>
        <v>Otros</v>
      </c>
    </row>
    <row r="30" spans="1:10" ht="29" x14ac:dyDescent="0.35">
      <c r="A30" s="11">
        <v>46241</v>
      </c>
      <c r="B30" t="s">
        <v>68</v>
      </c>
      <c r="C30" s="5" t="s">
        <v>144</v>
      </c>
      <c r="D30" t="s">
        <v>12</v>
      </c>
      <c r="E30" t="s">
        <v>61</v>
      </c>
      <c r="F30" t="s">
        <v>99</v>
      </c>
      <c r="G30" t="s">
        <v>100</v>
      </c>
      <c r="H30" t="s">
        <v>11</v>
      </c>
      <c r="I30" t="str">
        <f>_xlfn.XLOOKUP(Tabla1[[#This Row],[Dependencia]],Tabla2[Dependencia],Tabla2[Clasificación],"XXX",0)</f>
        <v>Sucesión gubernamental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46241</v>
      </c>
      <c r="B31" t="s">
        <v>68</v>
      </c>
      <c r="C31" s="5" t="s">
        <v>145</v>
      </c>
      <c r="D31" t="s">
        <v>9</v>
      </c>
      <c r="E31" t="s">
        <v>27</v>
      </c>
      <c r="F31" t="s">
        <v>146</v>
      </c>
      <c r="G31" t="s">
        <v>147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35">
      <c r="A32" s="11">
        <v>46241</v>
      </c>
      <c r="B32" t="s">
        <v>68</v>
      </c>
      <c r="C32" s="5" t="s">
        <v>148</v>
      </c>
      <c r="D32" t="s">
        <v>12</v>
      </c>
      <c r="E32" t="s">
        <v>14</v>
      </c>
      <c r="F32" t="s">
        <v>136</v>
      </c>
      <c r="G32" t="s">
        <v>149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x14ac:dyDescent="0.35">
      <c r="A33" s="11">
        <v>46241</v>
      </c>
      <c r="B33" t="s">
        <v>68</v>
      </c>
      <c r="C33" s="5" t="s">
        <v>150</v>
      </c>
      <c r="D33" t="s">
        <v>13</v>
      </c>
      <c r="E33" t="s">
        <v>14</v>
      </c>
      <c r="F33" t="s">
        <v>151</v>
      </c>
      <c r="G33" t="s">
        <v>152</v>
      </c>
      <c r="H33" t="s">
        <v>11</v>
      </c>
      <c r="I33" t="str">
        <f>_xlfn.XLOOKUP(Tabla1[[#This Row],[Dependencia]],Tabla2[Dependencia],Tabla2[Clasificación],"XXX",0)</f>
        <v>Presidencia de la República</v>
      </c>
      <c r="J33" t="str">
        <f>_xlfn.XLOOKUP(Tabla1[[#This Row],[Dependencia]],Tabla3[Dependencia],Tabla3[Nivel],"Otros",0)</f>
        <v>Otros</v>
      </c>
    </row>
    <row r="34" spans="1:10" ht="58" x14ac:dyDescent="0.35">
      <c r="A34" s="11">
        <v>46241</v>
      </c>
      <c r="B34" t="s">
        <v>68</v>
      </c>
      <c r="C34" s="5" t="s">
        <v>153</v>
      </c>
      <c r="D34" t="s">
        <v>12</v>
      </c>
      <c r="E34" t="s">
        <v>24</v>
      </c>
      <c r="F34" t="s">
        <v>24</v>
      </c>
      <c r="G34" t="s">
        <v>80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Gobernador</v>
      </c>
    </row>
    <row r="35" spans="1:10" ht="29" x14ac:dyDescent="0.35">
      <c r="A35" s="11">
        <v>46241</v>
      </c>
      <c r="B35" t="s">
        <v>68</v>
      </c>
      <c r="C35" s="5" t="s">
        <v>154</v>
      </c>
      <c r="D35" t="s">
        <v>13</v>
      </c>
      <c r="E35" t="s">
        <v>10</v>
      </c>
      <c r="F35" t="s">
        <v>10</v>
      </c>
      <c r="G35" t="s">
        <v>74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29" x14ac:dyDescent="0.35">
      <c r="A36" s="11">
        <v>46241</v>
      </c>
      <c r="B36" t="s">
        <v>68</v>
      </c>
      <c r="C36" s="5" t="s">
        <v>155</v>
      </c>
      <c r="D36" t="s">
        <v>12</v>
      </c>
      <c r="E36" t="s">
        <v>54</v>
      </c>
      <c r="F36" t="s">
        <v>54</v>
      </c>
      <c r="G36" t="s">
        <v>86</v>
      </c>
      <c r="H36" t="s">
        <v>70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x14ac:dyDescent="0.35">
      <c r="A37" s="11">
        <v>46241</v>
      </c>
      <c r="B37" t="s">
        <v>68</v>
      </c>
      <c r="C37" s="5" t="s">
        <v>156</v>
      </c>
      <c r="D37" t="s">
        <v>12</v>
      </c>
      <c r="E37" t="s">
        <v>83</v>
      </c>
      <c r="F37" t="s">
        <v>83</v>
      </c>
      <c r="G37" t="s">
        <v>84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11">
        <v>46241</v>
      </c>
      <c r="B38" t="s">
        <v>68</v>
      </c>
      <c r="C38" s="5" t="s">
        <v>157</v>
      </c>
      <c r="D38" t="s">
        <v>12</v>
      </c>
      <c r="E38" t="s">
        <v>24</v>
      </c>
      <c r="F38" t="s">
        <v>24</v>
      </c>
      <c r="G38" t="s">
        <v>113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ht="29" x14ac:dyDescent="0.35">
      <c r="A39" s="11">
        <v>46241</v>
      </c>
      <c r="B39" t="s">
        <v>79</v>
      </c>
      <c r="C39" s="5" t="s">
        <v>158</v>
      </c>
      <c r="D39" t="s">
        <v>9</v>
      </c>
      <c r="E39" t="s">
        <v>24</v>
      </c>
      <c r="F39" t="s">
        <v>24</v>
      </c>
      <c r="G39" t="s">
        <v>159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Gobernador</v>
      </c>
    </row>
    <row r="40" spans="1:10" ht="29" x14ac:dyDescent="0.35">
      <c r="A40" s="11">
        <v>46241</v>
      </c>
      <c r="B40" t="s">
        <v>79</v>
      </c>
      <c r="C40" s="5" t="s">
        <v>160</v>
      </c>
      <c r="D40" t="s">
        <v>12</v>
      </c>
      <c r="E40" t="s">
        <v>16</v>
      </c>
      <c r="F40" t="s">
        <v>16</v>
      </c>
      <c r="G40" t="s">
        <v>161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11">
        <v>46241</v>
      </c>
      <c r="B41" t="s">
        <v>79</v>
      </c>
      <c r="C41" s="5" t="s">
        <v>162</v>
      </c>
      <c r="D41" t="s">
        <v>13</v>
      </c>
      <c r="E41" t="s">
        <v>16</v>
      </c>
      <c r="F41" t="s">
        <v>16</v>
      </c>
      <c r="G41" t="s">
        <v>163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46241</v>
      </c>
      <c r="B42" t="s">
        <v>79</v>
      </c>
      <c r="C42" s="5" t="s">
        <v>164</v>
      </c>
      <c r="D42" t="s">
        <v>12</v>
      </c>
      <c r="E42" t="s">
        <v>10</v>
      </c>
      <c r="F42" t="s">
        <v>10</v>
      </c>
      <c r="G42" t="s">
        <v>74</v>
      </c>
      <c r="H42" t="s">
        <v>11</v>
      </c>
      <c r="I42" t="str">
        <f>_xlfn.XLOOKUP(Tabla1[[#This Row],[Dependencia]],Tabla2[Dependencia],Tabla2[Clasificación],"XXX",0)</f>
        <v>Otros</v>
      </c>
      <c r="J42" t="str">
        <f>_xlfn.XLOOKUP(Tabla1[[#This Row],[Dependencia]],Tabla3[Dependencia],Tabla3[Nivel],"Otros",0)</f>
        <v>Otros</v>
      </c>
    </row>
    <row r="43" spans="1:10" ht="29" x14ac:dyDescent="0.35">
      <c r="A43" s="11">
        <v>46241</v>
      </c>
      <c r="B43" t="s">
        <v>79</v>
      </c>
      <c r="C43" s="5" t="s">
        <v>165</v>
      </c>
      <c r="D43" t="s">
        <v>12</v>
      </c>
      <c r="E43" t="s">
        <v>36</v>
      </c>
      <c r="F43" t="s">
        <v>36</v>
      </c>
      <c r="G43" t="s">
        <v>166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29" x14ac:dyDescent="0.35">
      <c r="A44" s="11">
        <v>46241</v>
      </c>
      <c r="B44" t="s">
        <v>91</v>
      </c>
      <c r="C44" s="5" t="s">
        <v>167</v>
      </c>
      <c r="D44" t="s">
        <v>92</v>
      </c>
      <c r="E44" t="s">
        <v>14</v>
      </c>
      <c r="F44" t="s">
        <v>168</v>
      </c>
      <c r="G44" t="s">
        <v>169</v>
      </c>
      <c r="H44" t="s">
        <v>11</v>
      </c>
      <c r="I44" t="str">
        <f>_xlfn.XLOOKUP(Tabla1[[#This Row],[Dependencia]],Tabla2[Dependencia],Tabla2[Clasificación],"XXX",0)</f>
        <v>Presidencia de la República</v>
      </c>
      <c r="J44" t="str">
        <f>_xlfn.XLOOKUP(Tabla1[[#This Row],[Dependencia]],Tabla3[Dependencia],Tabla3[Nivel],"Otros",0)</f>
        <v>Otros</v>
      </c>
    </row>
    <row r="45" spans="1:10" ht="29" x14ac:dyDescent="0.35">
      <c r="A45" s="11">
        <v>46241</v>
      </c>
      <c r="B45" t="s">
        <v>91</v>
      </c>
      <c r="C45" s="5" t="s">
        <v>170</v>
      </c>
      <c r="D45" t="s">
        <v>12</v>
      </c>
      <c r="E45" t="s">
        <v>24</v>
      </c>
      <c r="F45" t="s">
        <v>24</v>
      </c>
      <c r="G45" t="s">
        <v>159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Gobernador</v>
      </c>
    </row>
    <row r="46" spans="1:10" ht="29" x14ac:dyDescent="0.35">
      <c r="A46" s="11">
        <v>46241</v>
      </c>
      <c r="B46" t="s">
        <v>91</v>
      </c>
      <c r="C46" s="5" t="s">
        <v>171</v>
      </c>
      <c r="D46" t="s">
        <v>13</v>
      </c>
      <c r="E46" t="s">
        <v>16</v>
      </c>
      <c r="F46" t="s">
        <v>81</v>
      </c>
      <c r="G46" t="s">
        <v>90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ht="29" x14ac:dyDescent="0.35">
      <c r="A47" s="11">
        <v>46241</v>
      </c>
      <c r="B47" t="s">
        <v>91</v>
      </c>
      <c r="C47" s="5" t="s">
        <v>172</v>
      </c>
      <c r="D47" t="s">
        <v>12</v>
      </c>
      <c r="E47" t="s">
        <v>16</v>
      </c>
      <c r="F47" t="s">
        <v>16</v>
      </c>
      <c r="G47" t="s">
        <v>173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11">
        <v>46241</v>
      </c>
      <c r="B48" t="s">
        <v>91</v>
      </c>
      <c r="C48" s="5" t="s">
        <v>174</v>
      </c>
      <c r="D48" t="s">
        <v>12</v>
      </c>
      <c r="E48" t="s">
        <v>16</v>
      </c>
      <c r="F48" t="s">
        <v>16</v>
      </c>
      <c r="G48" t="s">
        <v>175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29" x14ac:dyDescent="0.35">
      <c r="A49" s="11">
        <v>46241</v>
      </c>
      <c r="B49" t="s">
        <v>91</v>
      </c>
      <c r="C49" s="5" t="s">
        <v>176</v>
      </c>
      <c r="D49" t="s">
        <v>12</v>
      </c>
      <c r="E49" t="s">
        <v>16</v>
      </c>
      <c r="F49" t="s">
        <v>16</v>
      </c>
      <c r="G49" t="s">
        <v>177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11">
        <v>46241</v>
      </c>
      <c r="B50" t="s">
        <v>91</v>
      </c>
      <c r="C50" s="5" t="s">
        <v>178</v>
      </c>
      <c r="D50" t="s">
        <v>12</v>
      </c>
      <c r="E50" t="s">
        <v>23</v>
      </c>
      <c r="F50" t="s">
        <v>23</v>
      </c>
      <c r="G50" t="s">
        <v>179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11">
        <v>46241</v>
      </c>
      <c r="B51" t="s">
        <v>91</v>
      </c>
      <c r="C51" s="5" t="s">
        <v>180</v>
      </c>
      <c r="D51" t="s">
        <v>12</v>
      </c>
      <c r="E51" t="s">
        <v>83</v>
      </c>
      <c r="F51" t="s">
        <v>83</v>
      </c>
      <c r="G51" t="s">
        <v>84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35">
      <c r="A52" s="11">
        <v>46241</v>
      </c>
      <c r="B52" t="s">
        <v>91</v>
      </c>
      <c r="C52" s="5" t="s">
        <v>181</v>
      </c>
      <c r="D52" t="s">
        <v>12</v>
      </c>
      <c r="E52" t="s">
        <v>61</v>
      </c>
      <c r="F52" t="s">
        <v>99</v>
      </c>
      <c r="G52" t="s">
        <v>100</v>
      </c>
      <c r="H52" t="s">
        <v>11</v>
      </c>
      <c r="I52" t="str">
        <f>_xlfn.XLOOKUP(Tabla1[[#This Row],[Dependencia]],Tabla2[Dependencia],Tabla2[Clasificación],"XXX",0)</f>
        <v>Sucesión gubernamental</v>
      </c>
      <c r="J52" t="str">
        <f>_xlfn.XLOOKUP(Tabla1[[#This Row],[Dependencia]],Tabla3[Dependencia],Tabla3[Nivel],"Otros",0)</f>
        <v>Otros</v>
      </c>
    </row>
    <row r="53" spans="1:10" ht="29" x14ac:dyDescent="0.35">
      <c r="A53" s="11">
        <v>46241</v>
      </c>
      <c r="B53" t="s">
        <v>91</v>
      </c>
      <c r="C53" s="5" t="s">
        <v>182</v>
      </c>
      <c r="D53" t="s">
        <v>12</v>
      </c>
      <c r="E53" t="s">
        <v>22</v>
      </c>
      <c r="F53" t="s">
        <v>22</v>
      </c>
      <c r="G53" t="s">
        <v>183</v>
      </c>
      <c r="H53" t="s">
        <v>11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35">
      <c r="A54" s="11">
        <v>46241</v>
      </c>
      <c r="B54" t="s">
        <v>91</v>
      </c>
      <c r="C54" s="5" t="s">
        <v>184</v>
      </c>
      <c r="D54" t="s">
        <v>77</v>
      </c>
      <c r="E54" t="s">
        <v>29</v>
      </c>
      <c r="F54" t="s">
        <v>29</v>
      </c>
      <c r="G54" t="s">
        <v>185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29" x14ac:dyDescent="0.35">
      <c r="A55" s="11">
        <v>46241</v>
      </c>
      <c r="B55" t="s">
        <v>73</v>
      </c>
      <c r="C55" s="5" t="s">
        <v>186</v>
      </c>
      <c r="D55" t="s">
        <v>12</v>
      </c>
      <c r="E55" t="s">
        <v>26</v>
      </c>
      <c r="F55" t="s">
        <v>26</v>
      </c>
      <c r="G55" t="s">
        <v>187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11">
        <v>46241</v>
      </c>
      <c r="B56" t="s">
        <v>73</v>
      </c>
      <c r="C56" s="5" t="s">
        <v>188</v>
      </c>
      <c r="D56" t="s">
        <v>13</v>
      </c>
      <c r="E56" t="s">
        <v>14</v>
      </c>
      <c r="F56" t="s">
        <v>168</v>
      </c>
      <c r="G56" t="s">
        <v>169</v>
      </c>
      <c r="H56" t="s">
        <v>11</v>
      </c>
      <c r="I56" t="str">
        <f>_xlfn.XLOOKUP(Tabla1[[#This Row],[Dependencia]],Tabla2[Dependencia],Tabla2[Clasificación],"XXX",0)</f>
        <v>Presidencia de la República</v>
      </c>
      <c r="J56" t="str">
        <f>_xlfn.XLOOKUP(Tabla1[[#This Row],[Dependencia]],Tabla3[Dependencia],Tabla3[Nivel],"Otros",0)</f>
        <v>Otros</v>
      </c>
    </row>
    <row r="57" spans="1:10" ht="29" x14ac:dyDescent="0.35">
      <c r="A57" s="11">
        <v>46241</v>
      </c>
      <c r="B57" t="s">
        <v>73</v>
      </c>
      <c r="C57" s="5" t="s">
        <v>189</v>
      </c>
      <c r="D57" t="s">
        <v>12</v>
      </c>
      <c r="E57" t="s">
        <v>16</v>
      </c>
      <c r="F57" t="s">
        <v>16</v>
      </c>
      <c r="G57" t="s">
        <v>190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46241</v>
      </c>
      <c r="B58" t="s">
        <v>73</v>
      </c>
      <c r="C58" s="5" t="s">
        <v>191</v>
      </c>
      <c r="D58" t="s">
        <v>12</v>
      </c>
      <c r="E58" t="s">
        <v>83</v>
      </c>
      <c r="F58" t="s">
        <v>83</v>
      </c>
      <c r="G58" t="s">
        <v>84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11">
        <v>46241</v>
      </c>
      <c r="B59" t="s">
        <v>73</v>
      </c>
      <c r="C59" s="5" t="s">
        <v>192</v>
      </c>
      <c r="D59" t="s">
        <v>12</v>
      </c>
      <c r="E59" t="s">
        <v>24</v>
      </c>
      <c r="F59" t="s">
        <v>24</v>
      </c>
      <c r="G59" t="s">
        <v>113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Gobernador</v>
      </c>
    </row>
    <row r="60" spans="1:10" x14ac:dyDescent="0.35">
      <c r="A60" s="11">
        <v>46241</v>
      </c>
      <c r="B60" t="s">
        <v>73</v>
      </c>
      <c r="C60" s="5" t="s">
        <v>193</v>
      </c>
      <c r="D60" t="s">
        <v>77</v>
      </c>
      <c r="E60" t="s">
        <v>28</v>
      </c>
      <c r="F60" t="s">
        <v>194</v>
      </c>
      <c r="G60" t="s">
        <v>106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46241</v>
      </c>
      <c r="B61" t="s">
        <v>73</v>
      </c>
      <c r="C61" s="5" t="s">
        <v>93</v>
      </c>
      <c r="D61" t="s">
        <v>77</v>
      </c>
      <c r="E61" t="s">
        <v>16</v>
      </c>
      <c r="F61" t="s">
        <v>16</v>
      </c>
      <c r="G61" t="s">
        <v>78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x14ac:dyDescent="0.35">
      <c r="A62" s="11">
        <v>46241</v>
      </c>
      <c r="B62" t="s">
        <v>76</v>
      </c>
      <c r="C62" s="5" t="s">
        <v>195</v>
      </c>
      <c r="D62" t="s">
        <v>13</v>
      </c>
      <c r="E62" t="s">
        <v>33</v>
      </c>
      <c r="F62" t="s">
        <v>33</v>
      </c>
      <c r="G62" t="s">
        <v>196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46241</v>
      </c>
      <c r="B63" t="s">
        <v>76</v>
      </c>
      <c r="C63" s="5" t="s">
        <v>197</v>
      </c>
      <c r="D63" t="s">
        <v>12</v>
      </c>
      <c r="E63" t="s">
        <v>24</v>
      </c>
      <c r="F63" t="s">
        <v>24</v>
      </c>
      <c r="G63" t="s">
        <v>159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Gobernador</v>
      </c>
    </row>
    <row r="64" spans="1:10" ht="29" x14ac:dyDescent="0.35">
      <c r="A64" s="11">
        <v>46241</v>
      </c>
      <c r="B64" t="s">
        <v>76</v>
      </c>
      <c r="C64" s="5" t="s">
        <v>198</v>
      </c>
      <c r="D64" t="s">
        <v>12</v>
      </c>
      <c r="E64" t="s">
        <v>14</v>
      </c>
      <c r="F64" t="s">
        <v>14</v>
      </c>
      <c r="G64" t="s">
        <v>149</v>
      </c>
      <c r="H64" t="s">
        <v>11</v>
      </c>
      <c r="I64" t="str">
        <f>_xlfn.XLOOKUP(Tabla1[[#This Row],[Dependencia]],Tabla2[Dependencia],Tabla2[Clasificación],"XXX",0)</f>
        <v>Presidencia de la República</v>
      </c>
      <c r="J64" t="str">
        <f>_xlfn.XLOOKUP(Tabla1[[#This Row],[Dependencia]],Tabla3[Dependencia],Tabla3[Nivel],"Otros",0)</f>
        <v>Otros</v>
      </c>
    </row>
    <row r="65" spans="1:10" x14ac:dyDescent="0.35">
      <c r="A65" s="11">
        <v>46241</v>
      </c>
      <c r="B65" t="s">
        <v>76</v>
      </c>
      <c r="C65" s="5" t="s">
        <v>199</v>
      </c>
      <c r="D65" t="s">
        <v>12</v>
      </c>
      <c r="E65" t="s">
        <v>14</v>
      </c>
      <c r="F65" t="s">
        <v>14</v>
      </c>
      <c r="G65" t="s">
        <v>85</v>
      </c>
      <c r="H65" t="s">
        <v>11</v>
      </c>
      <c r="I65" t="str">
        <f>_xlfn.XLOOKUP(Tabla1[[#This Row],[Dependencia]],Tabla2[Dependencia],Tabla2[Clasificación],"XXX",0)</f>
        <v>Presidencia de la República</v>
      </c>
      <c r="J65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2026-08-07T19:03:48Z</dcterms:modified>
</cp:coreProperties>
</file>