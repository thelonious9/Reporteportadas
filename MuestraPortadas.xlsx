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FB13B3CE-46E2-4648-BB70-17ECF8BA4E1F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I2" i="1"/>
  <c r="J2" i="1"/>
</calcChain>
</file>

<file path=xl/sharedStrings.xml><?xml version="1.0" encoding="utf-8"?>
<sst xmlns="http://schemas.openxmlformats.org/spreadsheetml/2006/main" count="615" uniqueCount="192">
  <si>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</si>
  <si>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</si>
  <si>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</si>
  <si>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</si>
  <si>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</si>
  <si>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</si>
  <si>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</si>
  <si>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</si>
  <si>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</si>
  <si>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</si>
  <si>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</si>
  <si>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</si>
  <si>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</si>
  <si>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</si>
  <si>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</si>
  <si>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</si>
  <si>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</si>
  <si>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</si>
  <si>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</si>
  <si>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</si>
  <si>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</si>
  <si>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</si>
  <si>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</si>
  <si>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</si>
  <si>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</si>
  <si>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</si>
  <si>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</si>
  <si>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</si>
  <si>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</si>
  <si>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</si>
  <si>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</si>
  <si>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</si>
  <si>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</si>
  <si>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</si>
  <si>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</si>
  <si>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</si>
  <si>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</si>
  <si>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</si>
  <si>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</si>
  <si>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</si>
  <si>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</si>
  <si>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</si>
  <si>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</si>
  <si>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</si>
  <si>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</si>
  <si>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</si>
  <si>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</si>
  <si>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</si>
  <si>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</si>
  <si>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</si>
  <si>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</si>
  <si>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</si>
  <si>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</si>
  <si>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</si>
  <si>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</si>
  <si>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</si>
  <si>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</si>
  <si>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</si>
  <si>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</si>
  <si>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</si>
  <si>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</si>
  <si>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</si>
  <si>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</si>
  <si>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</si>
  <si>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</si>
  <si>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</si>
  <si>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</si>
  <si>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</si>
  <si>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</si>
  <si>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</si>
  <si>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</si>
  <si>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</si>
  <si>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</si>
  <si>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La Jornada Hidalgo</t>
  </si>
  <si>
    <t>OCSAD</t>
  </si>
  <si>
    <t>Mundial De Futbol</t>
  </si>
  <si>
    <t>Effetá</t>
  </si>
  <si>
    <t>Alcalde</t>
  </si>
  <si>
    <t>Plaza Juárez</t>
  </si>
  <si>
    <t>Criterio</t>
  </si>
  <si>
    <t>Sipdus</t>
  </si>
  <si>
    <t>Marfeca</t>
  </si>
  <si>
    <t>Cintillo</t>
  </si>
  <si>
    <t>Publicidad</t>
  </si>
  <si>
    <t>Afectaciones Por Lluvias</t>
  </si>
  <si>
    <t>Atención Afectaciones Por Lluvias</t>
  </si>
  <si>
    <t>Conagua</t>
  </si>
  <si>
    <t>Temas varios</t>
  </si>
  <si>
    <t>Nuevo Hospital General</t>
  </si>
  <si>
    <t>Policía municipal</t>
  </si>
  <si>
    <t>Apoyo Al Agro</t>
  </si>
  <si>
    <t>Detención</t>
  </si>
  <si>
    <t>Pachuca Brilla</t>
  </si>
  <si>
    <t>Planilla blanca gana elección en SUTEUAEH</t>
  </si>
  <si>
    <t>Elección de dirigencia</t>
  </si>
  <si>
    <t>Alerta por mordeduras de serpiente en Hidalgo</t>
  </si>
  <si>
    <t>Salud</t>
  </si>
  <si>
    <t>Alerta Sanitaria</t>
  </si>
  <si>
    <t>Chimalpa se inunda por lluvias</t>
  </si>
  <si>
    <t>España sufre y pierde su lugar como favorita</t>
  </si>
  <si>
    <t>Más de 10 apoyos para mujeres</t>
  </si>
  <si>
    <t>Apoyo A La Mujer</t>
  </si>
  <si>
    <t>Destinan gobiernos estatal y federal 6.9 mil mdp para reconstruir carreteras</t>
  </si>
  <si>
    <t>Zafarrancho en cabildo de La Reforma</t>
  </si>
  <si>
    <t>Enfrentamiento</t>
  </si>
  <si>
    <t>Hidalgo, segundo con más becas universitarias</t>
  </si>
  <si>
    <t>Becas Para La Transformación</t>
  </si>
  <si>
    <t>Cabo de miedo para España</t>
  </si>
  <si>
    <t>Conagua admite retraso por mosco culex</t>
  </si>
  <si>
    <t>Control lirio acuático</t>
  </si>
  <si>
    <t>Sheinbaum pone de ejemplo a Hidalgo</t>
  </si>
  <si>
    <t>Plan Nacional De Vivienda</t>
  </si>
  <si>
    <t>España y Uruguay tropiezan en debut</t>
  </si>
  <si>
    <t>La defensa del título comienza</t>
  </si>
  <si>
    <t>AUMENTAN A MÁS DE  260 MDP FONDO PARA  REHABILITAR ESCUELAS</t>
  </si>
  <si>
    <t>Infraestructura escolar</t>
  </si>
  <si>
    <t>DESCARTAN QUE  EL COSTO PARA EL NUEVO SALÓN DE  PLENOS SEA ALTO</t>
  </si>
  <si>
    <t>Salón De Plenos</t>
  </si>
  <si>
    <t>VAN 2 MUERTES POR ATROPELLAMIENTO EN EL FELIPE ÁNGELES</t>
  </si>
  <si>
    <t>Atropellamiento</t>
  </si>
  <si>
    <t>Solo retirarán los árboles muertos o que tengan plaga</t>
  </si>
  <si>
    <t>Complejo Gubernamental</t>
  </si>
  <si>
    <t>"Hay diálogo abierto con los comerciantes", dice alcalde</t>
  </si>
  <si>
    <t>Ambulantaje</t>
  </si>
  <si>
    <t>Habrá sanciones por deficiencias en obras del hospital: Menchaca</t>
  </si>
  <si>
    <t>Resisten Cabo  Verde, Egipto y  Arabia Saudita</t>
  </si>
  <si>
    <t>Becas. Hidalgo, segundo estado con más apoyo a universitarios</t>
  </si>
  <si>
    <t>Van a prisión preventiva nueve de cada 10 detenidos en 12 meses; esperan juicio</t>
  </si>
  <si>
    <t>Procuraduría del Menor Se suman 10 municipios a  la iniciativa de protección</t>
  </si>
  <si>
    <t>Procuraduría Municipal del Menor</t>
  </si>
  <si>
    <t>Fentanilo: México en el top 10 por consumo legal</t>
  </si>
  <si>
    <t>Conagua detecta 121 zonas de riesgo por inundaciones; están alerta</t>
  </si>
  <si>
    <t>Prevención de inundaciones</t>
  </si>
  <si>
    <t>Ejecutivo eroga  $130 millones para 17 mil becas</t>
  </si>
  <si>
    <t>Hay colchón presupuestal en caso de sobrecostos en proyectos</t>
  </si>
  <si>
    <t>Deuda Pública</t>
  </si>
  <si>
    <t>Ahora asesinan a un exalcalde en Oaxaca</t>
  </si>
  <si>
    <t>Ejecución Alcalde</t>
  </si>
  <si>
    <t>La meta es alcanzar una cobertura del 85% en bachillerato para 2030. Si se cumple, la entidad llegará a esa  fecha con una generación más educada, con mejores condiciones salariales y menor dependencia de la  migración como única salida”.</t>
  </si>
  <si>
    <t>Media superior</t>
  </si>
  <si>
    <t>Cobertura educativa</t>
  </si>
  <si>
    <t>Gobierno estatal beca a más de 17 mil universitarios</t>
  </si>
  <si>
    <t>Lluvias por tormenta Boris dejan 46 caminos afectados; ocho están totalmente cerrados</t>
  </si>
  <si>
    <t>Mantiene Conagua monitoreo permanente en presas y ríos de Hidalgo; reporta desfogues continuos</t>
  </si>
  <si>
    <t>Monitoreo De Presas</t>
  </si>
  <si>
    <t>Ofrecen apoyo para que adultos mayores visiten a hijos en Estados Unidos</t>
  </si>
  <si>
    <t>Apoyo A Migrantes</t>
  </si>
  <si>
    <t>Realizan histórica cirugía de oído a paciente con malformación congénita</t>
  </si>
  <si>
    <t>IMSS</t>
  </si>
  <si>
    <t>Hidalgo, segundo estado con más becas para universitarios: Julio Menchaca</t>
  </si>
  <si>
    <t>Piden revisar instalaciones eléctricas para evitar incendios en casa</t>
  </si>
  <si>
    <t>Prevención de incendios</t>
  </si>
  <si>
    <t>Sancionan a comerciantes por dañar muros de la Catedral</t>
  </si>
  <si>
    <t>Conservación del Patrimonio Cultural</t>
  </si>
  <si>
    <t>HABITANTES DE SAN ANTONIO CELEBRAN SU FIESTA PATRONAL</t>
  </si>
  <si>
    <t>Fiesta patronal</t>
  </si>
  <si>
    <t>Anuncian reconstrucción de puentes</t>
  </si>
  <si>
    <t>SICT</t>
  </si>
  <si>
    <t>Mañanera de Hidalgo</t>
  </si>
  <si>
    <t>Reporta Conagua desfogues continuos de presas</t>
  </si>
  <si>
    <t>Desfogue De Presa</t>
  </si>
  <si>
    <t>No les veo muchas ganas de participar"": Menchaca sobre posibles candidatos de su gabinete</t>
  </si>
  <si>
    <t>Sucesión Gubernamental</t>
  </si>
  <si>
    <t>Con vivienda para el Bienestar en 2026 arrancan obra 10 mil casas en Hidalgo</t>
  </si>
  <si>
    <t>Alma Lidia de la Vega resalta respaldo de Julio Menchaca al campo</t>
  </si>
  <si>
    <t>Tensión en el Cabildo de Mineral de la Reforma</t>
  </si>
  <si>
    <t>Boris deja daños en 46 caminos y nueve puentes</t>
  </si>
  <si>
    <t>Policía de Pachuca localiza a adolescente reportada como desaparecida</t>
  </si>
  <si>
    <t>Localización de persona</t>
  </si>
  <si>
    <t>Hidalgo define a quienes vigilarán la legalidad, la transparencia y el combate a la corrupción durante los próximos cuatro años</t>
  </si>
  <si>
    <t>OIC</t>
  </si>
  <si>
    <t>Inician obras de pavimentación y drenaje sanitario en Tlaxcoapan con inversión superior a 2.5 mdp</t>
  </si>
  <si>
    <t>Obras De Infraestructura</t>
  </si>
  <si>
    <t>Tlahuelilpan alista el festival ""PAPAlotes al viento"" para celebrar el Día del Padre</t>
  </si>
  <si>
    <t>Día del Padre</t>
  </si>
  <si>
    <t>Impulsa Hidalgo el desarrollo agropecuario con enetrega de apoyos por más de 3.3 mdp en Cuautepec</t>
  </si>
  <si>
    <t>Gabinete de Seguridad de Hidalgo frena a narcomenudistas en 11 municipios</t>
  </si>
  <si>
    <t>Reunión Gabinete De Seguridad</t>
  </si>
  <si>
    <t>Mantiene Conagua monitoreo permanente en presas y ríos de Hidalgo</t>
  </si>
  <si>
    <t>SEPH logra 415 mdp para infraestructura educativa</t>
  </si>
  <si>
    <t>Estamos contratando operador para Thermo</t>
  </si>
  <si>
    <t>Publicidad comercial</t>
  </si>
  <si>
    <t>Localizan en Pachuca a adolescente reportada como desaparecida</t>
  </si>
  <si>
    <t>Fallece tras ser atropellado sobre el bulevar Felipe Ángeles</t>
  </si>
  <si>
    <t>Hay comunicación en todas las localidades hidalguenses tras el paso de Boris: Sipdus</t>
  </si>
  <si>
    <t>Heroína ambiental</t>
  </si>
  <si>
    <t>Campaña de reciclaje</t>
  </si>
  <si>
    <t>Daños en puentes mantienen ocho caminos cerrados</t>
  </si>
  <si>
    <t>Continúan mejoras en infraestructura educativa</t>
  </si>
  <si>
    <t>Un total de 22 derrumbes en carreteras estatales</t>
  </si>
  <si>
    <t>Derrumbes por lluvias</t>
  </si>
  <si>
    <t>Beneficiarán con becas a más de 17 mil universitarios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</si>
</sst>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6" totalsRowShown="0" headerRowDxfId="5" headerRowBorderDxfId="4">
  <autoFilter ref="A1:J66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6"/>
  <sheetViews>
    <sheetView tabSelected="1" topLeftCell="A45" workbookViewId="0">
      <selection activeCell="J66" sqref="J66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25">
      <c r="A2" s="5">
        <v>46189</v>
      </c>
      <c r="B2" t="s">
        <v>68</v>
      </c>
      <c r="C2" s="6" t="s">
        <v>93</v>
      </c>
      <c r="D2" t="s">
        <v>12</v>
      </c>
      <c r="E2" t="s">
        <v>59</v>
      </c>
      <c r="F2" t="s">
        <v>59</v>
      </c>
      <c r="G2" t="s">
        <v>94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46189</v>
      </c>
      <c r="B3" t="s">
        <v>68</v>
      </c>
      <c r="C3" s="6" t="s">
        <v>95</v>
      </c>
      <c r="D3" t="s">
        <v>12</v>
      </c>
      <c r="E3" t="s">
        <v>14</v>
      </c>
      <c r="F3" t="s">
        <v>96</v>
      </c>
      <c r="G3" t="s">
        <v>97</v>
      </c>
      <c r="H3" t="s">
        <v>11</v>
      </c>
      <c r="I3" t="str">
        <f>_xlfn.XLOOKUP(Tabla1[[#This Row],[Dependencia]],Tabla2[Dependencia],Tabla2[Clasificación],"No indexado")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46189</v>
      </c>
      <c r="B4" t="s">
        <v>68</v>
      </c>
      <c r="C4" s="6" t="s">
        <v>98</v>
      </c>
      <c r="D4" t="s">
        <v>9</v>
      </c>
      <c r="E4" t="s">
        <v>10</v>
      </c>
      <c r="F4" t="s">
        <v>10</v>
      </c>
      <c r="G4" t="s">
        <v>84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46189</v>
      </c>
      <c r="B5" t="s">
        <v>68</v>
      </c>
      <c r="C5" s="6" t="s">
        <v>99</v>
      </c>
      <c r="D5" t="s">
        <v>12</v>
      </c>
      <c r="E5" t="s">
        <v>10</v>
      </c>
      <c r="F5" t="s">
        <v>10</v>
      </c>
      <c r="G5" t="s">
        <v>75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46189</v>
      </c>
      <c r="B6" t="s">
        <v>68</v>
      </c>
      <c r="C6" s="6" t="s">
        <v>100</v>
      </c>
      <c r="D6" t="s">
        <v>13</v>
      </c>
      <c r="E6" t="s">
        <v>25</v>
      </c>
      <c r="F6" t="s">
        <v>25</v>
      </c>
      <c r="G6" t="s">
        <v>101</v>
      </c>
      <c r="H6" t="s">
        <v>69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ht="30" x14ac:dyDescent="0.25">
      <c r="A7" s="5">
        <v>46189</v>
      </c>
      <c r="B7" t="s">
        <v>68</v>
      </c>
      <c r="C7" s="6" t="s">
        <v>102</v>
      </c>
      <c r="D7" t="s">
        <v>13</v>
      </c>
      <c r="E7" t="s">
        <v>38</v>
      </c>
      <c r="F7" t="s">
        <v>38</v>
      </c>
      <c r="G7" t="s">
        <v>85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5">
        <v>46189</v>
      </c>
      <c r="B8" t="s">
        <v>68</v>
      </c>
      <c r="C8" s="6" t="s">
        <v>103</v>
      </c>
      <c r="D8" t="s">
        <v>12</v>
      </c>
      <c r="E8" t="s">
        <v>16</v>
      </c>
      <c r="F8" t="s">
        <v>16</v>
      </c>
      <c r="G8" t="s">
        <v>104</v>
      </c>
      <c r="H8" t="s">
        <v>70</v>
      </c>
      <c r="I8" t="str">
        <f>_xlfn.XLOOKUP(Tabla1[[#This Row],[Dependencia]],Tabla2[Dependencia],Tabla2[Clasificación],"No indexado")</f>
        <v>Alcaldías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46189</v>
      </c>
      <c r="B9" t="s">
        <v>68</v>
      </c>
      <c r="C9" s="6" t="s">
        <v>105</v>
      </c>
      <c r="D9" t="s">
        <v>9</v>
      </c>
      <c r="E9" t="s">
        <v>24</v>
      </c>
      <c r="F9" t="s">
        <v>24</v>
      </c>
      <c r="G9" t="s">
        <v>106</v>
      </c>
      <c r="H9" t="s">
        <v>69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Gobernador</v>
      </c>
    </row>
    <row r="10" spans="1:10" x14ac:dyDescent="0.25">
      <c r="A10" s="5">
        <v>46189</v>
      </c>
      <c r="B10" t="s">
        <v>68</v>
      </c>
      <c r="C10" s="6" t="s">
        <v>107</v>
      </c>
      <c r="D10" t="s">
        <v>12</v>
      </c>
      <c r="E10" t="s">
        <v>10</v>
      </c>
      <c r="F10" t="s">
        <v>10</v>
      </c>
      <c r="G10" t="s">
        <v>75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46189</v>
      </c>
      <c r="B11" t="s">
        <v>68</v>
      </c>
      <c r="C11" s="6" t="s">
        <v>108</v>
      </c>
      <c r="D11" t="s">
        <v>12</v>
      </c>
      <c r="E11" t="s">
        <v>14</v>
      </c>
      <c r="F11" t="s">
        <v>86</v>
      </c>
      <c r="G11" t="s">
        <v>109</v>
      </c>
      <c r="H11" t="s">
        <v>70</v>
      </c>
      <c r="I11" t="str">
        <f>_xlfn.XLOOKUP(Tabla1[[#This Row],[Dependencia]],Tabla2[Dependencia],Tabla2[Clasificación],"No indexado")</f>
        <v>Presidencia de la República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46189</v>
      </c>
      <c r="B12" t="s">
        <v>68</v>
      </c>
      <c r="C12" s="6" t="s">
        <v>110</v>
      </c>
      <c r="D12" t="s">
        <v>12</v>
      </c>
      <c r="E12" t="s">
        <v>14</v>
      </c>
      <c r="F12" t="s">
        <v>14</v>
      </c>
      <c r="G12" t="s">
        <v>111</v>
      </c>
      <c r="H12" t="s">
        <v>11</v>
      </c>
      <c r="I12" t="str">
        <f>_xlfn.XLOOKUP(Tabla1[[#This Row],[Dependencia]],Tabla2[Dependencia],Tabla2[Clasificación],"No indexado")</f>
        <v>Presidencia de la República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46189</v>
      </c>
      <c r="B13" t="s">
        <v>79</v>
      </c>
      <c r="C13" s="6" t="s">
        <v>112</v>
      </c>
      <c r="D13" t="s">
        <v>12</v>
      </c>
      <c r="E13" t="s">
        <v>10</v>
      </c>
      <c r="F13" t="s">
        <v>10</v>
      </c>
      <c r="G13" t="s">
        <v>75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46189</v>
      </c>
      <c r="B14" t="s">
        <v>79</v>
      </c>
      <c r="C14" s="6" t="s">
        <v>113</v>
      </c>
      <c r="D14" t="s">
        <v>12</v>
      </c>
      <c r="E14" t="s">
        <v>10</v>
      </c>
      <c r="F14" t="s">
        <v>10</v>
      </c>
      <c r="G14" t="s">
        <v>75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ht="30" x14ac:dyDescent="0.25">
      <c r="A15" s="5">
        <v>46189</v>
      </c>
      <c r="B15" t="s">
        <v>79</v>
      </c>
      <c r="C15" s="6" t="s">
        <v>114</v>
      </c>
      <c r="D15" t="s">
        <v>13</v>
      </c>
      <c r="E15" t="s">
        <v>26</v>
      </c>
      <c r="F15" t="s">
        <v>26</v>
      </c>
      <c r="G15" t="s">
        <v>115</v>
      </c>
      <c r="H15" t="s">
        <v>69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ht="30" x14ac:dyDescent="0.25">
      <c r="A16" s="5">
        <v>46189</v>
      </c>
      <c r="B16" t="s">
        <v>79</v>
      </c>
      <c r="C16" s="6" t="s">
        <v>116</v>
      </c>
      <c r="D16" t="s">
        <v>12</v>
      </c>
      <c r="E16" t="s">
        <v>24</v>
      </c>
      <c r="F16" t="s">
        <v>24</v>
      </c>
      <c r="G16" t="s">
        <v>117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Gobernador</v>
      </c>
    </row>
    <row r="17" spans="1:10" ht="30" x14ac:dyDescent="0.25">
      <c r="A17" s="5">
        <v>46189</v>
      </c>
      <c r="B17" t="s">
        <v>79</v>
      </c>
      <c r="C17" s="6" t="s">
        <v>118</v>
      </c>
      <c r="D17" t="s">
        <v>12</v>
      </c>
      <c r="E17" t="s">
        <v>10</v>
      </c>
      <c r="F17" t="s">
        <v>10</v>
      </c>
      <c r="G17" t="s">
        <v>119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5">
        <v>46189</v>
      </c>
      <c r="B18" t="s">
        <v>79</v>
      </c>
      <c r="C18" s="6" t="s">
        <v>120</v>
      </c>
      <c r="D18" t="s">
        <v>12</v>
      </c>
      <c r="E18" t="s">
        <v>24</v>
      </c>
      <c r="F18" t="s">
        <v>24</v>
      </c>
      <c r="G18" t="s">
        <v>121</v>
      </c>
      <c r="H18" t="s">
        <v>11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Gobernador</v>
      </c>
    </row>
    <row r="19" spans="1:10" ht="30" x14ac:dyDescent="0.25">
      <c r="A19" s="5">
        <v>46189</v>
      </c>
      <c r="B19" t="s">
        <v>79</v>
      </c>
      <c r="C19" s="6" t="s">
        <v>122</v>
      </c>
      <c r="D19" t="s">
        <v>9</v>
      </c>
      <c r="E19" t="s">
        <v>16</v>
      </c>
      <c r="F19" t="s">
        <v>77</v>
      </c>
      <c r="G19" t="s">
        <v>123</v>
      </c>
      <c r="H19" t="s">
        <v>11</v>
      </c>
      <c r="I19" t="str">
        <f>_xlfn.XLOOKUP(Tabla1[[#This Row],[Dependencia]],Tabla2[Dependencia],Tabla2[Clasificación],"No indexado")</f>
        <v>Alcaldías</v>
      </c>
      <c r="J19" t="str">
        <f>_xlfn.XLOOKUP(Tabla1[[#This Row],[Dependencia]],Tabla3[Dependencia],Tabla3[Nivel],"otros",0)</f>
        <v>otros</v>
      </c>
    </row>
    <row r="20" spans="1:10" ht="30" x14ac:dyDescent="0.25">
      <c r="A20" s="5">
        <v>46189</v>
      </c>
      <c r="B20" t="s">
        <v>67</v>
      </c>
      <c r="C20" s="6" t="s">
        <v>124</v>
      </c>
      <c r="D20" t="s">
        <v>13</v>
      </c>
      <c r="E20" t="s">
        <v>24</v>
      </c>
      <c r="F20" t="s">
        <v>24</v>
      </c>
      <c r="G20" t="s">
        <v>88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Gobernador</v>
      </c>
    </row>
    <row r="21" spans="1:10" x14ac:dyDescent="0.25">
      <c r="A21" s="5">
        <v>46189</v>
      </c>
      <c r="B21" t="s">
        <v>67</v>
      </c>
      <c r="C21" s="6" t="s">
        <v>125</v>
      </c>
      <c r="D21" t="s">
        <v>12</v>
      </c>
      <c r="E21" t="s">
        <v>10</v>
      </c>
      <c r="F21" t="s">
        <v>10</v>
      </c>
      <c r="G21" t="s">
        <v>75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ht="30" x14ac:dyDescent="0.25">
      <c r="A22" s="5">
        <v>46189</v>
      </c>
      <c r="B22" t="s">
        <v>67</v>
      </c>
      <c r="C22" s="6" t="s">
        <v>126</v>
      </c>
      <c r="D22" t="s">
        <v>9</v>
      </c>
      <c r="E22" t="s">
        <v>24</v>
      </c>
      <c r="F22" t="s">
        <v>24</v>
      </c>
      <c r="G22" t="s">
        <v>106</v>
      </c>
      <c r="H22" t="s">
        <v>69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Gobernador</v>
      </c>
    </row>
    <row r="23" spans="1:10" ht="30" x14ac:dyDescent="0.25">
      <c r="A23" s="5">
        <v>46189</v>
      </c>
      <c r="B23" t="s">
        <v>67</v>
      </c>
      <c r="C23" s="6" t="s">
        <v>127</v>
      </c>
      <c r="D23" t="s">
        <v>12</v>
      </c>
      <c r="E23" t="s">
        <v>14</v>
      </c>
      <c r="F23" t="s">
        <v>14</v>
      </c>
      <c r="G23" t="s">
        <v>91</v>
      </c>
      <c r="H23" t="s">
        <v>11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ht="30" x14ac:dyDescent="0.25">
      <c r="A24" s="5">
        <v>46189</v>
      </c>
      <c r="B24" t="s">
        <v>67</v>
      </c>
      <c r="C24" s="6" t="s">
        <v>128</v>
      </c>
      <c r="D24" t="s">
        <v>12</v>
      </c>
      <c r="E24" t="s">
        <v>36</v>
      </c>
      <c r="F24" t="s">
        <v>36</v>
      </c>
      <c r="G24" t="s">
        <v>129</v>
      </c>
      <c r="H24" t="s">
        <v>11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25">
      <c r="A25" s="5">
        <v>46189</v>
      </c>
      <c r="B25" t="s">
        <v>67</v>
      </c>
      <c r="C25" s="6" t="s">
        <v>130</v>
      </c>
      <c r="D25" t="s">
        <v>12</v>
      </c>
      <c r="E25" t="s">
        <v>10</v>
      </c>
      <c r="F25" t="s">
        <v>10</v>
      </c>
      <c r="G25" t="s">
        <v>87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ht="30" x14ac:dyDescent="0.25">
      <c r="A26" s="5">
        <v>46189</v>
      </c>
      <c r="B26" t="s">
        <v>67</v>
      </c>
      <c r="C26" s="6" t="s">
        <v>131</v>
      </c>
      <c r="D26" t="s">
        <v>12</v>
      </c>
      <c r="E26" t="s">
        <v>14</v>
      </c>
      <c r="F26" t="s">
        <v>86</v>
      </c>
      <c r="G26" t="s">
        <v>132</v>
      </c>
      <c r="H26" t="s">
        <v>11</v>
      </c>
      <c r="I26" t="str">
        <f>_xlfn.XLOOKUP(Tabla1[[#This Row],[Dependencia]],Tabla2[Dependencia],Tabla2[Clasificación],"No indexado")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25">
      <c r="A27" s="5">
        <v>46189</v>
      </c>
      <c r="B27" t="s">
        <v>73</v>
      </c>
      <c r="C27" s="6" t="s">
        <v>133</v>
      </c>
      <c r="D27" t="s">
        <v>13</v>
      </c>
      <c r="E27" t="s">
        <v>24</v>
      </c>
      <c r="F27" t="s">
        <v>24</v>
      </c>
      <c r="G27" t="s">
        <v>106</v>
      </c>
      <c r="H27" t="s">
        <v>69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Gobernador</v>
      </c>
    </row>
    <row r="28" spans="1:10" ht="30" x14ac:dyDescent="0.25">
      <c r="A28" s="5">
        <v>46189</v>
      </c>
      <c r="B28" t="s">
        <v>73</v>
      </c>
      <c r="C28" s="6" t="s">
        <v>134</v>
      </c>
      <c r="D28" t="s">
        <v>12</v>
      </c>
      <c r="E28" t="s">
        <v>24</v>
      </c>
      <c r="F28" t="s">
        <v>24</v>
      </c>
      <c r="G28" t="s">
        <v>135</v>
      </c>
      <c r="H28" t="s">
        <v>69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Gobernador</v>
      </c>
    </row>
    <row r="29" spans="1:10" x14ac:dyDescent="0.25">
      <c r="A29" s="5">
        <v>46189</v>
      </c>
      <c r="B29" t="s">
        <v>73</v>
      </c>
      <c r="C29" s="6" t="s">
        <v>136</v>
      </c>
      <c r="D29" t="s">
        <v>12</v>
      </c>
      <c r="E29" t="s">
        <v>14</v>
      </c>
      <c r="F29" t="s">
        <v>14</v>
      </c>
      <c r="G29" t="s">
        <v>137</v>
      </c>
      <c r="H29" t="s">
        <v>70</v>
      </c>
      <c r="I29" t="str">
        <f>_xlfn.XLOOKUP(Tabla1[[#This Row],[Dependencia]],Tabla2[Dependencia],Tabla2[Clasificación],"No indexado")</f>
        <v>Presidencia de la República</v>
      </c>
      <c r="J29" t="str">
        <f>_xlfn.XLOOKUP(Tabla1[[#This Row],[Dependencia]],Tabla3[Dependencia],Tabla3[Nivel],"otros",0)</f>
        <v>otros</v>
      </c>
    </row>
    <row r="30" spans="1:10" ht="75" x14ac:dyDescent="0.25">
      <c r="A30" s="5">
        <v>46189</v>
      </c>
      <c r="B30" t="s">
        <v>73</v>
      </c>
      <c r="C30" s="6" t="s">
        <v>138</v>
      </c>
      <c r="D30" t="s">
        <v>12</v>
      </c>
      <c r="E30" t="s">
        <v>26</v>
      </c>
      <c r="F30" t="s">
        <v>139</v>
      </c>
      <c r="G30" t="s">
        <v>140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x14ac:dyDescent="0.25">
      <c r="A31" s="5">
        <v>46189</v>
      </c>
      <c r="B31" t="s">
        <v>72</v>
      </c>
      <c r="C31" s="6" t="s">
        <v>141</v>
      </c>
      <c r="D31" t="s">
        <v>13</v>
      </c>
      <c r="E31" t="s">
        <v>24</v>
      </c>
      <c r="F31" t="s">
        <v>24</v>
      </c>
      <c r="G31" t="s">
        <v>106</v>
      </c>
      <c r="H31" t="s">
        <v>69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Gobernador</v>
      </c>
    </row>
    <row r="32" spans="1:10" ht="30" x14ac:dyDescent="0.25">
      <c r="A32" s="5">
        <v>46189</v>
      </c>
      <c r="B32" t="s">
        <v>72</v>
      </c>
      <c r="C32" s="6" t="s">
        <v>142</v>
      </c>
      <c r="D32" t="s">
        <v>12</v>
      </c>
      <c r="E32" t="s">
        <v>80</v>
      </c>
      <c r="F32" t="s">
        <v>80</v>
      </c>
      <c r="G32" t="s">
        <v>84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ht="30" x14ac:dyDescent="0.25">
      <c r="A33" s="5">
        <v>46189</v>
      </c>
      <c r="B33" t="s">
        <v>72</v>
      </c>
      <c r="C33" s="6" t="s">
        <v>143</v>
      </c>
      <c r="D33" t="s">
        <v>12</v>
      </c>
      <c r="E33" t="s">
        <v>14</v>
      </c>
      <c r="F33" t="s">
        <v>86</v>
      </c>
      <c r="G33" t="s">
        <v>144</v>
      </c>
      <c r="H33" t="s">
        <v>11</v>
      </c>
      <c r="I33" t="str">
        <f>_xlfn.XLOOKUP(Tabla1[[#This Row],[Dependencia]],Tabla2[Dependencia],Tabla2[Clasificación],"No indexado")</f>
        <v>Presidencia de la República</v>
      </c>
      <c r="J33" t="str">
        <f>_xlfn.XLOOKUP(Tabla1[[#This Row],[Dependencia]],Tabla3[Dependencia],Tabla3[Nivel],"otros",0)</f>
        <v>otros</v>
      </c>
    </row>
    <row r="34" spans="1:10" ht="30" x14ac:dyDescent="0.25">
      <c r="A34" s="5">
        <v>46189</v>
      </c>
      <c r="B34" t="s">
        <v>72</v>
      </c>
      <c r="C34" s="6" t="s">
        <v>145</v>
      </c>
      <c r="D34" t="s">
        <v>12</v>
      </c>
      <c r="E34" t="s">
        <v>19</v>
      </c>
      <c r="F34" t="s">
        <v>19</v>
      </c>
      <c r="G34" t="s">
        <v>146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5">
        <v>46189</v>
      </c>
      <c r="B35" t="s">
        <v>72</v>
      </c>
      <c r="C35" s="6" t="s">
        <v>147</v>
      </c>
      <c r="D35" t="s">
        <v>12</v>
      </c>
      <c r="E35" t="s">
        <v>14</v>
      </c>
      <c r="F35" t="s">
        <v>148</v>
      </c>
      <c r="G35" t="s">
        <v>87</v>
      </c>
      <c r="H35" t="s">
        <v>11</v>
      </c>
      <c r="I35" t="str">
        <f>_xlfn.XLOOKUP(Tabla1[[#This Row],[Dependencia]],Tabla2[Dependencia],Tabla2[Clasificación],"No indexado")</f>
        <v>Presidencia de la República</v>
      </c>
      <c r="J35" t="str">
        <f>_xlfn.XLOOKUP(Tabla1[[#This Row],[Dependencia]],Tabla3[Dependencia],Tabla3[Nivel],"otros",0)</f>
        <v>otros</v>
      </c>
    </row>
    <row r="36" spans="1:10" ht="30" x14ac:dyDescent="0.25">
      <c r="A36" s="5">
        <v>46189</v>
      </c>
      <c r="B36" t="s">
        <v>71</v>
      </c>
      <c r="C36" s="6" t="s">
        <v>149</v>
      </c>
      <c r="D36" t="s">
        <v>9</v>
      </c>
      <c r="E36" t="s">
        <v>24</v>
      </c>
      <c r="F36" t="s">
        <v>24</v>
      </c>
      <c r="G36" t="s">
        <v>106</v>
      </c>
      <c r="H36" t="s">
        <v>69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Gobernador</v>
      </c>
    </row>
    <row r="37" spans="1:10" ht="30" x14ac:dyDescent="0.25">
      <c r="A37" s="5">
        <v>46189</v>
      </c>
      <c r="B37" t="s">
        <v>71</v>
      </c>
      <c r="C37" s="6" t="s">
        <v>150</v>
      </c>
      <c r="D37" t="s">
        <v>12</v>
      </c>
      <c r="E37" t="s">
        <v>16</v>
      </c>
      <c r="F37" t="s">
        <v>16</v>
      </c>
      <c r="G37" t="s">
        <v>151</v>
      </c>
      <c r="H37" t="s">
        <v>11</v>
      </c>
      <c r="I37" t="str">
        <f>_xlfn.XLOOKUP(Tabla1[[#This Row],[Dependencia]],Tabla2[Dependencia],Tabla2[Clasificación],"No indexado")</f>
        <v>Alcaldías</v>
      </c>
      <c r="J37" t="str">
        <f>_xlfn.XLOOKUP(Tabla1[[#This Row],[Dependencia]],Tabla3[Dependencia],Tabla3[Nivel],"otros",0)</f>
        <v>otros</v>
      </c>
    </row>
    <row r="38" spans="1:10" ht="30" x14ac:dyDescent="0.25">
      <c r="A38" s="5">
        <v>46189</v>
      </c>
      <c r="B38" t="s">
        <v>71</v>
      </c>
      <c r="C38" s="6" t="s">
        <v>152</v>
      </c>
      <c r="D38" t="s">
        <v>13</v>
      </c>
      <c r="E38" t="s">
        <v>16</v>
      </c>
      <c r="F38" t="s">
        <v>16</v>
      </c>
      <c r="G38" t="s">
        <v>153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ht="30" x14ac:dyDescent="0.25">
      <c r="A39" s="5">
        <v>46189</v>
      </c>
      <c r="B39" t="s">
        <v>71</v>
      </c>
      <c r="C39" s="6" t="s">
        <v>154</v>
      </c>
      <c r="D39" t="s">
        <v>12</v>
      </c>
      <c r="E39" t="s">
        <v>10</v>
      </c>
      <c r="F39" t="s">
        <v>10</v>
      </c>
      <c r="G39" t="s">
        <v>155</v>
      </c>
      <c r="H39" t="s">
        <v>11</v>
      </c>
      <c r="I39" t="str">
        <f>_xlfn.XLOOKUP(Tabla1[[#This Row],[Dependencia]],Tabla2[Dependencia],Tabla2[Clasificación],"No indexado")</f>
        <v>Otros</v>
      </c>
      <c r="J39" t="str">
        <f>_xlfn.XLOOKUP(Tabla1[[#This Row],[Dependencia]],Tabla3[Dependencia],Tabla3[Nivel],"otros",0)</f>
        <v>otros</v>
      </c>
    </row>
    <row r="40" spans="1:10" x14ac:dyDescent="0.25">
      <c r="A40" s="5">
        <v>46189</v>
      </c>
      <c r="B40" t="s">
        <v>71</v>
      </c>
      <c r="C40" s="6" t="s">
        <v>156</v>
      </c>
      <c r="D40" t="s">
        <v>12</v>
      </c>
      <c r="E40" t="s">
        <v>14</v>
      </c>
      <c r="F40" t="s">
        <v>157</v>
      </c>
      <c r="G40" t="s">
        <v>158</v>
      </c>
      <c r="H40" t="s">
        <v>11</v>
      </c>
      <c r="I40" t="str">
        <f>_xlfn.XLOOKUP(Tabla1[[#This Row],[Dependencia]],Tabla2[Dependencia],Tabla2[Clasificación],"No indexado")</f>
        <v>Presidencia de la República</v>
      </c>
      <c r="J40" t="str">
        <f>_xlfn.XLOOKUP(Tabla1[[#This Row],[Dependencia]],Tabla3[Dependencia],Tabla3[Nivel],"otros",0)</f>
        <v>otros</v>
      </c>
    </row>
    <row r="41" spans="1:10" x14ac:dyDescent="0.25">
      <c r="A41" s="5">
        <v>46189</v>
      </c>
      <c r="B41" t="s">
        <v>71</v>
      </c>
      <c r="C41" s="6" t="s">
        <v>159</v>
      </c>
      <c r="D41" t="s">
        <v>12</v>
      </c>
      <c r="E41" t="s">
        <v>14</v>
      </c>
      <c r="F41" t="s">
        <v>86</v>
      </c>
      <c r="G41" t="s">
        <v>160</v>
      </c>
      <c r="H41" t="s">
        <v>11</v>
      </c>
      <c r="I41" t="str">
        <f>_xlfn.XLOOKUP(Tabla1[[#This Row],[Dependencia]],Tabla2[Dependencia],Tabla2[Clasificación],"No indexado")</f>
        <v>Presidencia de la República</v>
      </c>
      <c r="J41" t="str">
        <f>_xlfn.XLOOKUP(Tabla1[[#This Row],[Dependencia]],Tabla3[Dependencia],Tabla3[Nivel],"otros",0)</f>
        <v>otros</v>
      </c>
    </row>
    <row r="42" spans="1:10" ht="30" x14ac:dyDescent="0.25">
      <c r="A42" s="5">
        <v>46189</v>
      </c>
      <c r="B42" t="s">
        <v>76</v>
      </c>
      <c r="C42" s="6" t="s">
        <v>161</v>
      </c>
      <c r="D42" t="s">
        <v>13</v>
      </c>
      <c r="E42" t="s">
        <v>24</v>
      </c>
      <c r="F42" t="s">
        <v>24</v>
      </c>
      <c r="G42" t="s">
        <v>162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Gobernador</v>
      </c>
    </row>
    <row r="43" spans="1:10" ht="30" x14ac:dyDescent="0.25">
      <c r="A43" s="5">
        <v>46189</v>
      </c>
      <c r="B43" t="s">
        <v>76</v>
      </c>
      <c r="C43" s="6" t="s">
        <v>163</v>
      </c>
      <c r="D43" t="s">
        <v>9</v>
      </c>
      <c r="E43" t="s">
        <v>14</v>
      </c>
      <c r="F43" t="s">
        <v>14</v>
      </c>
      <c r="G43" t="s">
        <v>111</v>
      </c>
      <c r="H43" t="s">
        <v>11</v>
      </c>
      <c r="I43" t="str">
        <f>_xlfn.XLOOKUP(Tabla1[[#This Row],[Dependencia]],Tabla2[Dependencia],Tabla2[Clasificación],"No indexado")</f>
        <v>Presidencia de la República</v>
      </c>
      <c r="J43" t="str">
        <f>_xlfn.XLOOKUP(Tabla1[[#This Row],[Dependencia]],Tabla3[Dependencia],Tabla3[Nivel],"otros",0)</f>
        <v>otros</v>
      </c>
    </row>
    <row r="44" spans="1:10" ht="30" x14ac:dyDescent="0.25">
      <c r="A44" s="5">
        <v>46189</v>
      </c>
      <c r="B44" t="s">
        <v>76</v>
      </c>
      <c r="C44" s="6" t="s">
        <v>164</v>
      </c>
      <c r="D44" t="s">
        <v>12</v>
      </c>
      <c r="E44" t="s">
        <v>24</v>
      </c>
      <c r="F44" t="s">
        <v>24</v>
      </c>
      <c r="G44" t="s">
        <v>90</v>
      </c>
      <c r="H44" t="s">
        <v>11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Gobernador</v>
      </c>
    </row>
    <row r="45" spans="1:10" x14ac:dyDescent="0.25">
      <c r="A45" s="5">
        <v>46189</v>
      </c>
      <c r="B45" t="s">
        <v>76</v>
      </c>
      <c r="C45" s="6" t="s">
        <v>165</v>
      </c>
      <c r="D45" t="s">
        <v>12</v>
      </c>
      <c r="E45" t="s">
        <v>16</v>
      </c>
      <c r="F45" t="s">
        <v>16</v>
      </c>
      <c r="G45" t="s">
        <v>104</v>
      </c>
      <c r="H45" t="s">
        <v>70</v>
      </c>
      <c r="I45" t="str">
        <f>_xlfn.XLOOKUP(Tabla1[[#This Row],[Dependencia]],Tabla2[Dependencia],Tabla2[Clasificación],"No indexado")</f>
        <v>Alcaldías</v>
      </c>
      <c r="J45" t="str">
        <f>_xlfn.XLOOKUP(Tabla1[[#This Row],[Dependencia]],Tabla3[Dependencia],Tabla3[Nivel],"otros",0)</f>
        <v>otros</v>
      </c>
    </row>
    <row r="46" spans="1:10" x14ac:dyDescent="0.25">
      <c r="A46" s="5">
        <v>46189</v>
      </c>
      <c r="B46" t="s">
        <v>76</v>
      </c>
      <c r="C46" s="6" t="s">
        <v>166</v>
      </c>
      <c r="D46" t="s">
        <v>12</v>
      </c>
      <c r="E46" t="s">
        <v>80</v>
      </c>
      <c r="F46" t="s">
        <v>80</v>
      </c>
      <c r="G46" t="s">
        <v>84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5">
        <v>46189</v>
      </c>
      <c r="B47" t="s">
        <v>81</v>
      </c>
      <c r="C47" s="6" t="s">
        <v>167</v>
      </c>
      <c r="D47" t="s">
        <v>82</v>
      </c>
      <c r="E47" t="s">
        <v>16</v>
      </c>
      <c r="F47" t="s">
        <v>89</v>
      </c>
      <c r="G47" t="s">
        <v>168</v>
      </c>
      <c r="H47" t="s">
        <v>69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ht="30" x14ac:dyDescent="0.25">
      <c r="A48" s="5">
        <v>46189</v>
      </c>
      <c r="B48" t="s">
        <v>81</v>
      </c>
      <c r="C48" s="6" t="s">
        <v>149</v>
      </c>
      <c r="D48" t="s">
        <v>13</v>
      </c>
      <c r="E48" t="s">
        <v>24</v>
      </c>
      <c r="F48" t="s">
        <v>24</v>
      </c>
      <c r="G48" t="s">
        <v>106</v>
      </c>
      <c r="H48" t="s">
        <v>69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Gobernador</v>
      </c>
    </row>
    <row r="49" spans="1:10" ht="45" x14ac:dyDescent="0.25">
      <c r="A49" s="5">
        <v>46189</v>
      </c>
      <c r="B49" t="s">
        <v>81</v>
      </c>
      <c r="C49" s="6" t="s">
        <v>169</v>
      </c>
      <c r="D49" t="s">
        <v>12</v>
      </c>
      <c r="E49" t="s">
        <v>34</v>
      </c>
      <c r="F49" t="s">
        <v>34</v>
      </c>
      <c r="G49" t="s">
        <v>170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5">
        <v>46189</v>
      </c>
      <c r="B50" t="s">
        <v>81</v>
      </c>
      <c r="C50" s="6" t="s">
        <v>171</v>
      </c>
      <c r="D50" t="s">
        <v>12</v>
      </c>
      <c r="E50" t="s">
        <v>16</v>
      </c>
      <c r="F50" t="s">
        <v>16</v>
      </c>
      <c r="G50" t="s">
        <v>172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5">
        <v>46189</v>
      </c>
      <c r="B51" t="s">
        <v>81</v>
      </c>
      <c r="C51" s="6" t="s">
        <v>173</v>
      </c>
      <c r="D51" t="s">
        <v>12</v>
      </c>
      <c r="E51" t="s">
        <v>16</v>
      </c>
      <c r="F51" t="s">
        <v>16</v>
      </c>
      <c r="G51" t="s">
        <v>174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46189</v>
      </c>
      <c r="B52" t="s">
        <v>81</v>
      </c>
      <c r="C52" s="6" t="s">
        <v>175</v>
      </c>
      <c r="D52" t="s">
        <v>12</v>
      </c>
      <c r="E52" t="s">
        <v>53</v>
      </c>
      <c r="F52" t="s">
        <v>53</v>
      </c>
      <c r="G52" t="s">
        <v>90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5">
        <v>46189</v>
      </c>
      <c r="B53" t="s">
        <v>81</v>
      </c>
      <c r="C53" s="6" t="s">
        <v>176</v>
      </c>
      <c r="D53" t="s">
        <v>12</v>
      </c>
      <c r="E53" t="s">
        <v>24</v>
      </c>
      <c r="F53" t="s">
        <v>24</v>
      </c>
      <c r="G53" t="s">
        <v>177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Gobernador</v>
      </c>
    </row>
    <row r="54" spans="1:10" ht="30" x14ac:dyDescent="0.25">
      <c r="A54" s="5">
        <v>46189</v>
      </c>
      <c r="B54" t="s">
        <v>81</v>
      </c>
      <c r="C54" s="6" t="s">
        <v>178</v>
      </c>
      <c r="D54" t="s">
        <v>12</v>
      </c>
      <c r="E54" t="s">
        <v>14</v>
      </c>
      <c r="F54" t="s">
        <v>86</v>
      </c>
      <c r="G54" t="s">
        <v>160</v>
      </c>
      <c r="H54" t="s">
        <v>11</v>
      </c>
      <c r="I54" t="str">
        <f>_xlfn.XLOOKUP(Tabla1[[#This Row],[Dependencia]],Tabla2[Dependencia],Tabla2[Clasificación],"No indexado")</f>
        <v>Presidencia de la República</v>
      </c>
      <c r="J54" t="str">
        <f>_xlfn.XLOOKUP(Tabla1[[#This Row],[Dependencia]],Tabla3[Dependencia],Tabla3[Nivel],"otros",0)</f>
        <v>otros</v>
      </c>
    </row>
    <row r="55" spans="1:10" x14ac:dyDescent="0.25">
      <c r="A55" s="5">
        <v>46189</v>
      </c>
      <c r="B55" t="s">
        <v>81</v>
      </c>
      <c r="C55" s="6" t="s">
        <v>179</v>
      </c>
      <c r="D55" t="s">
        <v>12</v>
      </c>
      <c r="E55" t="s">
        <v>26</v>
      </c>
      <c r="F55" t="s">
        <v>2</v>
      </c>
      <c r="G55" t="s">
        <v>115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5">
        <v>46189</v>
      </c>
      <c r="B56" t="s">
        <v>81</v>
      </c>
      <c r="C56" s="6" t="s">
        <v>180</v>
      </c>
      <c r="D56" t="s">
        <v>83</v>
      </c>
      <c r="E56" t="s">
        <v>10</v>
      </c>
      <c r="F56" t="s">
        <v>10</v>
      </c>
      <c r="G56" t="s">
        <v>181</v>
      </c>
      <c r="H56" t="s">
        <v>11</v>
      </c>
      <c r="I56" t="str">
        <f>_xlfn.XLOOKUP(Tabla1[[#This Row],[Dependencia]],Tabla2[Dependencia],Tabla2[Clasificación],"No indexado")</f>
        <v>Otros</v>
      </c>
      <c r="J56" t="str">
        <f>_xlfn.XLOOKUP(Tabla1[[#This Row],[Dependencia]],Tabla3[Dependencia],Tabla3[Nivel],"otros",0)</f>
        <v>otros</v>
      </c>
    </row>
    <row r="57" spans="1:10" ht="30" x14ac:dyDescent="0.25">
      <c r="A57" s="5">
        <v>46189</v>
      </c>
      <c r="B57" t="s">
        <v>92</v>
      </c>
      <c r="C57" s="6" t="s">
        <v>149</v>
      </c>
      <c r="D57" t="s">
        <v>13</v>
      </c>
      <c r="E57" t="s">
        <v>24</v>
      </c>
      <c r="F57" t="s">
        <v>24</v>
      </c>
      <c r="G57" t="s">
        <v>106</v>
      </c>
      <c r="H57" t="s">
        <v>69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Gobernador</v>
      </c>
    </row>
    <row r="58" spans="1:10" ht="30" x14ac:dyDescent="0.25">
      <c r="A58" s="5">
        <v>46189</v>
      </c>
      <c r="B58" t="s">
        <v>92</v>
      </c>
      <c r="C58" s="6" t="s">
        <v>182</v>
      </c>
      <c r="D58" t="s">
        <v>12</v>
      </c>
      <c r="E58" t="s">
        <v>16</v>
      </c>
      <c r="F58" t="s">
        <v>89</v>
      </c>
      <c r="G58" t="s">
        <v>168</v>
      </c>
      <c r="H58" t="s">
        <v>11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5">
        <v>46189</v>
      </c>
      <c r="B59" t="s">
        <v>92</v>
      </c>
      <c r="C59" s="6" t="s">
        <v>179</v>
      </c>
      <c r="D59" t="s">
        <v>12</v>
      </c>
      <c r="E59" t="s">
        <v>26</v>
      </c>
      <c r="F59" t="s">
        <v>26</v>
      </c>
      <c r="G59" t="s">
        <v>115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ht="30" x14ac:dyDescent="0.25">
      <c r="A60" s="5">
        <v>46189</v>
      </c>
      <c r="B60" t="s">
        <v>92</v>
      </c>
      <c r="C60" s="6" t="s">
        <v>183</v>
      </c>
      <c r="D60" t="s">
        <v>12</v>
      </c>
      <c r="E60" t="s">
        <v>10</v>
      </c>
      <c r="F60" t="s">
        <v>10</v>
      </c>
      <c r="G60" t="s">
        <v>119</v>
      </c>
      <c r="H60" t="s">
        <v>11</v>
      </c>
      <c r="I60" t="str">
        <f>_xlfn.XLOOKUP(Tabla1[[#This Row],[Dependencia]],Tabla2[Dependencia],Tabla2[Clasificación],"No indexado")</f>
        <v>Otros</v>
      </c>
      <c r="J60" t="str">
        <f>_xlfn.XLOOKUP(Tabla1[[#This Row],[Dependencia]],Tabla3[Dependencia],Tabla3[Nivel],"otros",0)</f>
        <v>otros</v>
      </c>
    </row>
    <row r="61" spans="1:10" ht="30" x14ac:dyDescent="0.25">
      <c r="A61" s="5">
        <v>46189</v>
      </c>
      <c r="B61" t="s">
        <v>92</v>
      </c>
      <c r="C61" s="6" t="s">
        <v>184</v>
      </c>
      <c r="D61" t="s">
        <v>12</v>
      </c>
      <c r="E61" t="s">
        <v>80</v>
      </c>
      <c r="F61" t="s">
        <v>2</v>
      </c>
      <c r="G61" t="s">
        <v>84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Gabinete</v>
      </c>
    </row>
    <row r="62" spans="1:10" x14ac:dyDescent="0.25">
      <c r="A62" s="5">
        <v>46189</v>
      </c>
      <c r="B62" t="s">
        <v>92</v>
      </c>
      <c r="C62" s="6" t="s">
        <v>185</v>
      </c>
      <c r="D62" t="s">
        <v>83</v>
      </c>
      <c r="E62" t="s">
        <v>20</v>
      </c>
      <c r="F62" t="s">
        <v>20</v>
      </c>
      <c r="G62" t="s">
        <v>186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25">
      <c r="A63" s="5">
        <v>46189</v>
      </c>
      <c r="B63" t="s">
        <v>78</v>
      </c>
      <c r="C63" s="6" t="s">
        <v>187</v>
      </c>
      <c r="D63" t="s">
        <v>13</v>
      </c>
      <c r="E63" t="s">
        <v>80</v>
      </c>
      <c r="F63" t="s">
        <v>80</v>
      </c>
      <c r="G63" t="s">
        <v>84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x14ac:dyDescent="0.25">
      <c r="A64" s="5">
        <v>46189</v>
      </c>
      <c r="B64" t="s">
        <v>78</v>
      </c>
      <c r="C64" s="6" t="s">
        <v>188</v>
      </c>
      <c r="D64" t="s">
        <v>12</v>
      </c>
      <c r="E64" t="s">
        <v>26</v>
      </c>
      <c r="F64" t="s">
        <v>26</v>
      </c>
      <c r="G64" t="s">
        <v>115</v>
      </c>
      <c r="H64" t="s">
        <v>69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5">
        <v>46189</v>
      </c>
      <c r="B65" t="s">
        <v>78</v>
      </c>
      <c r="C65" s="6" t="s">
        <v>189</v>
      </c>
      <c r="D65" t="s">
        <v>12</v>
      </c>
      <c r="E65" t="s">
        <v>80</v>
      </c>
      <c r="F65" t="s">
        <v>80</v>
      </c>
      <c r="G65" t="s">
        <v>190</v>
      </c>
      <c r="H65" t="s">
        <v>11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  <row r="66" spans="1:10" x14ac:dyDescent="0.25">
      <c r="A66" s="5">
        <v>46189</v>
      </c>
      <c r="B66" t="s">
        <v>78</v>
      </c>
      <c r="C66" s="6" t="s">
        <v>191</v>
      </c>
      <c r="D66" t="s">
        <v>12</v>
      </c>
      <c r="E66" t="s">
        <v>24</v>
      </c>
      <c r="F66" t="s">
        <v>24</v>
      </c>
      <c r="G66" t="s">
        <v>106</v>
      </c>
      <c r="H66" t="s">
        <v>11</v>
      </c>
      <c r="I66" t="str">
        <f>_xlfn.XLOOKUP(Tabla1[[#This Row],[Dependencia]],Tabla2[Dependencia],Tabla2[Clasificación],"No indexado")</f>
        <v>Gobierno del estado</v>
      </c>
      <c r="J66" t="str">
        <f>_xlfn.XLOOKUP(Tabla1[[#This Row],[Dependencia]],Tabla3[Dependencia],Tabla3[Nivel],"otros",0)</f>
        <v>Gobernador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74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74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2026-06-16T15:05:22Z</dcterms:modified>
</cp:coreProperties>
</file>