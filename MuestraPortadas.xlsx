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6E8A07F4-2FF5-4E6D-8CC8-25E35773521E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I2" i="1"/>
  <c r="J2" i="1"/>
</calcChain>
</file>

<file path=xl/sharedStrings.xml><?xml version="1.0" encoding="utf-8"?>
<sst xmlns="http://schemas.openxmlformats.org/spreadsheetml/2006/main" count="580" uniqueCount="178">
  <si>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</si>
  <si>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</si>
  <si>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</si>
  <si>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</si>
  <si>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</si>
  <si>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</si>
  <si>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</si>
  <si>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</si>
  <si>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</si>
  <si>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</si>
  <si>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</si>
  <si>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</si>
  <si>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</si>
  <si>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</si>
  <si>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</si>
  <si>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</si>
  <si>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</si>
  <si>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</si>
  <si>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</si>
  <si>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</si>
  <si>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</si>
  <si>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</si>
  <si>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</si>
  <si>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</si>
  <si>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</si>
  <si>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</si>
  <si>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</si>
  <si>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</si>
  <si>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</si>
  <si>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</si>
  <si>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</si>
  <si>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</si>
  <si>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</si>
  <si>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</si>
  <si>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</si>
  <si>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</si>
  <si>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</si>
  <si>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</si>
  <si>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</si>
  <si>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</si>
  <si>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</si>
  <si>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</si>
  <si>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</si>
  <si>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</si>
  <si>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</si>
  <si>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</si>
  <si>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</si>
  <si>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</si>
  <si>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</si>
  <si>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</si>
  <si>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</si>
  <si>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</si>
  <si>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</si>
  <si>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</si>
  <si>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</si>
  <si>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</si>
  <si>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</si>
  <si>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</si>
  <si>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</si>
  <si>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</si>
  <si>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</si>
  <si>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</si>
  <si>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</si>
  <si>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</si>
  <si>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</si>
  <si>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</si>
  <si>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</si>
  <si>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</si>
  <si>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</si>
  <si>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</si>
  <si>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</si>
  <si>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Criterio</t>
  </si>
  <si>
    <t>Nivel</t>
  </si>
  <si>
    <t>Gabinete</t>
  </si>
  <si>
    <t>Deportes</t>
  </si>
  <si>
    <t>Milenio Hidalgo</t>
  </si>
  <si>
    <t>Publicidad</t>
  </si>
  <si>
    <t>Publicidad gubernamental</t>
  </si>
  <si>
    <t>Marfeca</t>
  </si>
  <si>
    <t>Plaza Juárez</t>
  </si>
  <si>
    <t>Zunoticia</t>
  </si>
  <si>
    <t>El Sol de Hidalgo</t>
  </si>
  <si>
    <t>Effetá</t>
  </si>
  <si>
    <t>Tauromaquia</t>
  </si>
  <si>
    <t>Semana Santa</t>
  </si>
  <si>
    <t>Usa el puente peatonal</t>
  </si>
  <si>
    <t>Temas internacionales</t>
  </si>
  <si>
    <t>Regreso A Clases</t>
  </si>
  <si>
    <t>Denuncian anomalías en Casa del Adulto Mayor</t>
  </si>
  <si>
    <t>Atención a adultos mayores</t>
  </si>
  <si>
    <t>El tren Aifa avanza lento hacia su apertura</t>
  </si>
  <si>
    <t>llanado</t>
  </si>
  <si>
    <t>SICT</t>
  </si>
  <si>
    <t>Tren AIFA</t>
  </si>
  <si>
    <t>Molestos por el uso de afores en obras</t>
  </si>
  <si>
    <t>Inconformidad por obra</t>
  </si>
  <si>
    <t>Registran más de diez deslaves tras lluvias</t>
  </si>
  <si>
    <t>Afectaciones Por Lluvias</t>
  </si>
  <si>
    <t>Alertan sobre zonas de alto riesgo en Tianguistengo</t>
  </si>
  <si>
    <t>PC</t>
  </si>
  <si>
    <t>Prevención De Riesgos</t>
  </si>
  <si>
    <t>Desaparecen ambulancias en 7 municipios</t>
  </si>
  <si>
    <t>Ambulancia dañada</t>
  </si>
  <si>
    <t>CONCURSO DE HUAPANGO</t>
  </si>
  <si>
    <t>Concurso De Huapango</t>
  </si>
  <si>
    <t>Monitorean zonas de riesgo</t>
  </si>
  <si>
    <t>Reunión Gabinete De Seguridad</t>
  </si>
  <si>
    <t>En la vorágine internacional marcada por el conflicto bélico de Estados Unidos contra Irán, un caso se ha quedado perdido en una especie de limbo; se trata...</t>
  </si>
  <si>
    <t>Abrirán nuevos bachilleratos</t>
  </si>
  <si>
    <t>Bachillerato Nacional</t>
  </si>
  <si>
    <t>TUZOS VS SU BESTIA</t>
  </si>
  <si>
    <t>MADRID Y BARCELONA VAN POR LA REMONTADA</t>
  </si>
  <si>
    <t>REPORTA SEPH SALDO BLANCO TRAS EL ASUETO</t>
  </si>
  <si>
    <t>Busca el PAN retirar los bolardos del Tuzobús</t>
  </si>
  <si>
    <t>Carril confinado</t>
  </si>
  <si>
    <t>COLAPSA PUENTE PROVISIONAL EN TIANGUISTENGO</t>
  </si>
  <si>
    <t>Colapso de puente</t>
  </si>
  <si>
    <t>Tienen siete municipios ambulancias sin ser usadas</t>
  </si>
  <si>
    <t>Canasta básica alcanzó $1,062 en zona de Pachuca</t>
  </si>
  <si>
    <t>Regularán las motos y scooters; habrá multas para incumplidos</t>
  </si>
  <si>
    <t>Actualización de reglamentos</t>
  </si>
  <si>
    <t>Detectan irregularidades en unidades municipales</t>
  </si>
  <si>
    <t>EL robo de combustibles se registra en 41 localidades</t>
  </si>
  <si>
    <t>Huachicol</t>
  </si>
  <si>
    <t>Los restaurantes captan 260 mdp en Semana Santa</t>
  </si>
  <si>
    <t>La industria eléctrica china, gran beneficiada por el conflicto</t>
  </si>
  <si>
    <t>Vance ve avances para nuevo diálogo</t>
  </si>
  <si>
    <t>José Revueltas: de los libros a la acción directa</t>
  </si>
  <si>
    <t>Viene recorte franciscano para sostener gasolinas y los programas sociales</t>
  </si>
  <si>
    <t>Austeridad</t>
  </si>
  <si>
    <t>Claudia pedirá a Sánchez conocer la visión indígena</t>
  </si>
  <si>
    <t>Jugará Gabriela Jáquez con Chicago en la WNBA</t>
  </si>
  <si>
    <t>Construirán 26 bachilleratos con una inversión de más de 491 mdp</t>
  </si>
  <si>
    <t>Mantiene activo gobierno estatal Comité de Emergencias por lluvias</t>
  </si>
  <si>
    <t>Saldo blanco en escuelas durante vacaciones; sin robos y regreso normal: SEPH</t>
  </si>
  <si>
    <t>Fallece motociclista en bulevar Las Torres; lo impactó un camión</t>
  </si>
  <si>
    <t>Accidente Vial</t>
  </si>
  <si>
    <t>Supervisan instalaciones del IMSS Bienestar en Atlapexco</t>
  </si>
  <si>
    <t>Recorrido por instalaciones</t>
  </si>
  <si>
    <t>Vacunación , principal herramienta preventiva contra el sarampión</t>
  </si>
  <si>
    <t>titular</t>
  </si>
  <si>
    <t>Sarampión</t>
  </si>
  <si>
    <t>Semarnat evalurrá sanitización de basurero Atlapexco</t>
  </si>
  <si>
    <t>Medio ambiente</t>
  </si>
  <si>
    <t>Supervisión sanitaria</t>
  </si>
  <si>
    <t>Regresan a clases estudiantes, tras concluir periodo vacacional de semana santa</t>
  </si>
  <si>
    <t>Regreso a clases en preescolar fortalece valores y compromiso educativo</t>
  </si>
  <si>
    <t>La UCLA no tiene razón de ser</t>
  </si>
  <si>
    <t>PAN pide regresar carril compartido del Tuzobús</t>
  </si>
  <si>
    <t>Tren, el boom de Mineral de la Reforma</t>
  </si>
  <si>
    <t>Tesoro ancestral, hallan arte rupestre de más de 4 mil años en zona del tren México Querétaro</t>
  </si>
  <si>
    <t>Tren México Querétaro</t>
  </si>
  <si>
    <t>"No es pedir por pedir"</t>
  </si>
  <si>
    <t>Presupuesto IEEH</t>
  </si>
  <si>
    <t>Piden consulta por toros</t>
  </si>
  <si>
    <t>Gobierno de Hidalgo previene e informa a familias ubicadas en zonas de riesgo</t>
  </si>
  <si>
    <t>Hidalgo impulsa 115 becas para formar talento altamente especializado en 2026</t>
  </si>
  <si>
    <t>Citnova</t>
  </si>
  <si>
    <t>Impulso A La Ciencia</t>
  </si>
  <si>
    <t>Comité de Emergencias está activo, monitorea Tianguistengo y Huehuetla ante precipitaciones</t>
  </si>
  <si>
    <t>Construirán 26 bachilleratos para ampliar cobertura educativa en Hidalgo</t>
  </si>
  <si>
    <t>Pachuca avanza en el ordenamiento urbano con participación ciudadana</t>
  </si>
  <si>
    <t>Ordenamiento Territorial</t>
  </si>
  <si>
    <t>Preside Cepeda Salas histórica toma de protesta a 4 mil 700 representantes sindicales en la Sección 15 del SNTE</t>
  </si>
  <si>
    <t>Construirán 26 planteles de educación media superior en Hidalgo</t>
  </si>
  <si>
    <t>Suben peaje de las autopistas del país; tres pesos la México-Pachuca</t>
  </si>
  <si>
    <t>Aumento de peaje</t>
  </si>
  <si>
    <t>Con 115 becas, impulsan formación de talento altamente especializado</t>
  </si>
  <si>
    <t>Mantienen combate a saramipón mediante vacunación</t>
  </si>
  <si>
    <t>Huehuetla, zona de riesgo por crecida de río</t>
  </si>
  <si>
    <t>Desbordamiento de río</t>
  </si>
  <si>
    <t>"No se cumplió con la meta de ingressos a restauranteros"</t>
  </si>
  <si>
    <t>Primero el sarampión regresó como enfermedad masiva de alta peligrosidad, ahora también la tos ferina, todo por descuidar la vacunación</t>
  </si>
  <si>
    <t>Editorial</t>
  </si>
  <si>
    <t>Vacunación</t>
  </si>
  <si>
    <t>"Está bajo control el derrame en refinería Deer Park"</t>
  </si>
  <si>
    <t>Fuga de hidrocarburo</t>
  </si>
  <si>
    <t>Construirán 26 nuevos planteles para educación media superior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</si>
</sst>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1" totalsRowShown="0" headerRowDxfId="5" headerRowBorderDxfId="4">
  <autoFilter ref="A1:J61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1"/>
  <sheetViews>
    <sheetView tabSelected="1" topLeftCell="A50" workbookViewId="0">
      <selection activeCell="A2" sqref="A2:H61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72</v>
      </c>
    </row>
    <row r="2" spans="1:10" x14ac:dyDescent="0.35">
      <c r="A2" s="5">
        <v>46126</v>
      </c>
      <c r="B2" t="s">
        <v>81</v>
      </c>
      <c r="C2" s="6" t="s">
        <v>88</v>
      </c>
      <c r="D2" t="s">
        <v>9</v>
      </c>
      <c r="E2" t="s">
        <v>17</v>
      </c>
      <c r="F2" t="s">
        <v>17</v>
      </c>
      <c r="G2" t="s">
        <v>89</v>
      </c>
      <c r="H2" t="s">
        <v>11</v>
      </c>
      <c r="I2" t="str">
        <f>_xlfn.XLOOKUP(Tabla1[[#This Row],[Dependencia]],Tabla2[Dependencia],Tabla2[Clasificación],"No indexado")</f>
        <v>Alcaldías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46126</v>
      </c>
      <c r="B3" t="s">
        <v>81</v>
      </c>
      <c r="C3" s="6" t="s">
        <v>90</v>
      </c>
      <c r="D3" t="s">
        <v>91</v>
      </c>
      <c r="E3" t="s">
        <v>14</v>
      </c>
      <c r="F3" t="s">
        <v>92</v>
      </c>
      <c r="G3" t="s">
        <v>93</v>
      </c>
      <c r="H3" t="s">
        <v>16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46126</v>
      </c>
      <c r="B4" t="s">
        <v>81</v>
      </c>
      <c r="C4" s="6" t="s">
        <v>94</v>
      </c>
      <c r="D4" t="s">
        <v>13</v>
      </c>
      <c r="E4" t="s">
        <v>14</v>
      </c>
      <c r="F4" t="s">
        <v>14</v>
      </c>
      <c r="G4" t="s">
        <v>95</v>
      </c>
      <c r="H4" t="s">
        <v>16</v>
      </c>
      <c r="I4" t="str">
        <f>_xlfn.XLOOKUP(Tabla1[[#This Row],[Dependencia]],Tabla2[Dependencia],Tabla2[Clasificación],"No indexado")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46126</v>
      </c>
      <c r="B5" t="s">
        <v>81</v>
      </c>
      <c r="C5" s="6" t="s">
        <v>96</v>
      </c>
      <c r="D5" t="s">
        <v>12</v>
      </c>
      <c r="E5" t="s">
        <v>17</v>
      </c>
      <c r="F5" t="s">
        <v>17</v>
      </c>
      <c r="G5" t="s">
        <v>97</v>
      </c>
      <c r="H5" t="s">
        <v>11</v>
      </c>
      <c r="I5" t="str">
        <f>_xlfn.XLOOKUP(Tabla1[[#This Row],[Dependencia]],Tabla2[Dependencia],Tabla2[Clasificación],"No indexado")</f>
        <v>Alcaldías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46126</v>
      </c>
      <c r="B6" t="s">
        <v>81</v>
      </c>
      <c r="C6" s="6" t="s">
        <v>98</v>
      </c>
      <c r="D6" t="s">
        <v>12</v>
      </c>
      <c r="E6" t="s">
        <v>24</v>
      </c>
      <c r="F6" t="s">
        <v>99</v>
      </c>
      <c r="G6" t="s">
        <v>100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5">
        <v>46126</v>
      </c>
      <c r="B7" t="s">
        <v>69</v>
      </c>
      <c r="C7" s="6" t="s">
        <v>101</v>
      </c>
      <c r="D7" t="s">
        <v>13</v>
      </c>
      <c r="E7" t="s">
        <v>15</v>
      </c>
      <c r="F7" t="s">
        <v>2</v>
      </c>
      <c r="G7" t="s">
        <v>102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35">
      <c r="A8" s="5">
        <v>46126</v>
      </c>
      <c r="B8" t="s">
        <v>69</v>
      </c>
      <c r="C8" s="6" t="s">
        <v>103</v>
      </c>
      <c r="D8" t="s">
        <v>9</v>
      </c>
      <c r="E8" t="s">
        <v>30</v>
      </c>
      <c r="F8" t="s">
        <v>30</v>
      </c>
      <c r="G8" t="s">
        <v>104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x14ac:dyDescent="0.35">
      <c r="A9" s="5">
        <v>46126</v>
      </c>
      <c r="B9" t="s">
        <v>69</v>
      </c>
      <c r="C9" s="6" t="s">
        <v>105</v>
      </c>
      <c r="D9" t="s">
        <v>12</v>
      </c>
      <c r="E9" t="s">
        <v>25</v>
      </c>
      <c r="F9" t="s">
        <v>25</v>
      </c>
      <c r="G9" t="s">
        <v>106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Gobernador</v>
      </c>
    </row>
    <row r="10" spans="1:10" ht="43.5" x14ac:dyDescent="0.35">
      <c r="A10" s="5">
        <v>46126</v>
      </c>
      <c r="B10" t="s">
        <v>69</v>
      </c>
      <c r="C10" s="6" t="s">
        <v>107</v>
      </c>
      <c r="D10" t="s">
        <v>12</v>
      </c>
      <c r="E10" t="s">
        <v>10</v>
      </c>
      <c r="F10" t="s">
        <v>10</v>
      </c>
      <c r="G10" t="s">
        <v>68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46126</v>
      </c>
      <c r="B11" t="s">
        <v>69</v>
      </c>
      <c r="C11" s="6" t="s">
        <v>108</v>
      </c>
      <c r="D11" t="s">
        <v>12</v>
      </c>
      <c r="E11" t="s">
        <v>27</v>
      </c>
      <c r="F11" t="s">
        <v>2</v>
      </c>
      <c r="G11" t="s">
        <v>109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35">
      <c r="A12" s="5">
        <v>46126</v>
      </c>
      <c r="B12" t="s">
        <v>71</v>
      </c>
      <c r="C12" s="6" t="s">
        <v>110</v>
      </c>
      <c r="D12" t="s">
        <v>12</v>
      </c>
      <c r="E12" t="s">
        <v>10</v>
      </c>
      <c r="F12" t="s">
        <v>10</v>
      </c>
      <c r="G12" t="s">
        <v>74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46126</v>
      </c>
      <c r="B13" t="s">
        <v>71</v>
      </c>
      <c r="C13" s="6" t="s">
        <v>111</v>
      </c>
      <c r="D13" t="s">
        <v>12</v>
      </c>
      <c r="E13" t="s">
        <v>10</v>
      </c>
      <c r="F13" t="s">
        <v>10</v>
      </c>
      <c r="G13" t="s">
        <v>74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46126</v>
      </c>
      <c r="B14" t="s">
        <v>71</v>
      </c>
      <c r="C14" s="6" t="s">
        <v>112</v>
      </c>
      <c r="D14" t="s">
        <v>13</v>
      </c>
      <c r="E14" t="s">
        <v>27</v>
      </c>
      <c r="F14" t="s">
        <v>27</v>
      </c>
      <c r="G14" t="s">
        <v>87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35">
      <c r="A15" s="5">
        <v>46126</v>
      </c>
      <c r="B15" t="s">
        <v>71</v>
      </c>
      <c r="C15" s="6" t="s">
        <v>113</v>
      </c>
      <c r="D15" t="s">
        <v>12</v>
      </c>
      <c r="E15" t="s">
        <v>48</v>
      </c>
      <c r="F15" t="s">
        <v>48</v>
      </c>
      <c r="G15" t="s">
        <v>114</v>
      </c>
      <c r="H15" t="s">
        <v>11</v>
      </c>
      <c r="I15" t="str">
        <f>_xlfn.XLOOKUP(Tabla1[[#This Row],[Dependencia]],Tabla2[Dependencia],Tabla2[Clasificación],"No indexado")</f>
        <v>Partidos</v>
      </c>
      <c r="J15" t="str">
        <f>_xlfn.XLOOKUP(Tabla1[[#This Row],[Dependencia]],Tabla3[Dependencia],Tabla3[Nivel],"otros",0)</f>
        <v>otros</v>
      </c>
    </row>
    <row r="16" spans="1:10" x14ac:dyDescent="0.35">
      <c r="A16" s="5">
        <v>46126</v>
      </c>
      <c r="B16" t="s">
        <v>71</v>
      </c>
      <c r="C16" s="6" t="s">
        <v>115</v>
      </c>
      <c r="D16" t="s">
        <v>9</v>
      </c>
      <c r="E16" t="s">
        <v>17</v>
      </c>
      <c r="F16" t="s">
        <v>17</v>
      </c>
      <c r="G16" t="s">
        <v>116</v>
      </c>
      <c r="H16" t="s">
        <v>11</v>
      </c>
      <c r="I16" t="str">
        <f>_xlfn.XLOOKUP(Tabla1[[#This Row],[Dependencia]],Tabla2[Dependencia],Tabla2[Clasificación],"No indexado")</f>
        <v>Alcaldías</v>
      </c>
      <c r="J16" t="str">
        <f>_xlfn.XLOOKUP(Tabla1[[#This Row],[Dependencia]],Tabla3[Dependencia],Tabla3[Nivel],"otros",0)</f>
        <v>otros</v>
      </c>
    </row>
    <row r="17" spans="1:10" x14ac:dyDescent="0.35">
      <c r="A17" s="5">
        <v>46126</v>
      </c>
      <c r="B17" t="s">
        <v>71</v>
      </c>
      <c r="C17" s="6" t="s">
        <v>117</v>
      </c>
      <c r="D17" t="s">
        <v>12</v>
      </c>
      <c r="E17" t="s">
        <v>15</v>
      </c>
      <c r="F17" t="s">
        <v>15</v>
      </c>
      <c r="G17" t="s">
        <v>102</v>
      </c>
      <c r="H17" t="s">
        <v>16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5">
        <v>46126</v>
      </c>
      <c r="B18" t="s">
        <v>71</v>
      </c>
      <c r="C18" s="6" t="s">
        <v>118</v>
      </c>
      <c r="D18" t="s">
        <v>12</v>
      </c>
      <c r="E18" t="s">
        <v>10</v>
      </c>
      <c r="F18" t="s">
        <v>10</v>
      </c>
      <c r="G18" t="s">
        <v>68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29" x14ac:dyDescent="0.35">
      <c r="A19" s="5">
        <v>46126</v>
      </c>
      <c r="B19" t="s">
        <v>75</v>
      </c>
      <c r="C19" s="6" t="s">
        <v>119</v>
      </c>
      <c r="D19" t="s">
        <v>13</v>
      </c>
      <c r="E19" t="s">
        <v>17</v>
      </c>
      <c r="F19" t="s">
        <v>17</v>
      </c>
      <c r="G19" t="s">
        <v>120</v>
      </c>
      <c r="H19" t="s">
        <v>11</v>
      </c>
      <c r="I19" t="str">
        <f>_xlfn.XLOOKUP(Tabla1[[#This Row],[Dependencia]],Tabla2[Dependencia],Tabla2[Clasificación],"No indexado")</f>
        <v>Alcaldías</v>
      </c>
      <c r="J19" t="str">
        <f>_xlfn.XLOOKUP(Tabla1[[#This Row],[Dependencia]],Tabla3[Dependencia],Tabla3[Nivel],"otros",0)</f>
        <v>otros</v>
      </c>
    </row>
    <row r="20" spans="1:10" x14ac:dyDescent="0.35">
      <c r="A20" s="5">
        <v>46126</v>
      </c>
      <c r="B20" t="s">
        <v>75</v>
      </c>
      <c r="C20" s="6" t="s">
        <v>121</v>
      </c>
      <c r="D20" t="s">
        <v>12</v>
      </c>
      <c r="E20" t="s">
        <v>15</v>
      </c>
      <c r="F20" t="s">
        <v>15</v>
      </c>
      <c r="G20" t="s">
        <v>102</v>
      </c>
      <c r="H20" t="s">
        <v>16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5">
        <v>46126</v>
      </c>
      <c r="B21" t="s">
        <v>75</v>
      </c>
      <c r="C21" s="6" t="s">
        <v>122</v>
      </c>
      <c r="D21" t="s">
        <v>12</v>
      </c>
      <c r="E21" t="s">
        <v>18</v>
      </c>
      <c r="F21" t="s">
        <v>18</v>
      </c>
      <c r="G21" t="s">
        <v>123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35">
      <c r="A22" s="5">
        <v>46126</v>
      </c>
      <c r="B22" t="s">
        <v>75</v>
      </c>
      <c r="C22" s="6" t="s">
        <v>124</v>
      </c>
      <c r="D22" t="s">
        <v>12</v>
      </c>
      <c r="E22" t="s">
        <v>10</v>
      </c>
      <c r="F22" t="s">
        <v>10</v>
      </c>
      <c r="G22" t="s">
        <v>84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35">
      <c r="A23" s="5">
        <v>46126</v>
      </c>
      <c r="B23" t="s">
        <v>75</v>
      </c>
      <c r="C23" s="6" t="s">
        <v>125</v>
      </c>
      <c r="D23" t="s">
        <v>12</v>
      </c>
      <c r="E23" t="s">
        <v>10</v>
      </c>
      <c r="F23" t="s">
        <v>10</v>
      </c>
      <c r="G23" t="s">
        <v>68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x14ac:dyDescent="0.35">
      <c r="A24" s="5">
        <v>46126</v>
      </c>
      <c r="B24" t="s">
        <v>75</v>
      </c>
      <c r="C24" s="6" t="s">
        <v>126</v>
      </c>
      <c r="D24" t="s">
        <v>12</v>
      </c>
      <c r="E24" t="s">
        <v>10</v>
      </c>
      <c r="F24" t="s">
        <v>10</v>
      </c>
      <c r="G24" t="s">
        <v>68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46126</v>
      </c>
      <c r="B25" t="s">
        <v>75</v>
      </c>
      <c r="C25" s="6" t="s">
        <v>127</v>
      </c>
      <c r="D25" t="s">
        <v>12</v>
      </c>
      <c r="E25" t="s">
        <v>10</v>
      </c>
      <c r="F25" t="s">
        <v>10</v>
      </c>
      <c r="G25" t="s">
        <v>68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29" x14ac:dyDescent="0.35">
      <c r="A26" s="5">
        <v>46126</v>
      </c>
      <c r="B26" t="s">
        <v>75</v>
      </c>
      <c r="C26" s="6" t="s">
        <v>128</v>
      </c>
      <c r="D26" t="s">
        <v>12</v>
      </c>
      <c r="E26" t="s">
        <v>14</v>
      </c>
      <c r="F26" t="s">
        <v>14</v>
      </c>
      <c r="G26" t="s">
        <v>129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46126</v>
      </c>
      <c r="B27" t="s">
        <v>75</v>
      </c>
      <c r="C27" s="6" t="s">
        <v>130</v>
      </c>
      <c r="D27" t="s">
        <v>12</v>
      </c>
      <c r="E27" t="s">
        <v>10</v>
      </c>
      <c r="F27" t="s">
        <v>10</v>
      </c>
      <c r="G27" t="s">
        <v>86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46126</v>
      </c>
      <c r="B28" t="s">
        <v>75</v>
      </c>
      <c r="C28" s="6" t="s">
        <v>131</v>
      </c>
      <c r="D28" t="s">
        <v>12</v>
      </c>
      <c r="E28" t="s">
        <v>10</v>
      </c>
      <c r="F28" t="s">
        <v>10</v>
      </c>
      <c r="G28" t="s">
        <v>74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29" x14ac:dyDescent="0.35">
      <c r="A29" s="5">
        <v>46126</v>
      </c>
      <c r="B29" t="s">
        <v>70</v>
      </c>
      <c r="C29" s="6" t="s">
        <v>132</v>
      </c>
      <c r="D29" t="s">
        <v>13</v>
      </c>
      <c r="E29" t="s">
        <v>27</v>
      </c>
      <c r="F29" t="s">
        <v>2</v>
      </c>
      <c r="G29" t="s">
        <v>109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ht="29" x14ac:dyDescent="0.35">
      <c r="A30" s="5">
        <v>46126</v>
      </c>
      <c r="B30" t="s">
        <v>70</v>
      </c>
      <c r="C30" s="6" t="s">
        <v>133</v>
      </c>
      <c r="D30" t="s">
        <v>12</v>
      </c>
      <c r="E30" t="s">
        <v>25</v>
      </c>
      <c r="F30" t="s">
        <v>25</v>
      </c>
      <c r="G30" t="s">
        <v>106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Gobernador</v>
      </c>
    </row>
    <row r="31" spans="1:10" ht="29" x14ac:dyDescent="0.35">
      <c r="A31" s="5">
        <v>46126</v>
      </c>
      <c r="B31" t="s">
        <v>70</v>
      </c>
      <c r="C31" s="6" t="s">
        <v>134</v>
      </c>
      <c r="D31" t="s">
        <v>12</v>
      </c>
      <c r="E31" t="s">
        <v>27</v>
      </c>
      <c r="F31" t="s">
        <v>27</v>
      </c>
      <c r="G31" t="s">
        <v>87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29" x14ac:dyDescent="0.35">
      <c r="A32" s="5">
        <v>46126</v>
      </c>
      <c r="B32" t="s">
        <v>70</v>
      </c>
      <c r="C32" s="6" t="s">
        <v>135</v>
      </c>
      <c r="D32" t="s">
        <v>12</v>
      </c>
      <c r="E32" t="s">
        <v>23</v>
      </c>
      <c r="F32" t="s">
        <v>23</v>
      </c>
      <c r="G32" t="s">
        <v>136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x14ac:dyDescent="0.35">
      <c r="A33" s="5">
        <v>46126</v>
      </c>
      <c r="B33" t="s">
        <v>80</v>
      </c>
      <c r="C33" s="6" t="s">
        <v>137</v>
      </c>
      <c r="D33" t="s">
        <v>13</v>
      </c>
      <c r="E33" t="s">
        <v>14</v>
      </c>
      <c r="F33" t="s">
        <v>14</v>
      </c>
      <c r="G33" t="s">
        <v>138</v>
      </c>
      <c r="H33" t="s">
        <v>11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ht="29" x14ac:dyDescent="0.35">
      <c r="A34" s="5">
        <v>46126</v>
      </c>
      <c r="B34" t="s">
        <v>80</v>
      </c>
      <c r="C34" s="6" t="s">
        <v>139</v>
      </c>
      <c r="D34" t="s">
        <v>12</v>
      </c>
      <c r="E34" t="s">
        <v>15</v>
      </c>
      <c r="F34" t="s">
        <v>140</v>
      </c>
      <c r="G34" t="s">
        <v>141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35">
      <c r="A35" s="5">
        <v>46126</v>
      </c>
      <c r="B35" t="s">
        <v>80</v>
      </c>
      <c r="C35" s="6" t="s">
        <v>142</v>
      </c>
      <c r="D35" t="s">
        <v>12</v>
      </c>
      <c r="E35" t="s">
        <v>14</v>
      </c>
      <c r="F35" t="s">
        <v>143</v>
      </c>
      <c r="G35" t="s">
        <v>144</v>
      </c>
      <c r="H35" t="s">
        <v>11</v>
      </c>
      <c r="I35" t="str">
        <f>_xlfn.XLOOKUP(Tabla1[[#This Row],[Dependencia]],Tabla2[Dependencia],Tabla2[Clasificación],"No indexado")</f>
        <v>Presidencia de la República</v>
      </c>
      <c r="J35" t="str">
        <f>_xlfn.XLOOKUP(Tabla1[[#This Row],[Dependencia]],Tabla3[Dependencia],Tabla3[Nivel],"otros",0)</f>
        <v>otros</v>
      </c>
    </row>
    <row r="36" spans="1:10" ht="29" x14ac:dyDescent="0.35">
      <c r="A36" s="5">
        <v>46126</v>
      </c>
      <c r="B36" t="s">
        <v>80</v>
      </c>
      <c r="C36" s="6" t="s">
        <v>145</v>
      </c>
      <c r="D36" t="s">
        <v>12</v>
      </c>
      <c r="E36" t="s">
        <v>17</v>
      </c>
      <c r="F36" t="s">
        <v>17</v>
      </c>
      <c r="G36" t="s">
        <v>87</v>
      </c>
      <c r="H36" t="s">
        <v>11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ht="29" x14ac:dyDescent="0.35">
      <c r="A37" s="5">
        <v>46126</v>
      </c>
      <c r="B37" t="s">
        <v>80</v>
      </c>
      <c r="C37" s="6" t="s">
        <v>146</v>
      </c>
      <c r="D37" t="s">
        <v>12</v>
      </c>
      <c r="E37" t="s">
        <v>17</v>
      </c>
      <c r="F37" t="s">
        <v>17</v>
      </c>
      <c r="G37" t="s">
        <v>87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x14ac:dyDescent="0.35">
      <c r="A38" s="5">
        <v>46126</v>
      </c>
      <c r="B38" t="s">
        <v>80</v>
      </c>
      <c r="C38" s="6" t="s">
        <v>147</v>
      </c>
      <c r="D38" t="s">
        <v>12</v>
      </c>
      <c r="E38" t="s">
        <v>10</v>
      </c>
      <c r="F38" t="s">
        <v>10</v>
      </c>
      <c r="G38" t="s">
        <v>68</v>
      </c>
      <c r="H38" t="s">
        <v>11</v>
      </c>
      <c r="I38" t="str">
        <f>_xlfn.XLOOKUP(Tabla1[[#This Row],[Dependencia]],Tabla2[Dependencia],Tabla2[Clasificación],"No indexado")</f>
        <v>Otros</v>
      </c>
      <c r="J38" t="str">
        <f>_xlfn.XLOOKUP(Tabla1[[#This Row],[Dependencia]],Tabla3[Dependencia],Tabla3[Nivel],"otros",0)</f>
        <v>otros</v>
      </c>
    </row>
    <row r="39" spans="1:10" x14ac:dyDescent="0.35">
      <c r="A39" s="5">
        <v>46126</v>
      </c>
      <c r="B39" t="s">
        <v>82</v>
      </c>
      <c r="C39" s="6" t="s">
        <v>148</v>
      </c>
      <c r="D39" t="s">
        <v>13</v>
      </c>
      <c r="E39" t="s">
        <v>48</v>
      </c>
      <c r="F39" t="s">
        <v>48</v>
      </c>
      <c r="G39" t="s">
        <v>114</v>
      </c>
      <c r="H39" t="s">
        <v>11</v>
      </c>
      <c r="I39" t="str">
        <f>_xlfn.XLOOKUP(Tabla1[[#This Row],[Dependencia]],Tabla2[Dependencia],Tabla2[Clasificación],"No indexado")</f>
        <v>Partidos</v>
      </c>
      <c r="J39" t="str">
        <f>_xlfn.XLOOKUP(Tabla1[[#This Row],[Dependencia]],Tabla3[Dependencia],Tabla3[Nivel],"otros",0)</f>
        <v>otros</v>
      </c>
    </row>
    <row r="40" spans="1:10" x14ac:dyDescent="0.35">
      <c r="A40" s="5">
        <v>46126</v>
      </c>
      <c r="B40" t="s">
        <v>82</v>
      </c>
      <c r="C40" s="6" t="s">
        <v>149</v>
      </c>
      <c r="D40" t="s">
        <v>12</v>
      </c>
      <c r="E40" t="s">
        <v>17</v>
      </c>
      <c r="F40" t="s">
        <v>17</v>
      </c>
      <c r="G40" t="s">
        <v>93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ht="29" x14ac:dyDescent="0.35">
      <c r="A41" s="5">
        <v>46126</v>
      </c>
      <c r="B41" t="s">
        <v>82</v>
      </c>
      <c r="C41" s="6" t="s">
        <v>150</v>
      </c>
      <c r="D41" t="s">
        <v>9</v>
      </c>
      <c r="E41" t="s">
        <v>14</v>
      </c>
      <c r="F41" t="s">
        <v>14</v>
      </c>
      <c r="G41" t="s">
        <v>151</v>
      </c>
      <c r="H41" t="s">
        <v>11</v>
      </c>
      <c r="I41" t="str">
        <f>_xlfn.XLOOKUP(Tabla1[[#This Row],[Dependencia]],Tabla2[Dependencia],Tabla2[Clasificación],"No indexado")</f>
        <v>Presidencia de la República</v>
      </c>
      <c r="J41" t="str">
        <f>_xlfn.XLOOKUP(Tabla1[[#This Row],[Dependencia]],Tabla3[Dependencia],Tabla3[Nivel],"otros",0)</f>
        <v>otros</v>
      </c>
    </row>
    <row r="42" spans="1:10" x14ac:dyDescent="0.35">
      <c r="A42" s="5">
        <v>46126</v>
      </c>
      <c r="B42" t="s">
        <v>82</v>
      </c>
      <c r="C42" s="6" t="s">
        <v>152</v>
      </c>
      <c r="D42" t="s">
        <v>12</v>
      </c>
      <c r="E42" t="s">
        <v>43</v>
      </c>
      <c r="F42" t="s">
        <v>43</v>
      </c>
      <c r="G42" t="s">
        <v>153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46126</v>
      </c>
      <c r="B43" t="s">
        <v>82</v>
      </c>
      <c r="C43" s="6" t="s">
        <v>154</v>
      </c>
      <c r="D43" t="s">
        <v>12</v>
      </c>
      <c r="E43" t="s">
        <v>36</v>
      </c>
      <c r="F43" t="s">
        <v>36</v>
      </c>
      <c r="G43" t="s">
        <v>83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46126</v>
      </c>
      <c r="B44" t="s">
        <v>78</v>
      </c>
      <c r="C44" s="6" t="s">
        <v>85</v>
      </c>
      <c r="D44" t="s">
        <v>76</v>
      </c>
      <c r="E44" t="s">
        <v>17</v>
      </c>
      <c r="F44" t="s">
        <v>17</v>
      </c>
      <c r="G44" t="s">
        <v>77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ht="29" x14ac:dyDescent="0.35">
      <c r="A45" s="5">
        <v>46126</v>
      </c>
      <c r="B45" t="s">
        <v>78</v>
      </c>
      <c r="C45" s="6" t="s">
        <v>155</v>
      </c>
      <c r="D45" t="s">
        <v>12</v>
      </c>
      <c r="E45" t="s">
        <v>25</v>
      </c>
      <c r="F45" t="s">
        <v>25</v>
      </c>
      <c r="G45" t="s">
        <v>106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Gobernador</v>
      </c>
    </row>
    <row r="46" spans="1:10" ht="29" x14ac:dyDescent="0.35">
      <c r="A46" s="5">
        <v>46126</v>
      </c>
      <c r="B46" t="s">
        <v>78</v>
      </c>
      <c r="C46" s="6" t="s">
        <v>156</v>
      </c>
      <c r="D46" t="s">
        <v>13</v>
      </c>
      <c r="E46" t="s">
        <v>50</v>
      </c>
      <c r="F46" t="s">
        <v>157</v>
      </c>
      <c r="G46" t="s">
        <v>158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29" x14ac:dyDescent="0.35">
      <c r="A47" s="5">
        <v>46126</v>
      </c>
      <c r="B47" t="s">
        <v>78</v>
      </c>
      <c r="C47" s="6" t="s">
        <v>159</v>
      </c>
      <c r="D47" t="s">
        <v>12</v>
      </c>
      <c r="E47" t="s">
        <v>25</v>
      </c>
      <c r="F47" t="s">
        <v>25</v>
      </c>
      <c r="G47" t="s">
        <v>106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Gobernador</v>
      </c>
    </row>
    <row r="48" spans="1:10" ht="29" x14ac:dyDescent="0.35">
      <c r="A48" s="5">
        <v>46126</v>
      </c>
      <c r="B48" t="s">
        <v>78</v>
      </c>
      <c r="C48" s="6" t="s">
        <v>160</v>
      </c>
      <c r="D48" t="s">
        <v>12</v>
      </c>
      <c r="E48" t="s">
        <v>27</v>
      </c>
      <c r="F48" t="s">
        <v>2</v>
      </c>
      <c r="G48" t="s">
        <v>109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29" x14ac:dyDescent="0.35">
      <c r="A49" s="5">
        <v>46126</v>
      </c>
      <c r="B49" t="s">
        <v>78</v>
      </c>
      <c r="C49" s="6" t="s">
        <v>161</v>
      </c>
      <c r="D49" t="s">
        <v>12</v>
      </c>
      <c r="E49" t="s">
        <v>17</v>
      </c>
      <c r="F49" t="s">
        <v>17</v>
      </c>
      <c r="G49" t="s">
        <v>162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29" x14ac:dyDescent="0.35">
      <c r="A50" s="5">
        <v>46126</v>
      </c>
      <c r="B50" t="s">
        <v>78</v>
      </c>
      <c r="C50" s="6" t="s">
        <v>163</v>
      </c>
      <c r="D50" t="s">
        <v>12</v>
      </c>
      <c r="E50" t="s">
        <v>10</v>
      </c>
      <c r="F50" t="s">
        <v>10</v>
      </c>
      <c r="G50" t="s">
        <v>68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ht="29" x14ac:dyDescent="0.35">
      <c r="A51" s="5">
        <v>46126</v>
      </c>
      <c r="B51" t="s">
        <v>28</v>
      </c>
      <c r="C51" s="6" t="s">
        <v>164</v>
      </c>
      <c r="D51" t="s">
        <v>13</v>
      </c>
      <c r="E51" t="s">
        <v>27</v>
      </c>
      <c r="F51" t="s">
        <v>2</v>
      </c>
      <c r="G51" t="s">
        <v>109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ht="29" x14ac:dyDescent="0.35">
      <c r="A52" s="5">
        <v>46126</v>
      </c>
      <c r="B52" t="s">
        <v>28</v>
      </c>
      <c r="C52" s="6" t="s">
        <v>165</v>
      </c>
      <c r="D52" t="s">
        <v>12</v>
      </c>
      <c r="E52" t="s">
        <v>14</v>
      </c>
      <c r="F52" t="s">
        <v>14</v>
      </c>
      <c r="G52" t="s">
        <v>166</v>
      </c>
      <c r="H52" t="s">
        <v>11</v>
      </c>
      <c r="I52" t="str">
        <f>_xlfn.XLOOKUP(Tabla1[[#This Row],[Dependencia]],Tabla2[Dependencia],Tabla2[Clasificación],"No indexado")</f>
        <v>Presidencia de la República</v>
      </c>
      <c r="J52" t="str">
        <f>_xlfn.XLOOKUP(Tabla1[[#This Row],[Dependencia]],Tabla3[Dependencia],Tabla3[Nivel],"otros",0)</f>
        <v>otros</v>
      </c>
    </row>
    <row r="53" spans="1:10" ht="29" x14ac:dyDescent="0.35">
      <c r="A53" s="5">
        <v>46126</v>
      </c>
      <c r="B53" t="s">
        <v>28</v>
      </c>
      <c r="C53" s="6" t="s">
        <v>167</v>
      </c>
      <c r="D53" t="s">
        <v>12</v>
      </c>
      <c r="E53" t="s">
        <v>50</v>
      </c>
      <c r="F53" t="s">
        <v>157</v>
      </c>
      <c r="G53" t="s">
        <v>158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ht="29" x14ac:dyDescent="0.35">
      <c r="A54" s="5">
        <v>46126</v>
      </c>
      <c r="B54" t="s">
        <v>28</v>
      </c>
      <c r="C54" s="6" t="s">
        <v>161</v>
      </c>
      <c r="D54" t="s">
        <v>12</v>
      </c>
      <c r="E54" t="s">
        <v>17</v>
      </c>
      <c r="F54" t="s">
        <v>17</v>
      </c>
      <c r="G54" t="s">
        <v>162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x14ac:dyDescent="0.35">
      <c r="A55" s="5">
        <v>46126</v>
      </c>
      <c r="B55" t="s">
        <v>28</v>
      </c>
      <c r="C55" s="6" t="s">
        <v>168</v>
      </c>
      <c r="D55" t="s">
        <v>12</v>
      </c>
      <c r="E55" t="s">
        <v>15</v>
      </c>
      <c r="F55" t="s">
        <v>15</v>
      </c>
      <c r="G55" t="s">
        <v>141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5">
        <v>46126</v>
      </c>
      <c r="B56" t="s">
        <v>28</v>
      </c>
      <c r="C56" s="6" t="s">
        <v>85</v>
      </c>
      <c r="D56" t="s">
        <v>76</v>
      </c>
      <c r="E56" t="s">
        <v>17</v>
      </c>
      <c r="F56" t="s">
        <v>17</v>
      </c>
      <c r="G56" t="s">
        <v>77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x14ac:dyDescent="0.35">
      <c r="A57" s="5">
        <v>46126</v>
      </c>
      <c r="B57" t="s">
        <v>79</v>
      </c>
      <c r="C57" s="6" t="s">
        <v>169</v>
      </c>
      <c r="D57" t="s">
        <v>13</v>
      </c>
      <c r="E57" t="s">
        <v>24</v>
      </c>
      <c r="F57" t="s">
        <v>99</v>
      </c>
      <c r="G57" t="s">
        <v>170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35">
      <c r="A58" s="5">
        <v>46126</v>
      </c>
      <c r="B58" t="s">
        <v>79</v>
      </c>
      <c r="C58" s="6" t="s">
        <v>171</v>
      </c>
      <c r="D58" t="s">
        <v>12</v>
      </c>
      <c r="E58" t="s">
        <v>10</v>
      </c>
      <c r="F58" t="s">
        <v>10</v>
      </c>
      <c r="G58" t="s">
        <v>68</v>
      </c>
      <c r="H58" t="s">
        <v>11</v>
      </c>
      <c r="I58" t="str">
        <f>_xlfn.XLOOKUP(Tabla1[[#This Row],[Dependencia]],Tabla2[Dependencia],Tabla2[Clasificación],"No indexado")</f>
        <v>Otros</v>
      </c>
      <c r="J58" t="str">
        <f>_xlfn.XLOOKUP(Tabla1[[#This Row],[Dependencia]],Tabla3[Dependencia],Tabla3[Nivel],"otros",0)</f>
        <v>otros</v>
      </c>
    </row>
    <row r="59" spans="1:10" ht="43.5" x14ac:dyDescent="0.35">
      <c r="A59" s="5">
        <v>46126</v>
      </c>
      <c r="B59" t="s">
        <v>79</v>
      </c>
      <c r="C59" s="6" t="s">
        <v>172</v>
      </c>
      <c r="D59" t="s">
        <v>173</v>
      </c>
      <c r="E59" t="s">
        <v>14</v>
      </c>
      <c r="F59" t="s">
        <v>14</v>
      </c>
      <c r="G59" t="s">
        <v>174</v>
      </c>
      <c r="H59" t="s">
        <v>16</v>
      </c>
      <c r="I59" t="str">
        <f>_xlfn.XLOOKUP(Tabla1[[#This Row],[Dependencia]],Tabla2[Dependencia],Tabla2[Clasificación],"No indexado")</f>
        <v>Presidencia de la República</v>
      </c>
      <c r="J59" t="str">
        <f>_xlfn.XLOOKUP(Tabla1[[#This Row],[Dependencia]],Tabla3[Dependencia],Tabla3[Nivel],"otros",0)</f>
        <v>otros</v>
      </c>
    </row>
    <row r="60" spans="1:10" x14ac:dyDescent="0.35">
      <c r="A60" s="5">
        <v>46126</v>
      </c>
      <c r="B60" t="s">
        <v>79</v>
      </c>
      <c r="C60" s="6" t="s">
        <v>175</v>
      </c>
      <c r="D60" t="s">
        <v>12</v>
      </c>
      <c r="E60" t="s">
        <v>14</v>
      </c>
      <c r="F60" t="s">
        <v>14</v>
      </c>
      <c r="G60" t="s">
        <v>176</v>
      </c>
      <c r="H60" t="s">
        <v>11</v>
      </c>
      <c r="I60" t="str">
        <f>_xlfn.XLOOKUP(Tabla1[[#This Row],[Dependencia]],Tabla2[Dependencia],Tabla2[Clasificación],"No indexado")</f>
        <v>Presidencia de la República</v>
      </c>
      <c r="J60" t="str">
        <f>_xlfn.XLOOKUP(Tabla1[[#This Row],[Dependencia]],Tabla3[Dependencia],Tabla3[Nivel],"otros",0)</f>
        <v>otros</v>
      </c>
    </row>
    <row r="61" spans="1:10" ht="29" x14ac:dyDescent="0.35">
      <c r="A61" s="5">
        <v>46126</v>
      </c>
      <c r="B61" t="s">
        <v>79</v>
      </c>
      <c r="C61" s="6" t="s">
        <v>177</v>
      </c>
      <c r="D61" t="s">
        <v>12</v>
      </c>
      <c r="E61" t="s">
        <v>27</v>
      </c>
      <c r="F61" t="s">
        <v>27</v>
      </c>
      <c r="G61" t="s">
        <v>109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32</v>
      </c>
      <c r="D1" s="8" t="s">
        <v>4</v>
      </c>
      <c r="E1" t="s">
        <v>72</v>
      </c>
    </row>
    <row r="2" spans="1:5" x14ac:dyDescent="0.35">
      <c r="A2" t="s">
        <v>64</v>
      </c>
      <c r="B2" t="s">
        <v>65</v>
      </c>
      <c r="D2" s="10" t="s">
        <v>20</v>
      </c>
      <c r="E2" t="s">
        <v>73</v>
      </c>
    </row>
    <row r="3" spans="1:5" x14ac:dyDescent="0.35">
      <c r="A3" t="s">
        <v>17</v>
      </c>
      <c r="B3" t="s">
        <v>33</v>
      </c>
      <c r="D3" s="9" t="s">
        <v>35</v>
      </c>
      <c r="E3" t="s">
        <v>73</v>
      </c>
    </row>
    <row r="4" spans="1:5" x14ac:dyDescent="0.35">
      <c r="A4" t="s">
        <v>20</v>
      </c>
      <c r="B4" t="s">
        <v>34</v>
      </c>
      <c r="D4" s="9" t="s">
        <v>37</v>
      </c>
      <c r="E4" t="s">
        <v>73</v>
      </c>
    </row>
    <row r="5" spans="1:5" x14ac:dyDescent="0.35">
      <c r="A5" t="s">
        <v>63</v>
      </c>
      <c r="B5" t="s">
        <v>10</v>
      </c>
      <c r="D5" s="10" t="s">
        <v>30</v>
      </c>
      <c r="E5" t="s">
        <v>73</v>
      </c>
    </row>
    <row r="6" spans="1:5" x14ac:dyDescent="0.35">
      <c r="A6" t="s">
        <v>35</v>
      </c>
      <c r="B6" t="s">
        <v>34</v>
      </c>
      <c r="D6" s="10" t="s">
        <v>38</v>
      </c>
      <c r="E6" t="s">
        <v>73</v>
      </c>
    </row>
    <row r="7" spans="1:5" x14ac:dyDescent="0.35">
      <c r="A7" t="s">
        <v>36</v>
      </c>
      <c r="B7" t="s">
        <v>10</v>
      </c>
      <c r="D7" s="9" t="s">
        <v>39</v>
      </c>
      <c r="E7" t="s">
        <v>73</v>
      </c>
    </row>
    <row r="8" spans="1:5" x14ac:dyDescent="0.35">
      <c r="A8" t="s">
        <v>37</v>
      </c>
      <c r="B8" t="s">
        <v>34</v>
      </c>
      <c r="D8" s="9" t="s">
        <v>39</v>
      </c>
      <c r="E8" t="s">
        <v>73</v>
      </c>
    </row>
    <row r="9" spans="1:5" x14ac:dyDescent="0.35">
      <c r="A9" t="s">
        <v>30</v>
      </c>
      <c r="B9" t="s">
        <v>34</v>
      </c>
      <c r="D9" s="9" t="s">
        <v>40</v>
      </c>
      <c r="E9" t="s">
        <v>73</v>
      </c>
    </row>
    <row r="10" spans="1:5" x14ac:dyDescent="0.35">
      <c r="A10" t="s">
        <v>26</v>
      </c>
      <c r="B10" t="s">
        <v>10</v>
      </c>
      <c r="D10" s="10" t="s">
        <v>25</v>
      </c>
      <c r="E10" t="s">
        <v>25</v>
      </c>
    </row>
    <row r="11" spans="1:5" x14ac:dyDescent="0.35">
      <c r="A11" t="s">
        <v>38</v>
      </c>
      <c r="B11" t="s">
        <v>34</v>
      </c>
      <c r="D11" s="9" t="s">
        <v>41</v>
      </c>
      <c r="E11" t="s">
        <v>73</v>
      </c>
    </row>
    <row r="12" spans="1:5" x14ac:dyDescent="0.35">
      <c r="A12" t="s">
        <v>39</v>
      </c>
      <c r="B12" t="s">
        <v>34</v>
      </c>
      <c r="D12" s="10" t="s">
        <v>42</v>
      </c>
      <c r="E12" t="s">
        <v>73</v>
      </c>
    </row>
    <row r="13" spans="1:5" x14ac:dyDescent="0.35">
      <c r="A13" t="s">
        <v>39</v>
      </c>
      <c r="B13" t="s">
        <v>34</v>
      </c>
      <c r="D13" s="10" t="s">
        <v>42</v>
      </c>
      <c r="E13" t="s">
        <v>73</v>
      </c>
    </row>
    <row r="14" spans="1:5" x14ac:dyDescent="0.35">
      <c r="A14" t="s">
        <v>66</v>
      </c>
      <c r="B14" t="s">
        <v>47</v>
      </c>
      <c r="D14" s="9" t="s">
        <v>22</v>
      </c>
      <c r="E14" t="s">
        <v>73</v>
      </c>
    </row>
    <row r="15" spans="1:5" x14ac:dyDescent="0.35">
      <c r="A15" t="s">
        <v>40</v>
      </c>
      <c r="B15" t="s">
        <v>34</v>
      </c>
      <c r="D15" s="10" t="s">
        <v>18</v>
      </c>
      <c r="E15" t="s">
        <v>73</v>
      </c>
    </row>
    <row r="16" spans="1:5" x14ac:dyDescent="0.35">
      <c r="A16" t="s">
        <v>25</v>
      </c>
      <c r="B16" t="s">
        <v>34</v>
      </c>
      <c r="D16" s="9" t="s">
        <v>50</v>
      </c>
      <c r="E16" t="s">
        <v>73</v>
      </c>
    </row>
    <row r="17" spans="1:5" x14ac:dyDescent="0.35">
      <c r="A17" t="s">
        <v>41</v>
      </c>
      <c r="B17" t="s">
        <v>34</v>
      </c>
      <c r="D17" s="9" t="s">
        <v>56</v>
      </c>
      <c r="E17" t="s">
        <v>73</v>
      </c>
    </row>
    <row r="18" spans="1:5" x14ac:dyDescent="0.35">
      <c r="A18" t="s">
        <v>42</v>
      </c>
      <c r="B18" t="s">
        <v>34</v>
      </c>
      <c r="D18" s="9" t="s">
        <v>57</v>
      </c>
      <c r="E18" t="s">
        <v>73</v>
      </c>
    </row>
    <row r="19" spans="1:5" x14ac:dyDescent="0.35">
      <c r="A19" t="s">
        <v>43</v>
      </c>
      <c r="B19" t="s">
        <v>10</v>
      </c>
      <c r="D19" s="9" t="s">
        <v>24</v>
      </c>
      <c r="E19" t="s">
        <v>73</v>
      </c>
    </row>
    <row r="20" spans="1:5" x14ac:dyDescent="0.35">
      <c r="A20" t="s">
        <v>44</v>
      </c>
      <c r="B20" t="s">
        <v>45</v>
      </c>
      <c r="D20" s="10" t="s">
        <v>21</v>
      </c>
      <c r="E20" t="s">
        <v>73</v>
      </c>
    </row>
    <row r="21" spans="1:5" x14ac:dyDescent="0.35">
      <c r="A21" t="s">
        <v>46</v>
      </c>
      <c r="B21" t="s">
        <v>47</v>
      </c>
      <c r="D21" s="9" t="s">
        <v>29</v>
      </c>
      <c r="E21" t="s">
        <v>73</v>
      </c>
    </row>
    <row r="22" spans="1:5" x14ac:dyDescent="0.35">
      <c r="A22" t="s">
        <v>19</v>
      </c>
      <c r="B22" t="s">
        <v>47</v>
      </c>
      <c r="D22" s="10" t="s">
        <v>27</v>
      </c>
      <c r="E22" t="s">
        <v>73</v>
      </c>
    </row>
    <row r="23" spans="1:5" x14ac:dyDescent="0.35">
      <c r="A23" t="s">
        <v>22</v>
      </c>
      <c r="B23" t="s">
        <v>34</v>
      </c>
      <c r="D23" s="9" t="s">
        <v>58</v>
      </c>
      <c r="E23" t="s">
        <v>73</v>
      </c>
    </row>
    <row r="24" spans="1:5" x14ac:dyDescent="0.35">
      <c r="A24" t="s">
        <v>10</v>
      </c>
      <c r="B24" t="s">
        <v>10</v>
      </c>
      <c r="D24" s="9" t="s">
        <v>15</v>
      </c>
      <c r="E24" t="s">
        <v>73</v>
      </c>
    </row>
    <row r="25" spans="1:5" x14ac:dyDescent="0.35">
      <c r="A25" t="s">
        <v>48</v>
      </c>
      <c r="B25" t="s">
        <v>47</v>
      </c>
      <c r="D25" s="10" t="s">
        <v>23</v>
      </c>
      <c r="E25" t="s">
        <v>73</v>
      </c>
    </row>
    <row r="26" spans="1:5" x14ac:dyDescent="0.35">
      <c r="A26" t="s">
        <v>49</v>
      </c>
      <c r="B26" t="s">
        <v>47</v>
      </c>
      <c r="D26" s="9" t="s">
        <v>59</v>
      </c>
      <c r="E26" t="s">
        <v>73</v>
      </c>
    </row>
    <row r="27" spans="1:5" x14ac:dyDescent="0.35">
      <c r="A27" t="s">
        <v>67</v>
      </c>
      <c r="B27" t="s">
        <v>47</v>
      </c>
      <c r="D27" s="11" t="s">
        <v>31</v>
      </c>
      <c r="E27" t="s">
        <v>73</v>
      </c>
    </row>
    <row r="28" spans="1:5" x14ac:dyDescent="0.35">
      <c r="A28" t="s">
        <v>18</v>
      </c>
      <c r="B28" t="s">
        <v>34</v>
      </c>
    </row>
    <row r="29" spans="1:5" x14ac:dyDescent="0.35">
      <c r="A29" t="s">
        <v>50</v>
      </c>
      <c r="B29" t="s">
        <v>34</v>
      </c>
    </row>
    <row r="30" spans="1:5" x14ac:dyDescent="0.35">
      <c r="A30" t="s">
        <v>51</v>
      </c>
      <c r="B30" t="s">
        <v>47</v>
      </c>
    </row>
    <row r="31" spans="1:5" x14ac:dyDescent="0.35">
      <c r="A31" t="s">
        <v>14</v>
      </c>
      <c r="B31" t="s">
        <v>52</v>
      </c>
    </row>
    <row r="32" spans="1:5" x14ac:dyDescent="0.35">
      <c r="A32" t="s">
        <v>53</v>
      </c>
      <c r="B32" t="s">
        <v>47</v>
      </c>
    </row>
    <row r="33" spans="1:2" x14ac:dyDescent="0.35">
      <c r="A33" t="s">
        <v>54</v>
      </c>
      <c r="B33" t="s">
        <v>47</v>
      </c>
    </row>
    <row r="34" spans="1:2" x14ac:dyDescent="0.35">
      <c r="A34" t="s">
        <v>55</v>
      </c>
      <c r="B34" t="s">
        <v>47</v>
      </c>
    </row>
    <row r="35" spans="1:2" x14ac:dyDescent="0.35">
      <c r="A35" t="s">
        <v>56</v>
      </c>
      <c r="B35" t="s">
        <v>34</v>
      </c>
    </row>
    <row r="36" spans="1:2" x14ac:dyDescent="0.35">
      <c r="A36" t="s">
        <v>57</v>
      </c>
      <c r="B36" t="s">
        <v>34</v>
      </c>
    </row>
    <row r="37" spans="1:2" x14ac:dyDescent="0.35">
      <c r="A37" t="s">
        <v>24</v>
      </c>
      <c r="B37" t="s">
        <v>34</v>
      </c>
    </row>
    <row r="38" spans="1:2" x14ac:dyDescent="0.35">
      <c r="A38" t="s">
        <v>21</v>
      </c>
      <c r="B38" t="s">
        <v>34</v>
      </c>
    </row>
    <row r="39" spans="1:2" x14ac:dyDescent="0.35">
      <c r="A39" t="s">
        <v>29</v>
      </c>
      <c r="B39" t="s">
        <v>34</v>
      </c>
    </row>
    <row r="40" spans="1:2" x14ac:dyDescent="0.35">
      <c r="A40" t="s">
        <v>27</v>
      </c>
      <c r="B40" t="s">
        <v>34</v>
      </c>
    </row>
    <row r="41" spans="1:2" x14ac:dyDescent="0.35">
      <c r="A41" t="s">
        <v>58</v>
      </c>
      <c r="B41" t="s">
        <v>34</v>
      </c>
    </row>
    <row r="42" spans="1:2" x14ac:dyDescent="0.35">
      <c r="A42" t="s">
        <v>15</v>
      </c>
      <c r="B42" t="s">
        <v>34</v>
      </c>
    </row>
    <row r="43" spans="1:2" x14ac:dyDescent="0.35">
      <c r="A43" t="s">
        <v>23</v>
      </c>
      <c r="B43" t="s">
        <v>34</v>
      </c>
    </row>
    <row r="44" spans="1:2" x14ac:dyDescent="0.35">
      <c r="A44" t="s">
        <v>59</v>
      </c>
      <c r="B44" t="s">
        <v>34</v>
      </c>
    </row>
    <row r="45" spans="1:2" x14ac:dyDescent="0.35">
      <c r="A45" t="s">
        <v>60</v>
      </c>
      <c r="B45" t="s">
        <v>10</v>
      </c>
    </row>
    <row r="46" spans="1:2" x14ac:dyDescent="0.35">
      <c r="A46" t="s">
        <v>61</v>
      </c>
      <c r="B46" t="s">
        <v>10</v>
      </c>
    </row>
    <row r="47" spans="1:2" x14ac:dyDescent="0.35">
      <c r="A47" t="s">
        <v>31</v>
      </c>
      <c r="B47" t="s">
        <v>34</v>
      </c>
    </row>
    <row r="48" spans="1:2" x14ac:dyDescent="0.35">
      <c r="A48" t="s">
        <v>62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2026-04-14T19:04:38Z</dcterms:modified>
</cp:coreProperties>
</file>