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590164C2-4378-4520-97BB-78DE18289279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I2" i="1"/>
  <c r="J2" i="1"/>
</calcChain>
</file>

<file path=xl/sharedStrings.xml><?xml version="1.0" encoding="utf-8"?>
<sst xmlns="http://schemas.openxmlformats.org/spreadsheetml/2006/main" count="601" uniqueCount="184">
  <si>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</si>
  <si>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</si>
  <si>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</si>
  <si>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</si>
  <si>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</si>
  <si>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</si>
  <si>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</si>
  <si>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</si>
  <si>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</si>
  <si>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</si>
  <si>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</si>
  <si>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</si>
  <si>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</si>
  <si>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</si>
  <si>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</si>
  <si>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</si>
  <si>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</si>
  <si>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</si>
  <si>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</si>
  <si>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</si>
  <si>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</si>
  <si>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</si>
  <si>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</si>
  <si>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</si>
  <si>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</si>
  <si>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</si>
  <si>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</si>
  <si>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</si>
  <si>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</si>
  <si>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</si>
  <si>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</si>
  <si>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</si>
  <si>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</si>
  <si>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</si>
  <si>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</si>
  <si>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</si>
  <si>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</si>
  <si>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</si>
  <si>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</si>
  <si>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</si>
  <si>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</si>
  <si>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</si>
  <si>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</si>
  <si>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</si>
  <si>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</si>
  <si>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</si>
  <si>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</si>
  <si>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</si>
  <si>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</si>
  <si>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</si>
  <si>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</si>
  <si>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</si>
  <si>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</si>
  <si>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</si>
  <si>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</si>
  <si>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</si>
  <si>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</si>
  <si>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</si>
  <si>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</si>
  <si>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</si>
  <si>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</si>
  <si>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</si>
  <si>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</si>
  <si>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</si>
  <si>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</si>
  <si>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</si>
  <si>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</si>
  <si>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</si>
  <si>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</si>
  <si>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</si>
  <si>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</si>
  <si>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</si>
  <si>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</si>
  <si>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</si>
  <si>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</si>
  <si>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</si>
  <si>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</si>
  <si>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Alcalde</t>
  </si>
  <si>
    <t>Plaza Juárez</t>
  </si>
  <si>
    <t>Criterio</t>
  </si>
  <si>
    <t>Sipdus</t>
  </si>
  <si>
    <t>Publicidad</t>
  </si>
  <si>
    <t>Temas varios</t>
  </si>
  <si>
    <t>Policía municipal</t>
  </si>
  <si>
    <t>Pachuca Brilla</t>
  </si>
  <si>
    <t>Complejo Gubernamental</t>
  </si>
  <si>
    <t>Incidencia Delictiva</t>
  </si>
  <si>
    <t>El Universal Hidalgo</t>
  </si>
  <si>
    <t>Alianzas Electorales</t>
  </si>
  <si>
    <t>Padrón de proveedores</t>
  </si>
  <si>
    <t>Reforma Electoral</t>
  </si>
  <si>
    <t>Huracán Priscilla</t>
  </si>
  <si>
    <t>Iniciativa</t>
  </si>
  <si>
    <t>Combate a la delincuencia</t>
  </si>
  <si>
    <t>Un mensaje puede esperar, la vida no</t>
  </si>
  <si>
    <t>Prevención de accidentes</t>
  </si>
  <si>
    <t>Ellos importan, adopta</t>
  </si>
  <si>
    <t>Maltrato animal</t>
  </si>
  <si>
    <t>Prevén conectar Río de las Avenidas con Platah</t>
  </si>
  <si>
    <t>Ampliación carretera</t>
  </si>
  <si>
    <t>Kane se suma a las figuras del mundial</t>
  </si>
  <si>
    <t>La violencia no se mide solo con cifras: Iglesias</t>
  </si>
  <si>
    <t>Ola De Violencia</t>
  </si>
  <si>
    <t>Amplía SEP amparo por predio del CBTis</t>
  </si>
  <si>
    <t>Disputa Por Predio</t>
  </si>
  <si>
    <t>Aumenta en 130 por ciento incidencia de atropellados</t>
  </si>
  <si>
    <t>Atropellamiento</t>
  </si>
  <si>
    <t>PIDEN FRENAR BASURERO…YA VA AL 90%</t>
  </si>
  <si>
    <t>Relleno Sanitario</t>
  </si>
  <si>
    <t>Kane hace soñar a Inglaterra</t>
  </si>
  <si>
    <t>Dan $500 mil a damnificados por lluvias</t>
  </si>
  <si>
    <t>Lanzan Plan de Justicia Energética</t>
  </si>
  <si>
    <t>Justicia energética</t>
  </si>
  <si>
    <t>México, por el liderato</t>
  </si>
  <si>
    <t>Congo arranca empate a Lusos</t>
  </si>
  <si>
    <t>En sur de zona metropolitana, plaga de baches</t>
  </si>
  <si>
    <t>Baches</t>
  </si>
  <si>
    <t>En juzgados, el avance por el feminicidio de Araceli en 2023</t>
  </si>
  <si>
    <t>Proceso Por Feminicidio</t>
  </si>
  <si>
    <t>Ven riesgo de contaminación por un relleno sanitario</t>
  </si>
  <si>
    <t>EL SUTSMMR ESTÁ  LISTO PARA ELEGIR A  SU NUEVA DIRIGENCIA</t>
  </si>
  <si>
    <t>SUTSMMR</t>
  </si>
  <si>
    <t>Contraloría tiene en la mira a 17 empresas por obras de hospital</t>
  </si>
  <si>
    <t>Nuevo Hospital General</t>
  </si>
  <si>
    <t>Garantizan para obras de reconstrucción 1,557 mdp</t>
  </si>
  <si>
    <t>Computadoras, solo en 5 de cada 10 hogares</t>
  </si>
  <si>
    <t>El Chapo: ""del desparpajo a la sumisión""</t>
  </si>
  <si>
    <t>Huracán. Kane golpea doble e Inglaterra arrasa 4-2 a Croacia</t>
  </si>
  <si>
    <t>Exponen en Pachuca modelos para su atención</t>
  </si>
  <si>
    <t>Prevención De Adicciones</t>
  </si>
  <si>
    <t>Tump y Vance ponen asteriscos al acuerdo con Irán hacia la paz</t>
  </si>
  <si>
    <t>Temas internacionales</t>
  </si>
  <si>
    <t>Catastro. Hidalgo se convierte en ejemplo a nivel nacional</t>
  </si>
  <si>
    <t>Modernización catastral</t>
  </si>
  <si>
    <t>Autoridad podría utilizar predios recuperados si no se venden</t>
  </si>
  <si>
    <t>Extinción de dominio</t>
  </si>
  <si>
    <t>Alertan de riesgo en acuífero por basurero en Tula</t>
  </si>
  <si>
    <t>Cónsules y prima incómoda causan disturbios en el gobierno</t>
  </si>
  <si>
    <t>Gobierno estatal invierte 28.9 mdp para actualizar catastro</t>
  </si>
  <si>
    <t>La pregunta que se hace una buena cantidad de cuadros y simpatizantes  de Movimiento Ciudadano (…) es ¿qué le debe Dante Delgado Ranauro  a Juan Ignacio Samperio Montaño? Para dejarlo un año más, para sumar  13, manipulando a este partido en Hidalgo”.</t>
  </si>
  <si>
    <t>Entrega gobierno estatal equipo y cartografía catastral a 83 municipios</t>
  </si>
  <si>
    <t>Reúne Pachuca a especialistas internacionales en congreso de prevención de adicciones</t>
  </si>
  <si>
    <t>Prevé Menchaca más obras alternas para mejorar accesos al CASP; concluirán en diciembre</t>
  </si>
  <si>
    <t>Retiran más de 3 mil toneladas de basura en drenes en Pachuca</t>
  </si>
  <si>
    <t>Prevención de inundaciones</t>
  </si>
  <si>
    <t>Julio Menchaca apuesta por modernización catastral en Hidalgo</t>
  </si>
  <si>
    <t>Manifiestan inconformidad en la CFE por constantes apagones</t>
  </si>
  <si>
    <t>CFE</t>
  </si>
  <si>
    <t>Falta de servicios públicos</t>
  </si>
  <si>
    <t>Depuración histórica del Padrón Estatal de Proveedores</t>
  </si>
  <si>
    <t>PAN fortalece estructuras y trabajo territorial</t>
  </si>
  <si>
    <t>Trabajo partidista</t>
  </si>
  <si>
    <t>Inician trabajos del puente Garcés</t>
  </si>
  <si>
    <t>Construcción de puente</t>
  </si>
  <si>
    <t>Saderh dignifica al campo a través de convenios de colaboración</t>
  </si>
  <si>
    <t>Firma De Convenio</t>
  </si>
  <si>
    <t>Menchaca proyecta ampliar vialidad del Río de las Avenidas hasta Platah</t>
  </si>
  <si>
    <t>Nadia Reyna propone facilidades para comerciantes de Pachuca</t>
  </si>
  <si>
    <t>En la congeladora, gubernatura exclusiva para mujeres</t>
  </si>
  <si>
    <t>"Tenemos rojos, azules, amarillos y guindas"</t>
  </si>
  <si>
    <t>Expertos de cuatro países contra las adicciones</t>
  </si>
  <si>
    <t>Marfeca</t>
  </si>
  <si>
    <t>IEEH presenta la Red de Mujeres Electas del Estado de Hidalgo</t>
  </si>
  <si>
    <t>Cintillo</t>
  </si>
  <si>
    <t>Propone Alejandro Alcántara fortalecer la Oficialía Mayor para dar mayor orden y seguimiento a los ayuntamientos de Hidalgo</t>
  </si>
  <si>
    <t>Menchaca apuesta por modernización catastral en Hidalgo En más de 3 años, la administración estatal ha destinado más de 28 mdp para fortalecer su sistema catastral</t>
  </si>
  <si>
    <t>Fortalece Pachuca la prevención con encuentro internacional sobre adicciones</t>
  </si>
  <si>
    <t>Tras casi una década, Tula retoma la entrega de Registros Nacionales de Turismo y fortalece la profesionalización de este sector</t>
  </si>
  <si>
    <t>CAPASMAH garantiza servicio de agua con nueva bomba en pozo La Cantera</t>
  </si>
  <si>
    <t>Agua</t>
  </si>
  <si>
    <t>Infraestructura Hidráulica</t>
  </si>
  <si>
    <t>Debate por aumento al fondo FAIMS centra la segunda sección del Copladem en Ajacuba</t>
  </si>
  <si>
    <t>Operativos permanentes fortalecen la seguridad en Pachuca</t>
  </si>
  <si>
    <t>No caigas</t>
  </si>
  <si>
    <t>Alerta De Fraude</t>
  </si>
  <si>
    <t>Retiran más de tres mil toneladas de basura en drenes de zona metropolitana</t>
  </si>
  <si>
    <t>México entra en acción en segundo duelo mundialista ante Corea</t>
  </si>
  <si>
    <t>gobgober</t>
  </si>
  <si>
    <t>gober</t>
  </si>
  <si>
    <t>Reduce Hidalgo tasa de homicidios dolosos</t>
  </si>
  <si>
    <t>Hidalgo apuesta por la modernización catastral</t>
  </si>
  <si>
    <t>Hay cosas más importantes que el resultado de un partido de futbol, como por ejemplo, los feminicidios, la criminalidad en general, la carestía y el desempleo. Todo en su justa dimensión</t>
  </si>
  <si>
    <t>Docentes inician marchas; exigen reabrir el diálogo</t>
  </si>
  <si>
    <t>Protesta sindical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</si>
</sst>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topLeftCell="D53" workbookViewId="0">
      <selection activeCell="J64" sqref="J64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46191</v>
      </c>
      <c r="B2" t="s">
        <v>68</v>
      </c>
      <c r="C2" s="6" t="s">
        <v>98</v>
      </c>
      <c r="D2" t="s">
        <v>9</v>
      </c>
      <c r="E2" t="s">
        <v>24</v>
      </c>
      <c r="F2" t="s">
        <v>24</v>
      </c>
      <c r="G2" t="s">
        <v>99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35">
      <c r="A3" s="5">
        <v>46191</v>
      </c>
      <c r="B3" t="s">
        <v>68</v>
      </c>
      <c r="C3" s="6" t="s">
        <v>100</v>
      </c>
      <c r="D3" t="s">
        <v>12</v>
      </c>
      <c r="E3" t="s">
        <v>10</v>
      </c>
      <c r="F3" t="s">
        <v>10</v>
      </c>
      <c r="G3" t="s">
        <v>75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46191</v>
      </c>
      <c r="B4" t="s">
        <v>68</v>
      </c>
      <c r="C4" s="6" t="s">
        <v>101</v>
      </c>
      <c r="D4" t="s">
        <v>12</v>
      </c>
      <c r="E4" t="s">
        <v>10</v>
      </c>
      <c r="F4" t="s">
        <v>10</v>
      </c>
      <c r="G4" t="s">
        <v>102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46191</v>
      </c>
      <c r="B5" t="s">
        <v>68</v>
      </c>
      <c r="C5" s="6" t="s">
        <v>103</v>
      </c>
      <c r="D5" t="s">
        <v>13</v>
      </c>
      <c r="E5" t="s">
        <v>80</v>
      </c>
      <c r="F5" t="s">
        <v>80</v>
      </c>
      <c r="G5" t="s">
        <v>104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5">
        <v>46191</v>
      </c>
      <c r="B6" t="s">
        <v>87</v>
      </c>
      <c r="C6" s="6" t="s">
        <v>105</v>
      </c>
      <c r="D6" t="s">
        <v>13</v>
      </c>
      <c r="E6" t="s">
        <v>15</v>
      </c>
      <c r="F6" t="s">
        <v>15</v>
      </c>
      <c r="G6" t="s">
        <v>106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46191</v>
      </c>
      <c r="B7" t="s">
        <v>87</v>
      </c>
      <c r="C7" s="6" t="s">
        <v>107</v>
      </c>
      <c r="D7" t="s">
        <v>12</v>
      </c>
      <c r="E7" t="s">
        <v>20</v>
      </c>
      <c r="F7" t="s">
        <v>20</v>
      </c>
      <c r="G7" t="s">
        <v>108</v>
      </c>
      <c r="H7" t="s">
        <v>70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46191</v>
      </c>
      <c r="B8" t="s">
        <v>87</v>
      </c>
      <c r="C8" s="6" t="s">
        <v>109</v>
      </c>
      <c r="D8" t="s">
        <v>12</v>
      </c>
      <c r="E8" t="s">
        <v>10</v>
      </c>
      <c r="F8" t="s">
        <v>10</v>
      </c>
      <c r="G8" t="s">
        <v>75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46191</v>
      </c>
      <c r="B9" t="s">
        <v>87</v>
      </c>
      <c r="C9" s="6" t="s">
        <v>110</v>
      </c>
      <c r="D9" t="s">
        <v>12</v>
      </c>
      <c r="E9" t="s">
        <v>24</v>
      </c>
      <c r="F9" t="s">
        <v>24</v>
      </c>
      <c r="G9" t="s">
        <v>91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35">
      <c r="A10" s="5">
        <v>46191</v>
      </c>
      <c r="B10" t="s">
        <v>87</v>
      </c>
      <c r="C10" s="6" t="s">
        <v>111</v>
      </c>
      <c r="D10" t="s">
        <v>12</v>
      </c>
      <c r="E10" t="s">
        <v>14</v>
      </c>
      <c r="F10" t="s">
        <v>14</v>
      </c>
      <c r="G10" t="s">
        <v>112</v>
      </c>
      <c r="H10" t="s">
        <v>11</v>
      </c>
      <c r="I10" t="str">
        <f>_xlfn.XLOOKUP(Tabla1[[#This Row],[Dependencia]],Tabla2[Dependencia],Tabla2[Clasificación],"No indexado")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46191</v>
      </c>
      <c r="B11" t="s">
        <v>79</v>
      </c>
      <c r="C11" s="6" t="s">
        <v>113</v>
      </c>
      <c r="D11" t="s">
        <v>12</v>
      </c>
      <c r="E11" t="s">
        <v>10</v>
      </c>
      <c r="F11" t="s">
        <v>10</v>
      </c>
      <c r="G11" t="s">
        <v>75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46191</v>
      </c>
      <c r="B12" t="s">
        <v>79</v>
      </c>
      <c r="C12" s="6" t="s">
        <v>114</v>
      </c>
      <c r="D12" t="s">
        <v>12</v>
      </c>
      <c r="E12" t="s">
        <v>10</v>
      </c>
      <c r="F12" t="s">
        <v>10</v>
      </c>
      <c r="G12" t="s">
        <v>75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46191</v>
      </c>
      <c r="B13" t="s">
        <v>79</v>
      </c>
      <c r="C13" s="6" t="s">
        <v>115</v>
      </c>
      <c r="D13" t="s">
        <v>13</v>
      </c>
      <c r="E13" t="s">
        <v>80</v>
      </c>
      <c r="F13" t="s">
        <v>80</v>
      </c>
      <c r="G13" t="s">
        <v>116</v>
      </c>
      <c r="H13" t="s">
        <v>70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5">
        <v>46191</v>
      </c>
      <c r="B14" t="s">
        <v>79</v>
      </c>
      <c r="C14" s="6" t="s">
        <v>117</v>
      </c>
      <c r="D14" t="s">
        <v>12</v>
      </c>
      <c r="E14" t="s">
        <v>58</v>
      </c>
      <c r="F14" t="s">
        <v>58</v>
      </c>
      <c r="G14" t="s">
        <v>118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46191</v>
      </c>
      <c r="B15" t="s">
        <v>79</v>
      </c>
      <c r="C15" s="6" t="s">
        <v>119</v>
      </c>
      <c r="D15" t="s">
        <v>9</v>
      </c>
      <c r="E15" t="s">
        <v>20</v>
      </c>
      <c r="F15" t="s">
        <v>20</v>
      </c>
      <c r="G15" t="s">
        <v>108</v>
      </c>
      <c r="H15" t="s">
        <v>70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46191</v>
      </c>
      <c r="B16" t="s">
        <v>79</v>
      </c>
      <c r="C16" s="6" t="s">
        <v>120</v>
      </c>
      <c r="D16" t="s">
        <v>12</v>
      </c>
      <c r="E16" t="s">
        <v>56</v>
      </c>
      <c r="F16" t="s">
        <v>56</v>
      </c>
      <c r="G16" t="s">
        <v>121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29" x14ac:dyDescent="0.35">
      <c r="A17" s="5">
        <v>46191</v>
      </c>
      <c r="B17" t="s">
        <v>67</v>
      </c>
      <c r="C17" s="6" t="s">
        <v>122</v>
      </c>
      <c r="D17" t="s">
        <v>13</v>
      </c>
      <c r="E17" t="s">
        <v>34</v>
      </c>
      <c r="F17" t="s">
        <v>34</v>
      </c>
      <c r="G17" t="s">
        <v>123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46191</v>
      </c>
      <c r="B18" t="s">
        <v>67</v>
      </c>
      <c r="C18" s="6" t="s">
        <v>124</v>
      </c>
      <c r="D18" t="s">
        <v>12</v>
      </c>
      <c r="E18" t="s">
        <v>33</v>
      </c>
      <c r="F18" t="s">
        <v>33</v>
      </c>
      <c r="G18" t="s">
        <v>91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46191</v>
      </c>
      <c r="B19" t="s">
        <v>67</v>
      </c>
      <c r="C19" s="6" t="s">
        <v>125</v>
      </c>
      <c r="D19" t="s">
        <v>12</v>
      </c>
      <c r="E19" t="s">
        <v>10</v>
      </c>
      <c r="F19" t="s">
        <v>10</v>
      </c>
      <c r="G19" t="s">
        <v>82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46191</v>
      </c>
      <c r="B20" t="s">
        <v>67</v>
      </c>
      <c r="C20" s="6" t="s">
        <v>126</v>
      </c>
      <c r="D20" t="s">
        <v>12</v>
      </c>
      <c r="E20" t="s">
        <v>10</v>
      </c>
      <c r="F20" t="s">
        <v>10</v>
      </c>
      <c r="G20" t="s">
        <v>82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46191</v>
      </c>
      <c r="B21" t="s">
        <v>67</v>
      </c>
      <c r="C21" s="6" t="s">
        <v>127</v>
      </c>
      <c r="D21" t="s">
        <v>12</v>
      </c>
      <c r="E21" t="s">
        <v>10</v>
      </c>
      <c r="F21" t="s">
        <v>10</v>
      </c>
      <c r="G21" t="s">
        <v>75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46191</v>
      </c>
      <c r="B22" t="s">
        <v>67</v>
      </c>
      <c r="C22" s="6" t="s">
        <v>128</v>
      </c>
      <c r="D22" t="s">
        <v>12</v>
      </c>
      <c r="E22" t="s">
        <v>16</v>
      </c>
      <c r="F22" t="s">
        <v>16</v>
      </c>
      <c r="G22" t="s">
        <v>129</v>
      </c>
      <c r="H22" t="s">
        <v>11</v>
      </c>
      <c r="I22" t="str">
        <f>_xlfn.XLOOKUP(Tabla1[[#This Row],[Dependencia]],Tabla2[Dependencia],Tabla2[Clasificación],"No indexado")</f>
        <v>Alcaldías</v>
      </c>
      <c r="J22" t="str">
        <f>_xlfn.XLOOKUP(Tabla1[[#This Row],[Dependencia]],Tabla3[Dependencia],Tabla3[Nivel],"otros",0)</f>
        <v>otros</v>
      </c>
    </row>
    <row r="23" spans="1:10" ht="29" x14ac:dyDescent="0.35">
      <c r="A23" s="5">
        <v>46191</v>
      </c>
      <c r="B23" t="s">
        <v>67</v>
      </c>
      <c r="C23" s="6" t="s">
        <v>130</v>
      </c>
      <c r="D23" t="s">
        <v>12</v>
      </c>
      <c r="E23" t="s">
        <v>10</v>
      </c>
      <c r="F23" t="s">
        <v>10</v>
      </c>
      <c r="G23" t="s">
        <v>131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46191</v>
      </c>
      <c r="B24" t="s">
        <v>67</v>
      </c>
      <c r="C24" s="6" t="s">
        <v>132</v>
      </c>
      <c r="D24" t="s">
        <v>12</v>
      </c>
      <c r="E24" t="s">
        <v>24</v>
      </c>
      <c r="F24" t="s">
        <v>24</v>
      </c>
      <c r="G24" t="s">
        <v>133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Gobernador</v>
      </c>
    </row>
    <row r="25" spans="1:10" x14ac:dyDescent="0.35">
      <c r="A25" s="5">
        <v>46191</v>
      </c>
      <c r="B25" t="s">
        <v>73</v>
      </c>
      <c r="C25" s="6" t="s">
        <v>134</v>
      </c>
      <c r="D25" t="s">
        <v>12</v>
      </c>
      <c r="E25" t="s">
        <v>24</v>
      </c>
      <c r="F25" t="s">
        <v>24</v>
      </c>
      <c r="G25" t="s">
        <v>135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35">
      <c r="A26" s="5">
        <v>46191</v>
      </c>
      <c r="B26" t="s">
        <v>73</v>
      </c>
      <c r="C26" s="6" t="s">
        <v>136</v>
      </c>
      <c r="D26" t="s">
        <v>13</v>
      </c>
      <c r="E26" t="s">
        <v>20</v>
      </c>
      <c r="F26" t="s">
        <v>20</v>
      </c>
      <c r="G26" t="s">
        <v>108</v>
      </c>
      <c r="H26" t="s">
        <v>70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5">
        <v>46191</v>
      </c>
      <c r="B27" t="s">
        <v>73</v>
      </c>
      <c r="C27" s="6" t="s">
        <v>137</v>
      </c>
      <c r="D27" t="s">
        <v>12</v>
      </c>
      <c r="E27" t="s">
        <v>14</v>
      </c>
      <c r="F27" t="s">
        <v>14</v>
      </c>
      <c r="G27" t="s">
        <v>82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46191</v>
      </c>
      <c r="B28" t="s">
        <v>73</v>
      </c>
      <c r="C28" s="6" t="s">
        <v>138</v>
      </c>
      <c r="D28" t="s">
        <v>9</v>
      </c>
      <c r="E28" t="s">
        <v>24</v>
      </c>
      <c r="F28" t="s">
        <v>24</v>
      </c>
      <c r="G28" t="s">
        <v>133</v>
      </c>
      <c r="H28" t="s">
        <v>69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ht="72.5" x14ac:dyDescent="0.35">
      <c r="A29" s="5">
        <v>46191</v>
      </c>
      <c r="B29" t="s">
        <v>73</v>
      </c>
      <c r="C29" s="6" t="s">
        <v>139</v>
      </c>
      <c r="D29" t="s">
        <v>12</v>
      </c>
      <c r="E29" t="s">
        <v>43</v>
      </c>
      <c r="F29" t="s">
        <v>43</v>
      </c>
      <c r="G29" t="s">
        <v>88</v>
      </c>
      <c r="H29" t="s">
        <v>11</v>
      </c>
      <c r="I29" t="str">
        <f>_xlfn.XLOOKUP(Tabla1[[#This Row],[Dependencia]],Tabla2[Dependencia],Tabla2[Clasificación],"No indexado")</f>
        <v>Partidos</v>
      </c>
      <c r="J29" t="str">
        <f>_xlfn.XLOOKUP(Tabla1[[#This Row],[Dependencia]],Tabla3[Dependencia],Tabla3[Nivel],"otros",0)</f>
        <v>otros</v>
      </c>
    </row>
    <row r="30" spans="1:10" ht="29" x14ac:dyDescent="0.35">
      <c r="A30" s="5">
        <v>46191</v>
      </c>
      <c r="B30" t="s">
        <v>72</v>
      </c>
      <c r="C30" s="6" t="s">
        <v>140</v>
      </c>
      <c r="D30" t="s">
        <v>13</v>
      </c>
      <c r="E30" t="s">
        <v>24</v>
      </c>
      <c r="F30" t="s">
        <v>24</v>
      </c>
      <c r="G30" t="s">
        <v>133</v>
      </c>
      <c r="H30" t="s">
        <v>69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29" x14ac:dyDescent="0.35">
      <c r="A31" s="5">
        <v>46191</v>
      </c>
      <c r="B31" t="s">
        <v>72</v>
      </c>
      <c r="C31" s="6" t="s">
        <v>141</v>
      </c>
      <c r="D31" t="s">
        <v>12</v>
      </c>
      <c r="E31" t="s">
        <v>16</v>
      </c>
      <c r="F31" t="s">
        <v>77</v>
      </c>
      <c r="G31" t="s">
        <v>129</v>
      </c>
      <c r="H31" t="s">
        <v>11</v>
      </c>
      <c r="I31" t="str">
        <f>_xlfn.XLOOKUP(Tabla1[[#This Row],[Dependencia]],Tabla2[Dependencia],Tabla2[Clasificación],"No indexado")</f>
        <v>Alcaldías</v>
      </c>
      <c r="J31" t="str">
        <f>_xlfn.XLOOKUP(Tabla1[[#This Row],[Dependencia]],Tabla3[Dependencia],Tabla3[Nivel],"otros",0)</f>
        <v>otros</v>
      </c>
    </row>
    <row r="32" spans="1:10" ht="29" x14ac:dyDescent="0.35">
      <c r="A32" s="5">
        <v>46191</v>
      </c>
      <c r="B32" t="s">
        <v>72</v>
      </c>
      <c r="C32" s="6" t="s">
        <v>142</v>
      </c>
      <c r="D32" t="s">
        <v>12</v>
      </c>
      <c r="E32" t="s">
        <v>24</v>
      </c>
      <c r="F32" t="s">
        <v>24</v>
      </c>
      <c r="G32" t="s">
        <v>85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29" x14ac:dyDescent="0.35">
      <c r="A33" s="5">
        <v>46191</v>
      </c>
      <c r="B33" t="s">
        <v>72</v>
      </c>
      <c r="C33" s="6" t="s">
        <v>143</v>
      </c>
      <c r="D33" t="s">
        <v>12</v>
      </c>
      <c r="E33" t="s">
        <v>80</v>
      </c>
      <c r="F33" t="s">
        <v>80</v>
      </c>
      <c r="G33" t="s">
        <v>144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5">
        <v>46191</v>
      </c>
      <c r="B34" t="s">
        <v>71</v>
      </c>
      <c r="C34" s="6" t="s">
        <v>145</v>
      </c>
      <c r="D34" t="s">
        <v>9</v>
      </c>
      <c r="E34" t="s">
        <v>24</v>
      </c>
      <c r="F34" t="s">
        <v>24</v>
      </c>
      <c r="G34" t="s">
        <v>133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Gobernador</v>
      </c>
    </row>
    <row r="35" spans="1:10" ht="29" x14ac:dyDescent="0.35">
      <c r="A35" s="5">
        <v>46191</v>
      </c>
      <c r="B35" t="s">
        <v>71</v>
      </c>
      <c r="C35" s="6" t="s">
        <v>146</v>
      </c>
      <c r="D35" t="s">
        <v>12</v>
      </c>
      <c r="E35" t="s">
        <v>14</v>
      </c>
      <c r="F35" t="s">
        <v>147</v>
      </c>
      <c r="G35" t="s">
        <v>148</v>
      </c>
      <c r="H35" t="s">
        <v>70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35">
      <c r="A36" s="5">
        <v>46191</v>
      </c>
      <c r="B36" t="s">
        <v>71</v>
      </c>
      <c r="C36" s="6" t="s">
        <v>149</v>
      </c>
      <c r="D36" t="s">
        <v>13</v>
      </c>
      <c r="E36" t="s">
        <v>33</v>
      </c>
      <c r="F36" t="s">
        <v>33</v>
      </c>
      <c r="G36" t="s">
        <v>89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46191</v>
      </c>
      <c r="B37" t="s">
        <v>71</v>
      </c>
      <c r="C37" s="6" t="s">
        <v>150</v>
      </c>
      <c r="D37" t="s">
        <v>12</v>
      </c>
      <c r="E37" t="s">
        <v>45</v>
      </c>
      <c r="F37" t="s">
        <v>45</v>
      </c>
      <c r="G37" t="s">
        <v>151</v>
      </c>
      <c r="H37" t="s">
        <v>11</v>
      </c>
      <c r="I37" t="str">
        <f>_xlfn.XLOOKUP(Tabla1[[#This Row],[Dependencia]],Tabla2[Dependencia],Tabla2[Clasificación],"No indexado")</f>
        <v>Partidos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46191</v>
      </c>
      <c r="B38" t="s">
        <v>71</v>
      </c>
      <c r="C38" s="6" t="s">
        <v>152</v>
      </c>
      <c r="D38" t="s">
        <v>12</v>
      </c>
      <c r="E38" t="s">
        <v>16</v>
      </c>
      <c r="F38" t="s">
        <v>16</v>
      </c>
      <c r="G38" t="s">
        <v>153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46191</v>
      </c>
      <c r="B39" t="s">
        <v>71</v>
      </c>
      <c r="C39" s="6" t="s">
        <v>154</v>
      </c>
      <c r="D39" t="s">
        <v>12</v>
      </c>
      <c r="E39" t="s">
        <v>53</v>
      </c>
      <c r="F39" t="s">
        <v>53</v>
      </c>
      <c r="G39" t="s">
        <v>155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46191</v>
      </c>
      <c r="B40" t="s">
        <v>76</v>
      </c>
      <c r="C40" s="6" t="s">
        <v>156</v>
      </c>
      <c r="D40" t="s">
        <v>13</v>
      </c>
      <c r="E40" t="s">
        <v>24</v>
      </c>
      <c r="F40" t="s">
        <v>24</v>
      </c>
      <c r="G40" t="s">
        <v>99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Gobernador</v>
      </c>
    </row>
    <row r="41" spans="1:10" ht="29" x14ac:dyDescent="0.35">
      <c r="A41" s="5">
        <v>46191</v>
      </c>
      <c r="B41" t="s">
        <v>76</v>
      </c>
      <c r="C41" s="6" t="s">
        <v>157</v>
      </c>
      <c r="D41" t="s">
        <v>12</v>
      </c>
      <c r="E41" t="s">
        <v>33</v>
      </c>
      <c r="F41" t="s">
        <v>33</v>
      </c>
      <c r="G41" t="s">
        <v>92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46191</v>
      </c>
      <c r="B42" t="s">
        <v>76</v>
      </c>
      <c r="C42" s="6" t="s">
        <v>133</v>
      </c>
      <c r="D42" t="s">
        <v>9</v>
      </c>
      <c r="E42" t="s">
        <v>24</v>
      </c>
      <c r="F42" t="s">
        <v>24</v>
      </c>
      <c r="G42" t="s">
        <v>133</v>
      </c>
      <c r="H42" t="s">
        <v>69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35">
      <c r="A43" s="5">
        <v>46191</v>
      </c>
      <c r="B43" t="s">
        <v>76</v>
      </c>
      <c r="C43" s="6" t="s">
        <v>158</v>
      </c>
      <c r="D43" t="s">
        <v>12</v>
      </c>
      <c r="E43" t="s">
        <v>33</v>
      </c>
      <c r="F43" t="s">
        <v>33</v>
      </c>
      <c r="G43" t="s">
        <v>90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46191</v>
      </c>
      <c r="B44" t="s">
        <v>76</v>
      </c>
      <c r="C44" s="6" t="s">
        <v>159</v>
      </c>
      <c r="D44" t="s">
        <v>12</v>
      </c>
      <c r="E44" t="s">
        <v>43</v>
      </c>
      <c r="F44" t="s">
        <v>43</v>
      </c>
      <c r="G44" t="s">
        <v>88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46191</v>
      </c>
      <c r="B45" t="s">
        <v>76</v>
      </c>
      <c r="C45" s="6" t="s">
        <v>160</v>
      </c>
      <c r="D45" t="s">
        <v>12</v>
      </c>
      <c r="E45" t="s">
        <v>16</v>
      </c>
      <c r="F45" t="s">
        <v>77</v>
      </c>
      <c r="G45" t="s">
        <v>129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29" x14ac:dyDescent="0.35">
      <c r="A46" s="5">
        <v>46191</v>
      </c>
      <c r="B46" t="s">
        <v>161</v>
      </c>
      <c r="C46" s="6" t="s">
        <v>162</v>
      </c>
      <c r="D46" t="s">
        <v>163</v>
      </c>
      <c r="E46" t="s">
        <v>40</v>
      </c>
      <c r="F46" t="s">
        <v>40</v>
      </c>
      <c r="G46" t="s">
        <v>82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43.5" x14ac:dyDescent="0.35">
      <c r="A47" s="5">
        <v>46191</v>
      </c>
      <c r="B47" t="s">
        <v>161</v>
      </c>
      <c r="C47" s="6" t="s">
        <v>164</v>
      </c>
      <c r="D47" t="s">
        <v>12</v>
      </c>
      <c r="E47" t="s">
        <v>33</v>
      </c>
      <c r="F47" t="s">
        <v>33</v>
      </c>
      <c r="G47" t="s">
        <v>92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43.5" x14ac:dyDescent="0.35">
      <c r="A48" s="5">
        <v>46191</v>
      </c>
      <c r="B48" t="s">
        <v>161</v>
      </c>
      <c r="C48" s="6" t="s">
        <v>165</v>
      </c>
      <c r="D48" t="s">
        <v>13</v>
      </c>
      <c r="E48" t="s">
        <v>24</v>
      </c>
      <c r="F48" t="s">
        <v>24</v>
      </c>
      <c r="G48" t="s">
        <v>133</v>
      </c>
      <c r="H48" t="s">
        <v>69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ht="29" x14ac:dyDescent="0.35">
      <c r="A49" s="5">
        <v>46191</v>
      </c>
      <c r="B49" t="s">
        <v>161</v>
      </c>
      <c r="C49" s="6" t="s">
        <v>166</v>
      </c>
      <c r="D49" t="s">
        <v>12</v>
      </c>
      <c r="E49" t="s">
        <v>16</v>
      </c>
      <c r="F49" t="s">
        <v>77</v>
      </c>
      <c r="G49" t="s">
        <v>129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43.5" x14ac:dyDescent="0.35">
      <c r="A50" s="5">
        <v>46191</v>
      </c>
      <c r="B50" t="s">
        <v>161</v>
      </c>
      <c r="C50" s="6" t="s">
        <v>167</v>
      </c>
      <c r="D50" t="s">
        <v>12</v>
      </c>
      <c r="E50" t="s">
        <v>16</v>
      </c>
      <c r="F50" t="s">
        <v>16</v>
      </c>
      <c r="G50" t="s">
        <v>82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46191</v>
      </c>
      <c r="B51" t="s">
        <v>161</v>
      </c>
      <c r="C51" s="6" t="s">
        <v>168</v>
      </c>
      <c r="D51" t="s">
        <v>12</v>
      </c>
      <c r="E51" t="s">
        <v>16</v>
      </c>
      <c r="F51" t="s">
        <v>169</v>
      </c>
      <c r="G51" t="s">
        <v>170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46191</v>
      </c>
      <c r="B52" t="s">
        <v>161</v>
      </c>
      <c r="C52" s="6" t="s">
        <v>171</v>
      </c>
      <c r="D52" t="s">
        <v>12</v>
      </c>
      <c r="E52" t="s">
        <v>16</v>
      </c>
      <c r="F52" t="s">
        <v>16</v>
      </c>
      <c r="G52" t="s">
        <v>82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46191</v>
      </c>
      <c r="B53" t="s">
        <v>161</v>
      </c>
      <c r="C53" s="6" t="s">
        <v>172</v>
      </c>
      <c r="D53" t="s">
        <v>12</v>
      </c>
      <c r="E53" t="s">
        <v>16</v>
      </c>
      <c r="F53" t="s">
        <v>83</v>
      </c>
      <c r="G53" t="s">
        <v>93</v>
      </c>
      <c r="H53" t="s">
        <v>69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46191</v>
      </c>
      <c r="B54" t="s">
        <v>161</v>
      </c>
      <c r="C54" s="6" t="s">
        <v>173</v>
      </c>
      <c r="D54" t="s">
        <v>81</v>
      </c>
      <c r="E54" t="s">
        <v>22</v>
      </c>
      <c r="F54" t="s">
        <v>22</v>
      </c>
      <c r="G54" t="s">
        <v>174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5">
        <v>46191</v>
      </c>
      <c r="B55" t="s">
        <v>84</v>
      </c>
      <c r="C55" s="6" t="s">
        <v>175</v>
      </c>
      <c r="D55" t="s">
        <v>13</v>
      </c>
      <c r="E55" t="s">
        <v>80</v>
      </c>
      <c r="F55" t="s">
        <v>80</v>
      </c>
      <c r="G55" t="s">
        <v>144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5">
        <v>46191</v>
      </c>
      <c r="B56" t="s">
        <v>84</v>
      </c>
      <c r="C56" s="6" t="s">
        <v>166</v>
      </c>
      <c r="D56" t="s">
        <v>12</v>
      </c>
      <c r="E56" t="s">
        <v>16</v>
      </c>
      <c r="F56" t="s">
        <v>77</v>
      </c>
      <c r="G56" t="s">
        <v>129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46191</v>
      </c>
      <c r="B57" t="s">
        <v>84</v>
      </c>
      <c r="C57" s="6" t="s">
        <v>176</v>
      </c>
      <c r="D57" t="s">
        <v>12</v>
      </c>
      <c r="E57" t="s">
        <v>10</v>
      </c>
      <c r="F57" t="s">
        <v>10</v>
      </c>
      <c r="G57" t="s">
        <v>75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46191</v>
      </c>
      <c r="B58" t="s">
        <v>84</v>
      </c>
      <c r="C58" s="6" t="s">
        <v>145</v>
      </c>
      <c r="D58" t="s">
        <v>12</v>
      </c>
      <c r="E58" t="s">
        <v>177</v>
      </c>
      <c r="F58" t="s">
        <v>178</v>
      </c>
      <c r="G58" t="s">
        <v>133</v>
      </c>
      <c r="H58" t="s">
        <v>11</v>
      </c>
      <c r="I58" t="str">
        <f>_xlfn.XLOOKUP(Tabla1[[#This Row],[Dependencia]],Tabla2[Dependencia],Tabla2[Clasificación],"No indexado")</f>
        <v>No indexado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46191</v>
      </c>
      <c r="B59" t="s">
        <v>84</v>
      </c>
      <c r="C59" s="6" t="s">
        <v>96</v>
      </c>
      <c r="D59" t="s">
        <v>81</v>
      </c>
      <c r="E59" t="s">
        <v>16</v>
      </c>
      <c r="F59" t="s">
        <v>16</v>
      </c>
      <c r="G59" t="s">
        <v>97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46191</v>
      </c>
      <c r="B60" t="s">
        <v>84</v>
      </c>
      <c r="C60" s="6" t="s">
        <v>94</v>
      </c>
      <c r="D60" t="s">
        <v>81</v>
      </c>
      <c r="E60" t="s">
        <v>22</v>
      </c>
      <c r="F60" t="s">
        <v>22</v>
      </c>
      <c r="G60" t="s">
        <v>95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5">
        <v>46191</v>
      </c>
      <c r="B61" t="s">
        <v>78</v>
      </c>
      <c r="C61" s="6" t="s">
        <v>179</v>
      </c>
      <c r="D61" t="s">
        <v>13</v>
      </c>
      <c r="E61" t="s">
        <v>14</v>
      </c>
      <c r="F61" t="s">
        <v>14</v>
      </c>
      <c r="G61" t="s">
        <v>86</v>
      </c>
      <c r="H61" t="s">
        <v>69</v>
      </c>
      <c r="I61" t="str">
        <f>_xlfn.XLOOKUP(Tabla1[[#This Row],[Dependencia]],Tabla2[Dependencia],Tabla2[Clasificación],"No indexado")</f>
        <v>Presidencia de la República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46191</v>
      </c>
      <c r="B62" t="s">
        <v>78</v>
      </c>
      <c r="C62" s="6" t="s">
        <v>180</v>
      </c>
      <c r="D62" t="s">
        <v>12</v>
      </c>
      <c r="E62" t="s">
        <v>24</v>
      </c>
      <c r="F62" t="s">
        <v>24</v>
      </c>
      <c r="G62" t="s">
        <v>133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Gobernador</v>
      </c>
    </row>
    <row r="63" spans="1:10" ht="58" x14ac:dyDescent="0.35">
      <c r="A63" s="5">
        <v>46191</v>
      </c>
      <c r="B63" t="s">
        <v>78</v>
      </c>
      <c r="C63" s="6" t="s">
        <v>181</v>
      </c>
      <c r="D63" t="s">
        <v>12</v>
      </c>
      <c r="E63" t="s">
        <v>10</v>
      </c>
      <c r="F63" t="s">
        <v>10</v>
      </c>
      <c r="G63" t="s">
        <v>75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46191</v>
      </c>
      <c r="B64" t="s">
        <v>78</v>
      </c>
      <c r="C64" s="6" t="s">
        <v>182</v>
      </c>
      <c r="D64" t="s">
        <v>12</v>
      </c>
      <c r="E64" t="s">
        <v>14</v>
      </c>
      <c r="F64" t="s">
        <v>14</v>
      </c>
      <c r="G64" t="s">
        <v>183</v>
      </c>
      <c r="H64" t="s">
        <v>11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74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74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2026-06-18T19:49:07Z</dcterms:modified>
</cp:coreProperties>
</file>