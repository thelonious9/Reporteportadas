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7FE0007B-CD8E-46D0-B96E-138282F2F4E6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2" i="1"/>
  <c r="I2" i="1"/>
</calcChain>
</file>

<file path=xl/sharedStrings.xml><?xml version="1.0" encoding="utf-8"?>
<sst xmlns="http://schemas.openxmlformats.org/spreadsheetml/2006/main" count="664" uniqueCount="212">
  <si>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</si>
  <si>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</si>
  <si>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</si>
  <si>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</si>
  <si>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</si>
  <si>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</si>
  <si>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</si>
  <si>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</si>
  <si>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</si>
  <si>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</si>
  <si>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</si>
  <si>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</si>
  <si>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</si>
  <si>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</si>
  <si>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</si>
  <si>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</si>
  <si>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</si>
  <si>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</si>
  <si>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</si>
  <si>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</si>
  <si>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</si>
  <si>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</si>
  <si>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</si>
  <si>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</si>
  <si>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</si>
  <si>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</si>
  <si>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</si>
  <si>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</si>
  <si>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</si>
  <si>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</si>
  <si>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</si>
  <si>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</si>
  <si>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</si>
  <si>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</si>
  <si>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</si>
  <si>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</si>
  <si>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</si>
  <si>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</si>
  <si>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</si>
  <si>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</si>
  <si>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</si>
  <si>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</si>
  <si>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</si>
  <si>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</si>
  <si>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</si>
  <si>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</si>
  <si>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</si>
  <si>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</si>
  <si>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</si>
  <si>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</si>
  <si>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</si>
  <si>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</si>
  <si>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</si>
  <si>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</si>
  <si>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</si>
  <si>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</si>
  <si>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</si>
  <si>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</si>
  <si>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</si>
  <si>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</si>
  <si>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</si>
  <si>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</si>
  <si>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</si>
  <si>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</si>
  <si>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</si>
  <si>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</si>
  <si>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</si>
  <si>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</si>
  <si>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</si>
  <si>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</si>
  <si>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</si>
  <si>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</si>
  <si>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</si>
  <si>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</si>
  <si>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</si>
  <si>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</si>
  <si>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</si>
  <si>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</si>
  <si>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</si>
  <si>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Negativa</t>
  </si>
  <si>
    <t>Temas varios</t>
  </si>
  <si>
    <t>Alcalde</t>
  </si>
  <si>
    <t>Cintillo</t>
  </si>
  <si>
    <t>Editorial</t>
  </si>
  <si>
    <t>Zunoticia</t>
  </si>
  <si>
    <t>Combate Al Narcomenudeo</t>
  </si>
  <si>
    <t>Huachicol</t>
  </si>
  <si>
    <t>Pachuca Brilla</t>
  </si>
  <si>
    <t>Firma De Convenio</t>
  </si>
  <si>
    <t>Publicidad</t>
  </si>
  <si>
    <t>Combate a trata de personas</t>
  </si>
  <si>
    <t>Justa Deportiva</t>
  </si>
  <si>
    <t>Publicidad comercial</t>
  </si>
  <si>
    <t>Relleno Sanitario</t>
  </si>
  <si>
    <t>Radio Plaza Juárez</t>
  </si>
  <si>
    <t>Bélgica elimina a EU</t>
  </si>
  <si>
    <t>Rechazan nuevo relleno sanitario en región Tula</t>
  </si>
  <si>
    <t>Persiste la discriminación por embarazo</t>
  </si>
  <si>
    <t>Violencia De Género</t>
  </si>
  <si>
    <t>Desata indignación la anulación de sanción</t>
  </si>
  <si>
    <t>Suman 942 casos de gusano barrenador</t>
  </si>
  <si>
    <t>Gusano barrenador</t>
  </si>
  <si>
    <t>Lluvias causan tres socavones en carretera</t>
  </si>
  <si>
    <t>Afectaciones Por Lluvias</t>
  </si>
  <si>
    <t>Están en riesgo por inundaciones 19 mil personas en Pachuca</t>
  </si>
  <si>
    <t>Atlas de Riesgos</t>
  </si>
  <si>
    <t>Hidalgo busca sede de las Olimpiadas</t>
  </si>
  <si>
    <t>CDHAR</t>
  </si>
  <si>
    <t>A tribunal administrativo 30 funcionarios</t>
  </si>
  <si>
    <t>Declaración patrimonial</t>
  </si>
  <si>
    <t>España avanza y CR7 dice adiós a los Mundiales</t>
  </si>
  <si>
    <t>Desbandada en el PRI; lo abandona la mitad de  militantes</t>
  </si>
  <si>
    <t>PRI</t>
  </si>
  <si>
    <t>Renuncias PRI</t>
  </si>
  <si>
    <t>Controlan derrame en toma clandestina en la carretera Pachuca-Sahagún</t>
  </si>
  <si>
    <t>PC</t>
  </si>
  <si>
    <t>Fuga de hidrocarburo</t>
  </si>
  <si>
    <t>Se despide Cristiano</t>
  </si>
  <si>
    <t>Ponen a prueba su candidatura al título</t>
  </si>
  <si>
    <t>Comenzará el juicio por el crimen en la capilla de La Loma</t>
  </si>
  <si>
    <t>Homicidio de Policía</t>
  </si>
  <si>
    <t>La extorsión cuesta 3.5% del PIB, dice Concanaco</t>
  </si>
  <si>
    <t>Extorsión</t>
  </si>
  <si>
    <t>Se suma la entidad al pacto por la prosperidad</t>
  </si>
  <si>
    <t>Estrategia de seguridad</t>
  </si>
  <si>
    <t>Lucen deterioro en parques infantiles</t>
  </si>
  <si>
    <t>Parques infantiles</t>
  </si>
  <si>
    <t>Van 700 sanciones por anomalías en las declaraciones</t>
  </si>
  <si>
    <t>Pide MP casi 300 años de prisión para acusados de matar policías</t>
  </si>
  <si>
    <t>En Tolcayuca cae uno con 50kg de metanfetamina</t>
  </si>
  <si>
    <t>Investigan tentativa de homicidio tras ataque</t>
  </si>
  <si>
    <t>Ataque Armado</t>
  </si>
  <si>
    <t>Se va el gran CR7 después de seis copas</t>
  </si>
  <si>
    <t>Distribuirán 3-7 millones de libros de texto gratuitos</t>
  </si>
  <si>
    <t>Libros de texto</t>
  </si>
  <si>
    <t>En 19 días se disparan bajas del padrón de proveedores del gobierno del estado 79%</t>
  </si>
  <si>
    <t>Padrón de proveedores</t>
  </si>
  <si>
    <t>Madonna el ícono de uestro miedo a la vejez</t>
  </si>
  <si>
    <t>En alianza con petroleras Pemex plantea explorar a fondo Cantarell</t>
  </si>
  <si>
    <t>Pemex</t>
  </si>
  <si>
    <t>Hay alta demanda de justicia agraria</t>
  </si>
  <si>
    <t>Justicia agraria</t>
  </si>
  <si>
    <t>Administración actual acumula 95 denuncias por corrupción: contralor</t>
  </si>
  <si>
    <t>Combate a la corrupción</t>
  </si>
  <si>
    <t>EU reitera  búsqueda  de Los Chapitos;  ofrece 10 mdd</t>
  </si>
  <si>
    <t>Temas internacionales</t>
  </si>
  <si>
    <t>Vuelca pipa de agua sobre la carretera Pachuca-Actopan</t>
  </si>
  <si>
    <t>Accidente De Pipa</t>
  </si>
  <si>
    <t>La mercadotecnia quiso vender la ilusión del triunfo con la frase ‘¿Y si sí?’, que retrata la poca confianza  que se le tiene a la Selección y que busca en un milagrito la solución ante un rival superior, en lugar de  buscarla en el trabajo diario y en construir una cultura deportiva distinta”.</t>
  </si>
  <si>
    <t>Vendí mi patrimonio para buscar a mi hijo"": El testimonio de un padre buscador</t>
  </si>
  <si>
    <t>CBPEH</t>
  </si>
  <si>
    <t>Búsqueda de personas</t>
  </si>
  <si>
    <t>Pachuca fortalece alianza con Concanaco para impulsar el desarrollo económico</t>
  </si>
  <si>
    <t>Impulso Al Turismo</t>
  </si>
  <si>
    <t>Perfila Sheinbaum a Pachuca como sede de la Olimpiada Nacional Juvenil 2027</t>
  </si>
  <si>
    <t>Prevalece huachicoleo en Hidalgo; informe organizacional lo ubica en primer lugar nacional</t>
  </si>
  <si>
    <t>Acerca IHE Ferias para la  Convivencia Escolar a dos  municipios Tepetitlán y  Zapotlán de Juárez</t>
  </si>
  <si>
    <t>IHE</t>
  </si>
  <si>
    <t>Convivencia Escolar</t>
  </si>
  <si>
    <t>Arranca distribución de más de 3.7 millones de libros de texto gratuitos</t>
  </si>
  <si>
    <t>Ganaderos llaman a reforzar vigilancia por el riesgo de gusano barrenador</t>
  </si>
  <si>
    <t>Fuerte conflicto entre dos barrios de Chichilico</t>
  </si>
  <si>
    <t>Conflicto Territorial</t>
  </si>
  <si>
    <t>Bomberos recomiendan prevenir accidente en el periodo vacacional</t>
  </si>
  <si>
    <t>Prevención de accidentes</t>
  </si>
  <si>
    <t>Transforman programas sociales la vida de más de 51 mil familias</t>
  </si>
  <si>
    <t>Programas Del Bienestar</t>
  </si>
  <si>
    <t>Aficionados reconocen actuación de la Selección Mexicana en el Mundial</t>
  </si>
  <si>
    <t>Hidalgo suma 727 sanciones vs funcionarios; solo uno fue destituido</t>
  </si>
  <si>
    <t>¡Pipazo!</t>
  </si>
  <si>
    <t>Pachuca y pueblos mágicos se suman al pacto nacional</t>
  </si>
  <si>
    <t>Hidalgo, entre los cinco estados con más casos de gusano barrenador</t>
  </si>
  <si>
    <t>Los peores municipios de Hidalgo</t>
  </si>
  <si>
    <t>Constructoras enfrentan 95 sanciones por irregularidades en Hidalgo</t>
  </si>
  <si>
    <t>Garantía de obra</t>
  </si>
  <si>
    <t>Alerta IMSS sobre síntomas de enfermedad por rasguño de gato</t>
  </si>
  <si>
    <t>IMSS</t>
  </si>
  <si>
    <t>Prevención De Enfermedades</t>
  </si>
  <si>
    <t>Concanaco Servytur suma a Pachuca al Pacto por la Prosperidad, la Justicia Económica y la Seguridad para fortalecer negocios</t>
  </si>
  <si>
    <t>La poderosa máquina de Cruz Azul regresa a Ciudad Cooperativa</t>
  </si>
  <si>
    <t>Cruz Azul</t>
  </si>
  <si>
    <t>Festejos mundialistas concluyen sin incidentes mayores: Gabinete de Seguridad</t>
  </si>
  <si>
    <t>Reunión Gabinete De Seguridad</t>
  </si>
  <si>
    <t>Contraloría inicia más de 700 procedimientos por omisión en declaraciones patrimoniales; tres municipios quedan rezagados</t>
  </si>
  <si>
    <t>Lluvias continuarán en Hidalgo</t>
  </si>
  <si>
    <t>Alerta Meteorológica</t>
  </si>
  <si>
    <t>Promueven bienestar y autocuidado de las mujeres con sesión de yoga en Atotonilco de Tula</t>
  </si>
  <si>
    <t>Promoción De La Salud</t>
  </si>
  <si>
    <t>Hidalgo llevó su cultura y tradiciones a la fiesta mundialista en la Ciudad de México</t>
  </si>
  <si>
    <t>Invita cultura Pachuca a la proyección de Traer al Río y la presentación de Expediente Río de las Avenidas</t>
  </si>
  <si>
    <t>Evento Cultural</t>
  </si>
  <si>
    <t>Más de 5,900 mujeres transforman su futuro</t>
  </si>
  <si>
    <t>Graduación</t>
  </si>
  <si>
    <t>Mega sorteo San Judas</t>
  </si>
  <si>
    <t>Natividad Castrejón arranca distribución de libros de texto gratuitos</t>
  </si>
  <si>
    <t>Concanaco Servytur suma a Pachuca al pacto por la prosperidad</t>
  </si>
  <si>
    <t>Programas sociales transforman la vida de más de 51 mil familias en Hidalgo</t>
  </si>
  <si>
    <t>titular</t>
  </si>
  <si>
    <t>Más de 110 mil servidores públicos presentaron declaración patrimonial</t>
  </si>
  <si>
    <t>María José, segunda artista confirmada del palenque Pachuca 2026</t>
  </si>
  <si>
    <t>OEEH</t>
  </si>
  <si>
    <t>Feria Pachuca</t>
  </si>
  <si>
    <t>Videomapping</t>
  </si>
  <si>
    <t>Video Mapping</t>
  </si>
  <si>
    <t>Una sola voz contra la trata</t>
  </si>
  <si>
    <t>Bajo control 84% de los casos de gusano barrenador</t>
  </si>
  <si>
    <t>Confirman la muerte de 10 criminales y un marino</t>
  </si>
  <si>
    <t>Balacera en Zacualtipán; joven de 19 años herido grave</t>
  </si>
  <si>
    <t>Policía municipal</t>
  </si>
  <si>
    <t>Enfrentamiento con policías</t>
  </si>
  <si>
    <t>Solo aparecieron membranas del cuerpo de la periodista Roxana Guzmán, a quien hombres armados sacaron por la fuerza de su domicilio en Veracruz; todo quedó grabado. Se vive diariamente un infierno de violencia en el país</t>
  </si>
  <si>
    <t>Ola De Violencia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</si>
</sst>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3" totalsRowShown="0" headerRowDxfId="5" headerRowBorderDxfId="4">
  <autoFilter ref="A1:J7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3"/>
  <sheetViews>
    <sheetView tabSelected="1" workbookViewId="0">
      <selection activeCell="J2" sqref="J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46210</v>
      </c>
      <c r="B2" t="s">
        <v>68</v>
      </c>
      <c r="C2" s="5" t="s">
        <v>95</v>
      </c>
      <c r="D2" t="s">
        <v>12</v>
      </c>
      <c r="E2" t="s">
        <v>10</v>
      </c>
      <c r="F2" t="s">
        <v>10</v>
      </c>
      <c r="G2" t="s">
        <v>73</v>
      </c>
      <c r="H2" t="s">
        <v>69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46210</v>
      </c>
      <c r="B3" t="s">
        <v>68</v>
      </c>
      <c r="C3" s="5" t="s">
        <v>96</v>
      </c>
      <c r="D3" t="s">
        <v>12</v>
      </c>
      <c r="E3" t="s">
        <v>20</v>
      </c>
      <c r="F3" t="s">
        <v>20</v>
      </c>
      <c r="G3" t="s">
        <v>93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46210</v>
      </c>
      <c r="B4" t="s">
        <v>68</v>
      </c>
      <c r="C4" s="5" t="s">
        <v>97</v>
      </c>
      <c r="D4" t="s">
        <v>12</v>
      </c>
      <c r="E4" t="s">
        <v>56</v>
      </c>
      <c r="F4" t="s">
        <v>56</v>
      </c>
      <c r="G4" t="s">
        <v>98</v>
      </c>
      <c r="H4" t="s">
        <v>79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46210</v>
      </c>
      <c r="B5" t="s">
        <v>68</v>
      </c>
      <c r="C5" s="5" t="s">
        <v>99</v>
      </c>
      <c r="D5" t="s">
        <v>12</v>
      </c>
      <c r="E5" t="s">
        <v>10</v>
      </c>
      <c r="F5" t="s">
        <v>10</v>
      </c>
      <c r="G5" t="s">
        <v>73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46210</v>
      </c>
      <c r="B6" t="s">
        <v>68</v>
      </c>
      <c r="C6" s="5" t="s">
        <v>100</v>
      </c>
      <c r="D6" t="s">
        <v>13</v>
      </c>
      <c r="E6" t="s">
        <v>53</v>
      </c>
      <c r="F6" t="s">
        <v>53</v>
      </c>
      <c r="G6" t="s">
        <v>101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46210</v>
      </c>
      <c r="B7" t="s">
        <v>68</v>
      </c>
      <c r="C7" s="5" t="s">
        <v>102</v>
      </c>
      <c r="D7" t="s">
        <v>9</v>
      </c>
      <c r="E7" t="s">
        <v>10</v>
      </c>
      <c r="F7" t="s">
        <v>10</v>
      </c>
      <c r="G7" t="s">
        <v>103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46210</v>
      </c>
      <c r="B8" t="s">
        <v>76</v>
      </c>
      <c r="C8" s="5" t="s">
        <v>104</v>
      </c>
      <c r="D8" t="s">
        <v>13</v>
      </c>
      <c r="E8" t="s">
        <v>16</v>
      </c>
      <c r="F8" t="s">
        <v>16</v>
      </c>
      <c r="G8" t="s">
        <v>105</v>
      </c>
      <c r="H8" t="s">
        <v>11</v>
      </c>
      <c r="I8" t="str">
        <f>_xlfn.XLOOKUP(Tabla1[[#This Row],[Dependencia]],Tabla2[Dependencia],Tabla2[Clasificación],"XXX",0)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46210</v>
      </c>
      <c r="B9" t="s">
        <v>76</v>
      </c>
      <c r="C9" s="5" t="s">
        <v>106</v>
      </c>
      <c r="D9" t="s">
        <v>12</v>
      </c>
      <c r="E9" t="s">
        <v>14</v>
      </c>
      <c r="F9" t="s">
        <v>14</v>
      </c>
      <c r="G9" t="s">
        <v>107</v>
      </c>
      <c r="H9" t="s">
        <v>11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46210</v>
      </c>
      <c r="B10" t="s">
        <v>76</v>
      </c>
      <c r="C10" s="5" t="s">
        <v>108</v>
      </c>
      <c r="D10" t="s">
        <v>12</v>
      </c>
      <c r="E10" t="s">
        <v>34</v>
      </c>
      <c r="F10" t="s">
        <v>2</v>
      </c>
      <c r="G10" t="s">
        <v>109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46210</v>
      </c>
      <c r="B11" t="s">
        <v>76</v>
      </c>
      <c r="C11" s="5" t="s">
        <v>110</v>
      </c>
      <c r="D11" t="s">
        <v>12</v>
      </c>
      <c r="E11" t="s">
        <v>10</v>
      </c>
      <c r="F11" t="s">
        <v>10</v>
      </c>
      <c r="G11" t="s">
        <v>73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ht="30" x14ac:dyDescent="0.25">
      <c r="A12" s="11">
        <v>46210</v>
      </c>
      <c r="B12" t="s">
        <v>76</v>
      </c>
      <c r="C12" s="5" t="s">
        <v>111</v>
      </c>
      <c r="D12" t="s">
        <v>12</v>
      </c>
      <c r="E12" t="s">
        <v>112</v>
      </c>
      <c r="F12" t="s">
        <v>112</v>
      </c>
      <c r="G12" t="s">
        <v>113</v>
      </c>
      <c r="H12" t="s">
        <v>79</v>
      </c>
      <c r="I12" t="str">
        <f>_xlfn.XLOOKUP(Tabla1[[#This Row],[Dependencia]],Tabla2[Dependencia],Tabla2[Clasificación],"XXX",0)</f>
        <v>Partidos</v>
      </c>
      <c r="J12" t="str">
        <f>_xlfn.XLOOKUP(Tabla1[[#This Row],[Dependencia]],Tabla3[Dependencia],Tabla3[Nivel],"Otros",0)</f>
        <v>Otros</v>
      </c>
    </row>
    <row r="13" spans="1:10" ht="30" x14ac:dyDescent="0.25">
      <c r="A13" s="11">
        <v>46210</v>
      </c>
      <c r="B13" t="s">
        <v>76</v>
      </c>
      <c r="C13" s="5" t="s">
        <v>114</v>
      </c>
      <c r="D13" t="s">
        <v>12</v>
      </c>
      <c r="E13" t="s">
        <v>23</v>
      </c>
      <c r="F13" t="s">
        <v>115</v>
      </c>
      <c r="G13" t="s">
        <v>116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46210</v>
      </c>
      <c r="B14" t="s">
        <v>75</v>
      </c>
      <c r="C14" s="5" t="s">
        <v>117</v>
      </c>
      <c r="D14" t="s">
        <v>12</v>
      </c>
      <c r="E14" t="s">
        <v>10</v>
      </c>
      <c r="F14" t="s">
        <v>10</v>
      </c>
      <c r="G14" t="s">
        <v>73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46210</v>
      </c>
      <c r="B15" t="s">
        <v>75</v>
      </c>
      <c r="C15" s="5" t="s">
        <v>118</v>
      </c>
      <c r="D15" t="s">
        <v>12</v>
      </c>
      <c r="E15" t="s">
        <v>10</v>
      </c>
      <c r="F15" t="s">
        <v>10</v>
      </c>
      <c r="G15" t="s">
        <v>73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46210</v>
      </c>
      <c r="B16" t="s">
        <v>75</v>
      </c>
      <c r="C16" s="5" t="s">
        <v>119</v>
      </c>
      <c r="D16" t="s">
        <v>13</v>
      </c>
      <c r="E16" t="s">
        <v>17</v>
      </c>
      <c r="F16" t="s">
        <v>17</v>
      </c>
      <c r="G16" t="s">
        <v>120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46210</v>
      </c>
      <c r="B17" t="s">
        <v>75</v>
      </c>
      <c r="C17" s="5" t="s">
        <v>121</v>
      </c>
      <c r="D17" t="s">
        <v>12</v>
      </c>
      <c r="E17" t="s">
        <v>17</v>
      </c>
      <c r="F17" t="s">
        <v>17</v>
      </c>
      <c r="G17" t="s">
        <v>122</v>
      </c>
      <c r="H17" t="s">
        <v>79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46210</v>
      </c>
      <c r="B18" t="s">
        <v>75</v>
      </c>
      <c r="C18" s="5" t="s">
        <v>123</v>
      </c>
      <c r="D18" t="s">
        <v>12</v>
      </c>
      <c r="E18" t="s">
        <v>16</v>
      </c>
      <c r="F18" t="s">
        <v>16</v>
      </c>
      <c r="G18" t="s">
        <v>124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46210</v>
      </c>
      <c r="B19" t="s">
        <v>75</v>
      </c>
      <c r="C19" s="5" t="s">
        <v>125</v>
      </c>
      <c r="D19" t="s">
        <v>9</v>
      </c>
      <c r="E19" t="s">
        <v>16</v>
      </c>
      <c r="F19" t="s">
        <v>16</v>
      </c>
      <c r="G19" t="s">
        <v>126</v>
      </c>
      <c r="H19" t="s">
        <v>79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46210</v>
      </c>
      <c r="B20" t="s">
        <v>75</v>
      </c>
      <c r="C20" s="5" t="s">
        <v>127</v>
      </c>
      <c r="D20" t="s">
        <v>12</v>
      </c>
      <c r="E20" t="s">
        <v>34</v>
      </c>
      <c r="F20" t="s">
        <v>2</v>
      </c>
      <c r="G20" t="s">
        <v>109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11">
        <v>46210</v>
      </c>
      <c r="B21" t="s">
        <v>67</v>
      </c>
      <c r="C21" s="5" t="s">
        <v>128</v>
      </c>
      <c r="D21" t="s">
        <v>13</v>
      </c>
      <c r="E21" t="s">
        <v>17</v>
      </c>
      <c r="F21" t="s">
        <v>17</v>
      </c>
      <c r="G21" t="s">
        <v>120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46210</v>
      </c>
      <c r="B22" t="s">
        <v>67</v>
      </c>
      <c r="C22" s="5" t="s">
        <v>129</v>
      </c>
      <c r="D22" t="s">
        <v>12</v>
      </c>
      <c r="E22" t="s">
        <v>22</v>
      </c>
      <c r="F22" t="s">
        <v>22</v>
      </c>
      <c r="G22" t="s">
        <v>85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46210</v>
      </c>
      <c r="B23" t="s">
        <v>67</v>
      </c>
      <c r="C23" s="5" t="s">
        <v>130</v>
      </c>
      <c r="D23" t="s">
        <v>12</v>
      </c>
      <c r="E23" t="s">
        <v>17</v>
      </c>
      <c r="F23" t="s">
        <v>17</v>
      </c>
      <c r="G23" t="s">
        <v>131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46210</v>
      </c>
      <c r="B24" t="s">
        <v>67</v>
      </c>
      <c r="C24" s="5" t="s">
        <v>132</v>
      </c>
      <c r="D24" t="s">
        <v>12</v>
      </c>
      <c r="E24" t="s">
        <v>10</v>
      </c>
      <c r="F24" t="s">
        <v>10</v>
      </c>
      <c r="G24" t="s">
        <v>73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46210</v>
      </c>
      <c r="B25" t="s">
        <v>67</v>
      </c>
      <c r="C25" s="5" t="s">
        <v>133</v>
      </c>
      <c r="D25" t="s">
        <v>9</v>
      </c>
      <c r="E25" t="s">
        <v>26</v>
      </c>
      <c r="F25" t="s">
        <v>26</v>
      </c>
      <c r="G25" t="s">
        <v>134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46210</v>
      </c>
      <c r="B26" t="s">
        <v>67</v>
      </c>
      <c r="C26" s="5" t="s">
        <v>135</v>
      </c>
      <c r="D26" t="s">
        <v>12</v>
      </c>
      <c r="E26" t="s">
        <v>34</v>
      </c>
      <c r="F26" t="s">
        <v>34</v>
      </c>
      <c r="G26" t="s">
        <v>136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46210</v>
      </c>
      <c r="B27" t="s">
        <v>67</v>
      </c>
      <c r="C27" s="5" t="s">
        <v>137</v>
      </c>
      <c r="D27" t="s">
        <v>12</v>
      </c>
      <c r="E27" t="s">
        <v>10</v>
      </c>
      <c r="F27" t="s">
        <v>10</v>
      </c>
      <c r="G27" t="s">
        <v>80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46210</v>
      </c>
      <c r="B28" t="s">
        <v>67</v>
      </c>
      <c r="C28" s="5" t="s">
        <v>138</v>
      </c>
      <c r="D28" t="s">
        <v>12</v>
      </c>
      <c r="E28" t="s">
        <v>14</v>
      </c>
      <c r="F28" t="s">
        <v>139</v>
      </c>
      <c r="G28" t="s">
        <v>88</v>
      </c>
      <c r="H28" t="s">
        <v>69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46210</v>
      </c>
      <c r="B29" t="s">
        <v>71</v>
      </c>
      <c r="C29" s="5" t="s">
        <v>140</v>
      </c>
      <c r="D29" t="s">
        <v>12</v>
      </c>
      <c r="E29" t="s">
        <v>10</v>
      </c>
      <c r="F29" t="s">
        <v>10</v>
      </c>
      <c r="G29" t="s">
        <v>141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46210</v>
      </c>
      <c r="B30" t="s">
        <v>71</v>
      </c>
      <c r="C30" s="5" t="s">
        <v>142</v>
      </c>
      <c r="D30" t="s">
        <v>13</v>
      </c>
      <c r="E30" t="s">
        <v>34</v>
      </c>
      <c r="F30" t="s">
        <v>34</v>
      </c>
      <c r="G30" t="s">
        <v>143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11">
        <v>46210</v>
      </c>
      <c r="B31" t="s">
        <v>71</v>
      </c>
      <c r="C31" s="5" t="s">
        <v>144</v>
      </c>
      <c r="D31" t="s">
        <v>12</v>
      </c>
      <c r="E31" t="s">
        <v>10</v>
      </c>
      <c r="F31" t="s">
        <v>10</v>
      </c>
      <c r="G31" t="s">
        <v>145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46210</v>
      </c>
      <c r="B32" t="s">
        <v>71</v>
      </c>
      <c r="C32" s="5" t="s">
        <v>146</v>
      </c>
      <c r="D32" t="s">
        <v>9</v>
      </c>
      <c r="E32" t="s">
        <v>23</v>
      </c>
      <c r="F32" t="s">
        <v>115</v>
      </c>
      <c r="G32" t="s">
        <v>147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90" x14ac:dyDescent="0.25">
      <c r="A33" s="11">
        <v>46210</v>
      </c>
      <c r="B33" t="s">
        <v>71</v>
      </c>
      <c r="C33" s="5" t="s">
        <v>148</v>
      </c>
      <c r="D33" t="s">
        <v>12</v>
      </c>
      <c r="E33" t="s">
        <v>10</v>
      </c>
      <c r="F33" t="s">
        <v>10</v>
      </c>
      <c r="G33" t="s">
        <v>73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46210</v>
      </c>
      <c r="B34" t="s">
        <v>70</v>
      </c>
      <c r="C34" s="5" t="s">
        <v>149</v>
      </c>
      <c r="D34" t="s">
        <v>13</v>
      </c>
      <c r="E34" t="s">
        <v>23</v>
      </c>
      <c r="F34" t="s">
        <v>150</v>
      </c>
      <c r="G34" t="s">
        <v>151</v>
      </c>
      <c r="H34" t="s">
        <v>79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46210</v>
      </c>
      <c r="B35" t="s">
        <v>70</v>
      </c>
      <c r="C35" s="5" t="s">
        <v>152</v>
      </c>
      <c r="D35" t="s">
        <v>12</v>
      </c>
      <c r="E35" t="s">
        <v>29</v>
      </c>
      <c r="F35" t="s">
        <v>2</v>
      </c>
      <c r="G35" t="s">
        <v>153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46210</v>
      </c>
      <c r="B36" t="s">
        <v>70</v>
      </c>
      <c r="C36" s="5" t="s">
        <v>154</v>
      </c>
      <c r="D36" t="s">
        <v>12</v>
      </c>
      <c r="E36" t="s">
        <v>14</v>
      </c>
      <c r="F36" t="s">
        <v>14</v>
      </c>
      <c r="G36" t="s">
        <v>91</v>
      </c>
      <c r="H36" t="s">
        <v>11</v>
      </c>
      <c r="I36" t="str">
        <f>_xlfn.XLOOKUP(Tabla1[[#This Row],[Dependencia]],Tabla2[Dependencia],Tabla2[Clasificación],"XXX",0)</f>
        <v>Presidencia de la República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46210</v>
      </c>
      <c r="B37" t="s">
        <v>70</v>
      </c>
      <c r="C37" s="5" t="s">
        <v>155</v>
      </c>
      <c r="D37" t="s">
        <v>12</v>
      </c>
      <c r="E37" t="s">
        <v>17</v>
      </c>
      <c r="F37" t="s">
        <v>17</v>
      </c>
      <c r="G37" t="s">
        <v>86</v>
      </c>
      <c r="H37" t="s">
        <v>79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46210</v>
      </c>
      <c r="B38" t="s">
        <v>70</v>
      </c>
      <c r="C38" s="5" t="s">
        <v>156</v>
      </c>
      <c r="D38" t="s">
        <v>12</v>
      </c>
      <c r="E38" t="s">
        <v>26</v>
      </c>
      <c r="F38" t="s">
        <v>157</v>
      </c>
      <c r="G38" t="s">
        <v>158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46210</v>
      </c>
      <c r="B39" t="s">
        <v>84</v>
      </c>
      <c r="C39" s="5" t="s">
        <v>159</v>
      </c>
      <c r="D39" t="s">
        <v>12</v>
      </c>
      <c r="E39" t="s">
        <v>26</v>
      </c>
      <c r="F39" t="s">
        <v>26</v>
      </c>
      <c r="G39" t="s">
        <v>134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46210</v>
      </c>
      <c r="B40" t="s">
        <v>84</v>
      </c>
      <c r="C40" s="5" t="s">
        <v>160</v>
      </c>
      <c r="D40" t="s">
        <v>12</v>
      </c>
      <c r="E40" t="s">
        <v>10</v>
      </c>
      <c r="F40" t="s">
        <v>10</v>
      </c>
      <c r="G40" t="s">
        <v>101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46210</v>
      </c>
      <c r="B41" t="s">
        <v>84</v>
      </c>
      <c r="C41" s="5" t="s">
        <v>161</v>
      </c>
      <c r="D41" t="s">
        <v>13</v>
      </c>
      <c r="E41" t="s">
        <v>10</v>
      </c>
      <c r="F41" t="s">
        <v>10</v>
      </c>
      <c r="G41" t="s">
        <v>162</v>
      </c>
      <c r="H41" t="s">
        <v>79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46210</v>
      </c>
      <c r="B42" t="s">
        <v>84</v>
      </c>
      <c r="C42" s="5" t="s">
        <v>163</v>
      </c>
      <c r="D42" t="s">
        <v>12</v>
      </c>
      <c r="E42" t="s">
        <v>16</v>
      </c>
      <c r="F42" t="s">
        <v>16</v>
      </c>
      <c r="G42" t="s">
        <v>164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46210</v>
      </c>
      <c r="B43" t="s">
        <v>84</v>
      </c>
      <c r="C43" s="5" t="s">
        <v>165</v>
      </c>
      <c r="D43" t="s">
        <v>12</v>
      </c>
      <c r="E43" t="s">
        <v>19</v>
      </c>
      <c r="F43" t="s">
        <v>19</v>
      </c>
      <c r="G43" t="s">
        <v>166</v>
      </c>
      <c r="H43" t="s">
        <v>69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46210</v>
      </c>
      <c r="B44" t="s">
        <v>84</v>
      </c>
      <c r="C44" s="5" t="s">
        <v>167</v>
      </c>
      <c r="D44" t="s">
        <v>12</v>
      </c>
      <c r="E44" t="s">
        <v>10</v>
      </c>
      <c r="F44" t="s">
        <v>10</v>
      </c>
      <c r="G44" t="s">
        <v>73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46210</v>
      </c>
      <c r="B45" t="s">
        <v>74</v>
      </c>
      <c r="C45" s="5" t="s">
        <v>168</v>
      </c>
      <c r="D45" t="s">
        <v>13</v>
      </c>
      <c r="E45" t="s">
        <v>34</v>
      </c>
      <c r="F45" t="s">
        <v>34</v>
      </c>
      <c r="G45" t="s">
        <v>143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46210</v>
      </c>
      <c r="B46" t="s">
        <v>74</v>
      </c>
      <c r="C46" s="5" t="s">
        <v>169</v>
      </c>
      <c r="D46" t="s">
        <v>9</v>
      </c>
      <c r="E46" t="s">
        <v>23</v>
      </c>
      <c r="F46" t="s">
        <v>115</v>
      </c>
      <c r="G46" t="s">
        <v>147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46210</v>
      </c>
      <c r="B47" t="s">
        <v>74</v>
      </c>
      <c r="C47" s="5" t="s">
        <v>170</v>
      </c>
      <c r="D47" t="s">
        <v>12</v>
      </c>
      <c r="E47" t="s">
        <v>16</v>
      </c>
      <c r="F47" t="s">
        <v>16</v>
      </c>
      <c r="G47" t="s">
        <v>153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46210</v>
      </c>
      <c r="B48" t="s">
        <v>74</v>
      </c>
      <c r="C48" s="5" t="s">
        <v>171</v>
      </c>
      <c r="D48" t="s">
        <v>12</v>
      </c>
      <c r="E48" t="s">
        <v>53</v>
      </c>
      <c r="F48" t="s">
        <v>53</v>
      </c>
      <c r="G48" t="s">
        <v>101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46210</v>
      </c>
      <c r="B49" t="s">
        <v>74</v>
      </c>
      <c r="C49" s="5" t="s">
        <v>172</v>
      </c>
      <c r="D49" t="s">
        <v>12</v>
      </c>
      <c r="E49" t="s">
        <v>34</v>
      </c>
      <c r="F49" t="s">
        <v>34</v>
      </c>
      <c r="G49" t="s">
        <v>109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46210</v>
      </c>
      <c r="B50" t="s">
        <v>74</v>
      </c>
      <c r="C50" s="5" t="s">
        <v>173</v>
      </c>
      <c r="D50" t="s">
        <v>12</v>
      </c>
      <c r="E50" t="s">
        <v>34</v>
      </c>
      <c r="F50" t="s">
        <v>34</v>
      </c>
      <c r="G50" t="s">
        <v>174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11">
        <v>46210</v>
      </c>
      <c r="B51" t="s">
        <v>77</v>
      </c>
      <c r="C51" s="5" t="s">
        <v>175</v>
      </c>
      <c r="D51" t="s">
        <v>82</v>
      </c>
      <c r="E51" t="s">
        <v>14</v>
      </c>
      <c r="F51" t="s">
        <v>176</v>
      </c>
      <c r="G51" t="s">
        <v>177</v>
      </c>
      <c r="H51" t="s">
        <v>11</v>
      </c>
      <c r="I51" t="str">
        <f>_xlfn.XLOOKUP(Tabla1[[#This Row],[Dependencia]],Tabla2[Dependencia],Tabla2[Clasificación],"XXX",0)</f>
        <v>Presidencia de la República</v>
      </c>
      <c r="J51" t="str">
        <f>_xlfn.XLOOKUP(Tabla1[[#This Row],[Dependencia]],Tabla3[Dependencia],Tabla3[Nivel],"Otros",0)</f>
        <v>Otros</v>
      </c>
    </row>
    <row r="52" spans="1:10" ht="45" x14ac:dyDescent="0.25">
      <c r="A52" s="11">
        <v>46210</v>
      </c>
      <c r="B52" t="s">
        <v>77</v>
      </c>
      <c r="C52" s="5" t="s">
        <v>178</v>
      </c>
      <c r="D52" t="s">
        <v>13</v>
      </c>
      <c r="E52" t="s">
        <v>29</v>
      </c>
      <c r="F52" t="s">
        <v>2</v>
      </c>
      <c r="G52" t="s">
        <v>153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46210</v>
      </c>
      <c r="B53" t="s">
        <v>77</v>
      </c>
      <c r="C53" s="5" t="s">
        <v>179</v>
      </c>
      <c r="D53" t="s">
        <v>12</v>
      </c>
      <c r="E53" t="s">
        <v>10</v>
      </c>
      <c r="F53" t="s">
        <v>10</v>
      </c>
      <c r="G53" t="s">
        <v>180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46210</v>
      </c>
      <c r="B54" t="s">
        <v>77</v>
      </c>
      <c r="C54" s="5" t="s">
        <v>181</v>
      </c>
      <c r="D54" t="s">
        <v>12</v>
      </c>
      <c r="E54" t="s">
        <v>24</v>
      </c>
      <c r="F54" t="s">
        <v>24</v>
      </c>
      <c r="G54" t="s">
        <v>182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ht="45" x14ac:dyDescent="0.25">
      <c r="A55" s="11">
        <v>46210</v>
      </c>
      <c r="B55" t="s">
        <v>77</v>
      </c>
      <c r="C55" s="5" t="s">
        <v>183</v>
      </c>
      <c r="D55" t="s">
        <v>12</v>
      </c>
      <c r="E55" t="s">
        <v>34</v>
      </c>
      <c r="F55" t="s">
        <v>34</v>
      </c>
      <c r="G55" t="s">
        <v>109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46210</v>
      </c>
      <c r="B56" t="s">
        <v>77</v>
      </c>
      <c r="C56" s="5" t="s">
        <v>184</v>
      </c>
      <c r="D56" t="s">
        <v>12</v>
      </c>
      <c r="E56" t="s">
        <v>23</v>
      </c>
      <c r="F56" t="s">
        <v>115</v>
      </c>
      <c r="G56" t="s">
        <v>185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11">
        <v>46210</v>
      </c>
      <c r="B57" t="s">
        <v>77</v>
      </c>
      <c r="C57" s="5" t="s">
        <v>186</v>
      </c>
      <c r="D57" t="s">
        <v>12</v>
      </c>
      <c r="E57" t="s">
        <v>16</v>
      </c>
      <c r="F57" t="s">
        <v>16</v>
      </c>
      <c r="G57" t="s">
        <v>187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46210</v>
      </c>
      <c r="B58" t="s">
        <v>77</v>
      </c>
      <c r="C58" s="5" t="s">
        <v>188</v>
      </c>
      <c r="D58" t="s">
        <v>12</v>
      </c>
      <c r="E58" t="s">
        <v>29</v>
      </c>
      <c r="F58" t="s">
        <v>29</v>
      </c>
      <c r="G58" t="s">
        <v>73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30" x14ac:dyDescent="0.25">
      <c r="A59" s="11">
        <v>46210</v>
      </c>
      <c r="B59" t="s">
        <v>77</v>
      </c>
      <c r="C59" s="5" t="s">
        <v>189</v>
      </c>
      <c r="D59" t="s">
        <v>12</v>
      </c>
      <c r="E59" t="s">
        <v>16</v>
      </c>
      <c r="F59" t="s">
        <v>16</v>
      </c>
      <c r="G59" t="s">
        <v>190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46210</v>
      </c>
      <c r="B60" t="s">
        <v>77</v>
      </c>
      <c r="C60" s="5" t="s">
        <v>191</v>
      </c>
      <c r="D60" t="s">
        <v>12</v>
      </c>
      <c r="E60" t="s">
        <v>16</v>
      </c>
      <c r="F60" t="s">
        <v>16</v>
      </c>
      <c r="G60" t="s">
        <v>192</v>
      </c>
      <c r="H60" t="s">
        <v>11</v>
      </c>
      <c r="I60" t="str">
        <f>_xlfn.XLOOKUP(Tabla1[[#This Row],[Dependencia]],Tabla2[Dependencia],Tabla2[Clasificación],"XXX",0)</f>
        <v>Alcaldías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46210</v>
      </c>
      <c r="B61" t="s">
        <v>77</v>
      </c>
      <c r="C61" s="5" t="s">
        <v>193</v>
      </c>
      <c r="D61" t="s">
        <v>89</v>
      </c>
      <c r="E61" t="s">
        <v>10</v>
      </c>
      <c r="F61" t="s">
        <v>10</v>
      </c>
      <c r="G61" t="s">
        <v>92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46210</v>
      </c>
      <c r="B62" t="s">
        <v>87</v>
      </c>
      <c r="C62" s="5" t="s">
        <v>194</v>
      </c>
      <c r="D62" t="s">
        <v>13</v>
      </c>
      <c r="E62" t="s">
        <v>26</v>
      </c>
      <c r="F62" t="s">
        <v>26</v>
      </c>
      <c r="G62" t="s">
        <v>134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11">
        <v>46210</v>
      </c>
      <c r="B63" t="s">
        <v>87</v>
      </c>
      <c r="C63" s="5" t="s">
        <v>195</v>
      </c>
      <c r="D63" t="s">
        <v>12</v>
      </c>
      <c r="E63" t="s">
        <v>16</v>
      </c>
      <c r="F63" t="s">
        <v>81</v>
      </c>
      <c r="G63" t="s">
        <v>153</v>
      </c>
      <c r="H63" t="s">
        <v>11</v>
      </c>
      <c r="I63" t="str">
        <f>_xlfn.XLOOKUP(Tabla1[[#This Row],[Dependencia]],Tabla2[Dependencia],Tabla2[Clasificación],"XXX",0)</f>
        <v>Alcaldías</v>
      </c>
      <c r="J63" t="str">
        <f>_xlfn.XLOOKUP(Tabla1[[#This Row],[Dependencia]],Tabla3[Dependencia],Tabla3[Nivel],"Otros",0)</f>
        <v>Otros</v>
      </c>
    </row>
    <row r="64" spans="1:10" ht="30" x14ac:dyDescent="0.25">
      <c r="A64" s="11">
        <v>46210</v>
      </c>
      <c r="B64" t="s">
        <v>87</v>
      </c>
      <c r="C64" s="5" t="s">
        <v>196</v>
      </c>
      <c r="D64" t="s">
        <v>12</v>
      </c>
      <c r="E64" t="s">
        <v>19</v>
      </c>
      <c r="F64" t="s">
        <v>197</v>
      </c>
      <c r="G64" t="s">
        <v>166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ht="30" x14ac:dyDescent="0.25">
      <c r="A65" s="11">
        <v>46210</v>
      </c>
      <c r="B65" t="s">
        <v>87</v>
      </c>
      <c r="C65" s="5" t="s">
        <v>198</v>
      </c>
      <c r="D65" t="s">
        <v>12</v>
      </c>
      <c r="E65" t="s">
        <v>34</v>
      </c>
      <c r="F65" t="s">
        <v>34</v>
      </c>
      <c r="G65" t="s">
        <v>109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46210</v>
      </c>
      <c r="B66" t="s">
        <v>87</v>
      </c>
      <c r="C66" s="5" t="s">
        <v>199</v>
      </c>
      <c r="D66" t="s">
        <v>12</v>
      </c>
      <c r="E66" t="s">
        <v>29</v>
      </c>
      <c r="F66" t="s">
        <v>200</v>
      </c>
      <c r="G66" t="s">
        <v>201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25">
      <c r="A67" s="11">
        <v>46210</v>
      </c>
      <c r="B67" t="s">
        <v>87</v>
      </c>
      <c r="C67" s="5" t="s">
        <v>202</v>
      </c>
      <c r="D67" t="s">
        <v>89</v>
      </c>
      <c r="E67" t="s">
        <v>29</v>
      </c>
      <c r="F67" t="s">
        <v>29</v>
      </c>
      <c r="G67" t="s">
        <v>203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25">
      <c r="A68" s="11">
        <v>46210</v>
      </c>
      <c r="B68" t="s">
        <v>87</v>
      </c>
      <c r="C68" s="5" t="s">
        <v>204</v>
      </c>
      <c r="D68" t="s">
        <v>89</v>
      </c>
      <c r="E68" t="s">
        <v>16</v>
      </c>
      <c r="F68" t="s">
        <v>16</v>
      </c>
      <c r="G68" t="s">
        <v>90</v>
      </c>
      <c r="H68" t="s">
        <v>11</v>
      </c>
      <c r="I68" t="str">
        <f>_xlfn.XLOOKUP(Tabla1[[#This Row],[Dependencia]],Tabla2[Dependencia],Tabla2[Clasificación],"XXX",0)</f>
        <v>Alcaldías</v>
      </c>
      <c r="J68" t="str">
        <f>_xlfn.XLOOKUP(Tabla1[[#This Row],[Dependencia]],Tabla3[Dependencia],Tabla3[Nivel],"Otros",0)</f>
        <v>Otros</v>
      </c>
    </row>
    <row r="69" spans="1:10" x14ac:dyDescent="0.25">
      <c r="A69" s="11">
        <v>46210</v>
      </c>
      <c r="B69" t="s">
        <v>78</v>
      </c>
      <c r="C69" s="5" t="s">
        <v>205</v>
      </c>
      <c r="D69" t="s">
        <v>13</v>
      </c>
      <c r="E69" t="s">
        <v>53</v>
      </c>
      <c r="F69" t="s">
        <v>53</v>
      </c>
      <c r="G69" t="s">
        <v>101</v>
      </c>
      <c r="H69" t="s">
        <v>69</v>
      </c>
      <c r="I69" t="str">
        <f>_xlfn.XLOOKUP(Tabla1[[#This Row],[Dependencia]],Tabla2[Dependencia],Tabla2[Clasificación],"XXX",0)</f>
        <v>Gobierno del estado</v>
      </c>
      <c r="J69" t="str">
        <f>_xlfn.XLOOKUP(Tabla1[[#This Row],[Dependencia]],Tabla3[Dependencia],Tabla3[Nivel],"Otros",0)</f>
        <v>Gabinete</v>
      </c>
    </row>
    <row r="70" spans="1:10" x14ac:dyDescent="0.25">
      <c r="A70" s="11">
        <v>46210</v>
      </c>
      <c r="B70" t="s">
        <v>78</v>
      </c>
      <c r="C70" s="5" t="s">
        <v>206</v>
      </c>
      <c r="D70" t="s">
        <v>12</v>
      </c>
      <c r="E70" t="s">
        <v>14</v>
      </c>
      <c r="F70" t="s">
        <v>14</v>
      </c>
      <c r="G70" t="s">
        <v>131</v>
      </c>
      <c r="H70" t="s">
        <v>79</v>
      </c>
      <c r="I70" t="str">
        <f>_xlfn.XLOOKUP(Tabla1[[#This Row],[Dependencia]],Tabla2[Dependencia],Tabla2[Clasificación],"XXX",0)</f>
        <v>Presidencia de la República</v>
      </c>
      <c r="J70" t="str">
        <f>_xlfn.XLOOKUP(Tabla1[[#This Row],[Dependencia]],Tabla3[Dependencia],Tabla3[Nivel],"Otros",0)</f>
        <v>Otros</v>
      </c>
    </row>
    <row r="71" spans="1:10" x14ac:dyDescent="0.25">
      <c r="A71" s="11">
        <v>46210</v>
      </c>
      <c r="B71" t="s">
        <v>78</v>
      </c>
      <c r="C71" s="5" t="s">
        <v>207</v>
      </c>
      <c r="D71" t="s">
        <v>12</v>
      </c>
      <c r="E71" t="s">
        <v>16</v>
      </c>
      <c r="F71" t="s">
        <v>208</v>
      </c>
      <c r="G71" t="s">
        <v>209</v>
      </c>
      <c r="H71" t="s">
        <v>79</v>
      </c>
      <c r="I71" t="str">
        <f>_xlfn.XLOOKUP(Tabla1[[#This Row],[Dependencia]],Tabla2[Dependencia],Tabla2[Clasificación],"XXX",0)</f>
        <v>Alcaldías</v>
      </c>
      <c r="J71" t="str">
        <f>_xlfn.XLOOKUP(Tabla1[[#This Row],[Dependencia]],Tabla3[Dependencia],Tabla3[Nivel],"Otros",0)</f>
        <v>Otros</v>
      </c>
    </row>
    <row r="72" spans="1:10" ht="75" x14ac:dyDescent="0.25">
      <c r="A72" s="11">
        <v>46210</v>
      </c>
      <c r="B72" t="s">
        <v>78</v>
      </c>
      <c r="C72" s="5" t="s">
        <v>210</v>
      </c>
      <c r="D72" t="s">
        <v>83</v>
      </c>
      <c r="E72" t="s">
        <v>14</v>
      </c>
      <c r="F72" t="s">
        <v>14</v>
      </c>
      <c r="G72" t="s">
        <v>211</v>
      </c>
      <c r="H72" t="s">
        <v>79</v>
      </c>
      <c r="I72" t="str">
        <f>_xlfn.XLOOKUP(Tabla1[[#This Row],[Dependencia]],Tabla2[Dependencia],Tabla2[Clasificación],"XXX",0)</f>
        <v>Presidencia de la República</v>
      </c>
      <c r="J72" t="str">
        <f>_xlfn.XLOOKUP(Tabla1[[#This Row],[Dependencia]],Tabla3[Dependencia],Tabla3[Nivel],"Otros",0)</f>
        <v>Otros</v>
      </c>
    </row>
    <row r="73" spans="1:10" x14ac:dyDescent="0.25">
      <c r="A73" s="11">
        <v>46210</v>
      </c>
      <c r="B73" t="s">
        <v>78</v>
      </c>
      <c r="C73" s="5" t="s">
        <v>94</v>
      </c>
      <c r="D73" t="s">
        <v>89</v>
      </c>
      <c r="E73" t="s">
        <v>10</v>
      </c>
      <c r="F73" t="s">
        <v>10</v>
      </c>
      <c r="G73" t="s">
        <v>92</v>
      </c>
      <c r="H73" t="s">
        <v>11</v>
      </c>
      <c r="I73" t="str">
        <f>_xlfn.XLOOKUP(Tabla1[[#This Row],[Dependencia]],Tabla2[Dependencia],Tabla2[Clasificación],"XXX",0)</f>
        <v>Otros</v>
      </c>
      <c r="J7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72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72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2026-07-07T15:56:39Z</dcterms:modified>
</cp:coreProperties>
</file>