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8FB2B20D-5159-48CB-9796-3D4D56C0D9BB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2" i="1"/>
  <c r="I2" i="1"/>
</calcChain>
</file>

<file path=xl/sharedStrings.xml><?xml version="1.0" encoding="utf-8"?>
<sst xmlns="http://schemas.openxmlformats.org/spreadsheetml/2006/main" count="573" uniqueCount="182">
  <si>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</si>
  <si>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</si>
  <si>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</si>
  <si>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</si>
  <si>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</si>
  <si>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</si>
  <si>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</si>
  <si>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</si>
  <si>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</si>
  <si>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</si>
  <si>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</si>
  <si>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</si>
  <si>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</si>
  <si>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</si>
  <si>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</si>
  <si>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</si>
  <si>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</si>
  <si>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</si>
  <si>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</si>
  <si>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</si>
  <si>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</si>
  <si>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</si>
  <si>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</si>
  <si>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</si>
  <si>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</si>
  <si>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</si>
  <si>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</si>
  <si>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</si>
  <si>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</si>
  <si>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</si>
  <si>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</si>
  <si>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</si>
  <si>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</si>
  <si>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</si>
  <si>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</si>
  <si>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</si>
  <si>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</si>
  <si>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</si>
  <si>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</si>
  <si>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</si>
  <si>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</si>
  <si>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</si>
  <si>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</si>
  <si>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</si>
  <si>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</si>
  <si>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</si>
  <si>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</si>
  <si>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</si>
  <si>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</si>
  <si>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</si>
  <si>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</si>
  <si>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</si>
  <si>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</si>
  <si>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</si>
  <si>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</si>
  <si>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</si>
  <si>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</si>
  <si>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</si>
  <si>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</si>
  <si>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</si>
  <si>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</si>
  <si>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</si>
  <si>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</si>
  <si>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</si>
  <si>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</si>
  <si>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</si>
  <si>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</si>
  <si>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</si>
  <si>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</si>
  <si>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</si>
  <si>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</si>
  <si>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</si>
  <si>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Effetá</t>
  </si>
  <si>
    <t>Negativa</t>
  </si>
  <si>
    <t>Zunoticia</t>
  </si>
  <si>
    <t>Milenio Hidalgo</t>
  </si>
  <si>
    <t>El Universal Hidalgo</t>
  </si>
  <si>
    <t>Criterio</t>
  </si>
  <si>
    <t>Pachuca Brilla</t>
  </si>
  <si>
    <t>Temas varios</t>
  </si>
  <si>
    <t>Temas internacionales</t>
  </si>
  <si>
    <t>Deportes</t>
  </si>
  <si>
    <t>IHE</t>
  </si>
  <si>
    <t>Sipdus</t>
  </si>
  <si>
    <t>Combate a la delincuencia</t>
  </si>
  <si>
    <t>Incidencia Delictiva</t>
  </si>
  <si>
    <t>Presupuesto IEEH</t>
  </si>
  <si>
    <t>Publicidad</t>
  </si>
  <si>
    <t>Una sola voz contra la trata</t>
  </si>
  <si>
    <t>Combate a trata de personas</t>
  </si>
  <si>
    <t>Han asegurado 10 túneles de huachicol</t>
  </si>
  <si>
    <t>Reunión Gabinete De Seguridad</t>
  </si>
  <si>
    <t>Crean artesanos canasta monumental de carrizo</t>
  </si>
  <si>
    <t>temas arios</t>
  </si>
  <si>
    <t>Multas por invadir vía de Tuzobús, en agosto</t>
  </si>
  <si>
    <t>Sitmah</t>
  </si>
  <si>
    <t>Carril confinado</t>
  </si>
  <si>
    <t>Suman 58 casos de hepatitis en la entidad</t>
  </si>
  <si>
    <t>Vigilancia Epidemiológica</t>
  </si>
  <si>
    <t>Empresarios influyen en política de Hidalgo</t>
  </si>
  <si>
    <t>PRI</t>
  </si>
  <si>
    <t>Viggiano</t>
  </si>
  <si>
    <t>Enfrentamiento Político</t>
  </si>
  <si>
    <t>Gallo relata la otra historia de la guerra</t>
  </si>
  <si>
    <t>Secuestros</t>
  </si>
  <si>
    <t>Desde el 16 de agosto, multa a quien invada el carril del Tuzobús</t>
  </si>
  <si>
    <t>El IEEH, en riesgo por falta de recursos</t>
  </si>
  <si>
    <t>Municipios, sin Atlas de Riesgos</t>
  </si>
  <si>
    <t>Atlas de Riesgos</t>
  </si>
  <si>
    <t>Agreden a cura y toman una iglesia</t>
  </si>
  <si>
    <t>Toma de iglesia</t>
  </si>
  <si>
    <t>Incrementaron los casos de diabetes e hipertensión</t>
  </si>
  <si>
    <t>Desmantelan en la entidad 10 túneles de huachicol</t>
  </si>
  <si>
    <t>Superó Salomón marca de el Chucky</t>
  </si>
  <si>
    <t>A 25 años de un gol al corazón</t>
  </si>
  <si>
    <t>AUMENTARON LOS CRÍMENES DE ALTO IMPACTO EN 2026</t>
  </si>
  <si>
    <t>Comienzan el 16 de agosto multas por invasión del carril del Tuzobús</t>
  </si>
  <si>
    <t>Celebran los 33 años del Miguel Hidalgo</t>
  </si>
  <si>
    <t>Conmemoración Aniversario</t>
  </si>
  <si>
    <t>Asegura Andrade tener más de 500 visitas en distrito</t>
  </si>
  <si>
    <t>Trabajo legislativo</t>
  </si>
  <si>
    <t>Es el estado el primer sitio por muertes de Covid-19</t>
  </si>
  <si>
    <t>Covid 19</t>
  </si>
  <si>
    <t>Rebasa 179 mil expedientes rezago en el Poder Judicial</t>
  </si>
  <si>
    <t>Rezago de carpetas</t>
  </si>
  <si>
    <t>Capturan a 5 hombres con armas, granadas y vehiculos</t>
  </si>
  <si>
    <t>Robo de combustible, 60% de indagatorias federales</t>
  </si>
  <si>
    <t>FGR</t>
  </si>
  <si>
    <t>Huachicol</t>
  </si>
  <si>
    <t>Frena la Policía Municipal arrancones en Pachuca</t>
  </si>
  <si>
    <t>Policía municipal</t>
  </si>
  <si>
    <t>Prevención de accidentes</t>
  </si>
  <si>
    <t>Multas. Van por abusivos en carriles del Tuzobús</t>
  </si>
  <si>
    <t>La IA acelera la clonación de sitios web de sociedades financieras en cinco meses</t>
  </si>
  <si>
    <t>Inteligencia Artificial</t>
  </si>
  <si>
    <t>Prisión preventiva a dueño y sargento de la academia</t>
  </si>
  <si>
    <t>Bullying</t>
  </si>
  <si>
    <t>Sobre estúpidas guerras y mazos de aduladores</t>
  </si>
  <si>
    <t>Estrena la capital 15 mil luminarias con tecnología LED en principales vías</t>
  </si>
  <si>
    <t>Luminarias</t>
  </si>
  <si>
    <t>En agosto empezarán las multas por invadir el carril del Tuzobús</t>
  </si>
  <si>
    <t>Ejidatarios de Tlaxcoapan bloquean sitio de transferencia de basura</t>
  </si>
  <si>
    <t>Relleno Sanitario</t>
  </si>
  <si>
    <t>Crisis en la UNAM por examen virtual</t>
  </si>
  <si>
    <t>Hidalgo necesita políticos que lean antes de legislar, no que improvisen y luego le echen la bronca a la ciudaddanía para que decida lo que ellos debieron resolver con criterio propio desde el principio</t>
  </si>
  <si>
    <t>A partir del 16 de agosto aplicarán multas por invadir carril del Tuzobús</t>
  </si>
  <si>
    <t>Desmantelan diez túneles clandestinos para robo de hidrocarburo en tres años</t>
  </si>
  <si>
    <t>Interceptan en Huichapan camionetas operadas por hombres armados; hay un menor involucrado</t>
  </si>
  <si>
    <t>Renovarán barreras  de concreto en el  Corredor de la  Montaña</t>
  </si>
  <si>
    <t>Rehabilitación carretera</t>
  </si>
  <si>
    <t>Promueven cultura de  paz con 30 Ferias para  la Convivencia  Escolar</t>
  </si>
  <si>
    <t>Estrategia de convivencia escolar</t>
  </si>
  <si>
    <t>Bloquearon la carretera por pésimo servicio de electricidad</t>
  </si>
  <si>
    <t>CFE</t>
  </si>
  <si>
    <t>Bloqueo Carretero</t>
  </si>
  <si>
    <t>En Hidalgo se desmantelan 10 túneles huachicoleros</t>
  </si>
  <si>
    <t>Llegan a cinco los casos de dengue en la huasteca</t>
  </si>
  <si>
    <t>Dengue</t>
  </si>
  <si>
    <t>Cae 70% el trabajo de asesores de calzado</t>
  </si>
  <si>
    <t>Entrega Sebiso apoyos sociales en zonas serranas de Hidalgo</t>
  </si>
  <si>
    <t>Entrega De Apoyos</t>
  </si>
  <si>
    <t>Invadir el carril del Tuzobús: arrancan amonestaciones, después vienen las multas</t>
  </si>
  <si>
    <t>Menchaca reporta 10 túneles huachicoleros</t>
  </si>
  <si>
    <t>PRI anuncia acción legal contra reforma</t>
  </si>
  <si>
    <t>Reforma Electoral</t>
  </si>
  <si>
    <t>Cae grupo armado en Huichapan</t>
  </si>
  <si>
    <t>Gusano barrenador cae 67% en Hidalgo</t>
  </si>
  <si>
    <t>Gusano barrenador</t>
  </si>
  <si>
    <t>Cambio de párroco moviliza a ciudadanos de Real del Monte</t>
  </si>
  <si>
    <t>Semot llama a respetar el carril exclusivo para garantizar traslados seguros; multas, en agosto</t>
  </si>
  <si>
    <t>Realiza IHE 30 ferias para la convivencia escolar</t>
  </si>
  <si>
    <t>Convocan al Primer cabildo municpal de las Juventudes Diversas de Pachuca</t>
  </si>
  <si>
    <t>Cabildo Juvenil</t>
  </si>
  <si>
    <t>Van 10 túneles huachicoleros desmantelados en Hidalgo</t>
  </si>
  <si>
    <t>Con 60 nuevas unidades, segunda fase de renovación de transporte metropolitano</t>
  </si>
  <si>
    <t>Alimentadoras Tuzobús</t>
  </si>
  <si>
    <t>Temperaturas extremas</t>
  </si>
  <si>
    <t>Golpe de calor</t>
  </si>
  <si>
    <t>En Hidalgo se han desmantelado 10 túneles huachicoleros</t>
  </si>
  <si>
    <t>Aplicarán multas a quienes invadan carril confinado</t>
  </si>
  <si>
    <t>Luego de 41 años de carrera, Blue Demon Jr. se retira</t>
  </si>
  <si>
    <t>Estudiantes exigen examen presencial tras presuntas trampas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</si>
</sst>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0" totalsRowShown="0" headerRowDxfId="5" headerRowBorderDxfId="4">
  <autoFilter ref="A1:J6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0"/>
  <sheetViews>
    <sheetView tabSelected="1" workbookViewId="0">
      <selection activeCell="A2" sqref="A2:H6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46231</v>
      </c>
      <c r="B2" t="s">
        <v>67</v>
      </c>
      <c r="C2" s="5" t="s">
        <v>90</v>
      </c>
      <c r="D2" t="s">
        <v>12</v>
      </c>
      <c r="E2" t="s">
        <v>24</v>
      </c>
      <c r="F2" t="s">
        <v>24</v>
      </c>
      <c r="G2" t="s">
        <v>91</v>
      </c>
      <c r="H2" t="s">
        <v>68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Gobernador</v>
      </c>
    </row>
    <row r="3" spans="1:10" x14ac:dyDescent="0.25">
      <c r="A3" s="11">
        <v>46231</v>
      </c>
      <c r="B3" t="s">
        <v>67</v>
      </c>
      <c r="C3" s="5" t="s">
        <v>92</v>
      </c>
      <c r="D3" t="s">
        <v>12</v>
      </c>
      <c r="E3" t="s">
        <v>10</v>
      </c>
      <c r="F3" t="s">
        <v>10</v>
      </c>
      <c r="G3" t="s">
        <v>93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46231</v>
      </c>
      <c r="B4" t="s">
        <v>67</v>
      </c>
      <c r="C4" s="5" t="s">
        <v>94</v>
      </c>
      <c r="D4" t="s">
        <v>13</v>
      </c>
      <c r="E4" t="s">
        <v>27</v>
      </c>
      <c r="F4" t="s">
        <v>95</v>
      </c>
      <c r="G4" t="s">
        <v>96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46231</v>
      </c>
      <c r="B5" t="s">
        <v>67</v>
      </c>
      <c r="C5" s="5" t="s">
        <v>97</v>
      </c>
      <c r="D5" t="s">
        <v>12</v>
      </c>
      <c r="E5" t="s">
        <v>15</v>
      </c>
      <c r="F5" t="s">
        <v>15</v>
      </c>
      <c r="G5" t="s">
        <v>98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46231</v>
      </c>
      <c r="B6" t="s">
        <v>67</v>
      </c>
      <c r="C6" s="5" t="s">
        <v>99</v>
      </c>
      <c r="D6" t="s">
        <v>9</v>
      </c>
      <c r="E6" t="s">
        <v>100</v>
      </c>
      <c r="F6" t="s">
        <v>101</v>
      </c>
      <c r="G6" t="s">
        <v>102</v>
      </c>
      <c r="H6" t="s">
        <v>11</v>
      </c>
      <c r="I6" t="str">
        <f>_xlfn.XLOOKUP(Tabla1[[#This Row],[Dependencia]],Tabla2[Dependencia],Tabla2[Clasificación],"XXX",0)</f>
        <v>Partidos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46231</v>
      </c>
      <c r="B7" t="s">
        <v>67</v>
      </c>
      <c r="C7" s="5" t="s">
        <v>103</v>
      </c>
      <c r="D7" t="s">
        <v>12</v>
      </c>
      <c r="E7" t="s">
        <v>10</v>
      </c>
      <c r="F7" t="s">
        <v>10</v>
      </c>
      <c r="G7" t="s">
        <v>104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11">
        <v>46231</v>
      </c>
      <c r="B8" t="s">
        <v>76</v>
      </c>
      <c r="C8" s="5" t="s">
        <v>105</v>
      </c>
      <c r="D8" t="s">
        <v>13</v>
      </c>
      <c r="E8" t="s">
        <v>27</v>
      </c>
      <c r="F8" t="s">
        <v>95</v>
      </c>
      <c r="G8" t="s">
        <v>96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46231</v>
      </c>
      <c r="B9" t="s">
        <v>76</v>
      </c>
      <c r="C9" s="5" t="s">
        <v>106</v>
      </c>
      <c r="D9" t="s">
        <v>12</v>
      </c>
      <c r="E9" t="s">
        <v>40</v>
      </c>
      <c r="F9" t="s">
        <v>40</v>
      </c>
      <c r="G9" t="s">
        <v>86</v>
      </c>
      <c r="H9" t="s">
        <v>73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46231</v>
      </c>
      <c r="B10" t="s">
        <v>76</v>
      </c>
      <c r="C10" s="5" t="s">
        <v>107</v>
      </c>
      <c r="D10" t="s">
        <v>12</v>
      </c>
      <c r="E10" t="s">
        <v>16</v>
      </c>
      <c r="F10" t="s">
        <v>16</v>
      </c>
      <c r="G10" t="s">
        <v>108</v>
      </c>
      <c r="H10" t="s">
        <v>73</v>
      </c>
      <c r="I10" t="str">
        <f>_xlfn.XLOOKUP(Tabla1[[#This Row],[Dependencia]],Tabla2[Dependencia],Tabla2[Clasificación],"XXX",0)</f>
        <v>Alcaldías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46231</v>
      </c>
      <c r="B11" t="s">
        <v>76</v>
      </c>
      <c r="C11" s="5" t="s">
        <v>109</v>
      </c>
      <c r="D11" t="s">
        <v>12</v>
      </c>
      <c r="E11" t="s">
        <v>16</v>
      </c>
      <c r="F11" t="s">
        <v>16</v>
      </c>
      <c r="G11" t="s">
        <v>110</v>
      </c>
      <c r="H11" t="s">
        <v>73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46231</v>
      </c>
      <c r="B12" t="s">
        <v>76</v>
      </c>
      <c r="C12" s="5" t="s">
        <v>111</v>
      </c>
      <c r="D12" t="s">
        <v>12</v>
      </c>
      <c r="E12" t="s">
        <v>15</v>
      </c>
      <c r="F12" t="s">
        <v>15</v>
      </c>
      <c r="G12" t="s">
        <v>98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46231</v>
      </c>
      <c r="B13" t="s">
        <v>76</v>
      </c>
      <c r="C13" s="5" t="s">
        <v>112</v>
      </c>
      <c r="D13" t="s">
        <v>12</v>
      </c>
      <c r="E13" t="s">
        <v>24</v>
      </c>
      <c r="F13" t="s">
        <v>24</v>
      </c>
      <c r="G13" t="s">
        <v>91</v>
      </c>
      <c r="H13" t="s">
        <v>68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Gobernador</v>
      </c>
    </row>
    <row r="14" spans="1:10" x14ac:dyDescent="0.25">
      <c r="A14" s="11">
        <v>46231</v>
      </c>
      <c r="B14" t="s">
        <v>77</v>
      </c>
      <c r="C14" s="5" t="s">
        <v>113</v>
      </c>
      <c r="D14" t="s">
        <v>12</v>
      </c>
      <c r="E14" t="s">
        <v>10</v>
      </c>
      <c r="F14" t="s">
        <v>10</v>
      </c>
      <c r="G14" t="s">
        <v>81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46231</v>
      </c>
      <c r="B15" t="s">
        <v>77</v>
      </c>
      <c r="C15" s="5" t="s">
        <v>114</v>
      </c>
      <c r="D15" t="s">
        <v>12</v>
      </c>
      <c r="E15" t="s">
        <v>10</v>
      </c>
      <c r="F15" t="s">
        <v>10</v>
      </c>
      <c r="G15" t="s">
        <v>81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11">
        <v>46231</v>
      </c>
      <c r="B16" t="s">
        <v>77</v>
      </c>
      <c r="C16" s="5" t="s">
        <v>115</v>
      </c>
      <c r="D16" t="s">
        <v>13</v>
      </c>
      <c r="E16" t="s">
        <v>17</v>
      </c>
      <c r="F16" t="s">
        <v>17</v>
      </c>
      <c r="G16" t="s">
        <v>85</v>
      </c>
      <c r="H16" t="s">
        <v>73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11">
        <v>46231</v>
      </c>
      <c r="B17" t="s">
        <v>77</v>
      </c>
      <c r="C17" s="5" t="s">
        <v>116</v>
      </c>
      <c r="D17" t="s">
        <v>12</v>
      </c>
      <c r="E17" t="s">
        <v>27</v>
      </c>
      <c r="F17" t="s">
        <v>95</v>
      </c>
      <c r="G17" t="s">
        <v>96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46231</v>
      </c>
      <c r="B18" t="s">
        <v>77</v>
      </c>
      <c r="C18" s="5" t="s">
        <v>117</v>
      </c>
      <c r="D18" t="s">
        <v>9</v>
      </c>
      <c r="E18" t="s">
        <v>10</v>
      </c>
      <c r="F18" t="s">
        <v>10</v>
      </c>
      <c r="G18" t="s">
        <v>118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46231</v>
      </c>
      <c r="B19" t="s">
        <v>77</v>
      </c>
      <c r="C19" s="5" t="s">
        <v>119</v>
      </c>
      <c r="D19" t="s">
        <v>12</v>
      </c>
      <c r="E19" t="s">
        <v>10</v>
      </c>
      <c r="F19" t="s">
        <v>10</v>
      </c>
      <c r="G19" t="s">
        <v>120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46231</v>
      </c>
      <c r="B20" t="s">
        <v>77</v>
      </c>
      <c r="C20" s="5" t="s">
        <v>121</v>
      </c>
      <c r="D20" t="s">
        <v>12</v>
      </c>
      <c r="E20" t="s">
        <v>15</v>
      </c>
      <c r="F20" t="s">
        <v>15</v>
      </c>
      <c r="G20" t="s">
        <v>122</v>
      </c>
      <c r="H20" t="s">
        <v>73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11">
        <v>46231</v>
      </c>
      <c r="B21" t="s">
        <v>75</v>
      </c>
      <c r="C21" s="5" t="s">
        <v>123</v>
      </c>
      <c r="D21" t="s">
        <v>13</v>
      </c>
      <c r="E21" t="s">
        <v>58</v>
      </c>
      <c r="F21" t="s">
        <v>58</v>
      </c>
      <c r="G21" t="s">
        <v>124</v>
      </c>
      <c r="H21" t="s">
        <v>73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46231</v>
      </c>
      <c r="B22" t="s">
        <v>75</v>
      </c>
      <c r="C22" s="5" t="s">
        <v>125</v>
      </c>
      <c r="D22" t="s">
        <v>12</v>
      </c>
      <c r="E22" t="s">
        <v>22</v>
      </c>
      <c r="F22" t="s">
        <v>22</v>
      </c>
      <c r="G22" t="s">
        <v>84</v>
      </c>
      <c r="H22" t="s">
        <v>68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1">
        <v>46231</v>
      </c>
      <c r="B23" t="s">
        <v>75</v>
      </c>
      <c r="C23" s="5" t="s">
        <v>126</v>
      </c>
      <c r="D23" t="s">
        <v>12</v>
      </c>
      <c r="E23" t="s">
        <v>14</v>
      </c>
      <c r="F23" t="s">
        <v>127</v>
      </c>
      <c r="G23" t="s">
        <v>128</v>
      </c>
      <c r="H23" t="s">
        <v>11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46231</v>
      </c>
      <c r="B24" t="s">
        <v>75</v>
      </c>
      <c r="C24" s="5" t="s">
        <v>129</v>
      </c>
      <c r="D24" t="s">
        <v>12</v>
      </c>
      <c r="E24" t="s">
        <v>16</v>
      </c>
      <c r="F24" t="s">
        <v>130</v>
      </c>
      <c r="G24" t="s">
        <v>131</v>
      </c>
      <c r="H24" t="s">
        <v>11</v>
      </c>
      <c r="I24" t="str">
        <f>_xlfn.XLOOKUP(Tabla1[[#This Row],[Dependencia]],Tabla2[Dependencia],Tabla2[Clasificación],"XXX",0)</f>
        <v>Alcaldías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46231</v>
      </c>
      <c r="B25" t="s">
        <v>75</v>
      </c>
      <c r="C25" s="5" t="s">
        <v>132</v>
      </c>
      <c r="D25" t="s">
        <v>9</v>
      </c>
      <c r="E25" t="s">
        <v>27</v>
      </c>
      <c r="F25" t="s">
        <v>95</v>
      </c>
      <c r="G25" t="s">
        <v>96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ht="30" x14ac:dyDescent="0.25">
      <c r="A26" s="11">
        <v>46231</v>
      </c>
      <c r="B26" t="s">
        <v>75</v>
      </c>
      <c r="C26" s="5" t="s">
        <v>133</v>
      </c>
      <c r="D26" t="s">
        <v>12</v>
      </c>
      <c r="E26" t="s">
        <v>10</v>
      </c>
      <c r="F26" t="s">
        <v>10</v>
      </c>
      <c r="G26" t="s">
        <v>134</v>
      </c>
      <c r="H26" t="s">
        <v>73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46231</v>
      </c>
      <c r="B27" t="s">
        <v>75</v>
      </c>
      <c r="C27" s="5" t="s">
        <v>135</v>
      </c>
      <c r="D27" t="s">
        <v>12</v>
      </c>
      <c r="E27" t="s">
        <v>14</v>
      </c>
      <c r="F27" t="s">
        <v>14</v>
      </c>
      <c r="G27" t="s">
        <v>136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46231</v>
      </c>
      <c r="B28" t="s">
        <v>75</v>
      </c>
      <c r="C28" s="5" t="s">
        <v>137</v>
      </c>
      <c r="D28" t="s">
        <v>12</v>
      </c>
      <c r="E28" t="s">
        <v>10</v>
      </c>
      <c r="F28" t="s">
        <v>10</v>
      </c>
      <c r="G28" t="s">
        <v>80</v>
      </c>
      <c r="H28" t="s">
        <v>73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46231</v>
      </c>
      <c r="B29" t="s">
        <v>75</v>
      </c>
      <c r="C29" s="5" t="s">
        <v>138</v>
      </c>
      <c r="D29" t="s">
        <v>12</v>
      </c>
      <c r="E29" t="s">
        <v>16</v>
      </c>
      <c r="F29" t="s">
        <v>16</v>
      </c>
      <c r="G29" t="s">
        <v>139</v>
      </c>
      <c r="H29" t="s">
        <v>11</v>
      </c>
      <c r="I29" t="str">
        <f>_xlfn.XLOOKUP(Tabla1[[#This Row],[Dependencia]],Tabla2[Dependencia],Tabla2[Clasificación],"XXX",0)</f>
        <v>Alcaldías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46231</v>
      </c>
      <c r="B30" t="s">
        <v>70</v>
      </c>
      <c r="C30" s="5" t="s">
        <v>140</v>
      </c>
      <c r="D30" t="s">
        <v>13</v>
      </c>
      <c r="E30" t="s">
        <v>27</v>
      </c>
      <c r="F30" t="s">
        <v>95</v>
      </c>
      <c r="G30" t="s">
        <v>96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11">
        <v>46231</v>
      </c>
      <c r="B31" t="s">
        <v>70</v>
      </c>
      <c r="C31" s="5" t="s">
        <v>141</v>
      </c>
      <c r="D31" t="s">
        <v>12</v>
      </c>
      <c r="E31" t="s">
        <v>16</v>
      </c>
      <c r="F31" t="s">
        <v>16</v>
      </c>
      <c r="G31" t="s">
        <v>142</v>
      </c>
      <c r="H31" t="s">
        <v>73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46231</v>
      </c>
      <c r="B32" t="s">
        <v>70</v>
      </c>
      <c r="C32" s="5" t="s">
        <v>143</v>
      </c>
      <c r="D32" t="s">
        <v>12</v>
      </c>
      <c r="E32" t="s">
        <v>10</v>
      </c>
      <c r="F32" t="s">
        <v>10</v>
      </c>
      <c r="G32" t="s">
        <v>79</v>
      </c>
      <c r="H32" t="s">
        <v>73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60" x14ac:dyDescent="0.25">
      <c r="A33" s="11">
        <v>46231</v>
      </c>
      <c r="B33" t="s">
        <v>70</v>
      </c>
      <c r="C33" s="5" t="s">
        <v>144</v>
      </c>
      <c r="D33" t="s">
        <v>12</v>
      </c>
      <c r="E33" t="s">
        <v>10</v>
      </c>
      <c r="F33" t="s">
        <v>10</v>
      </c>
      <c r="G33" t="s">
        <v>79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46231</v>
      </c>
      <c r="B34" t="s">
        <v>69</v>
      </c>
      <c r="C34" s="5" t="s">
        <v>145</v>
      </c>
      <c r="D34" t="s">
        <v>13</v>
      </c>
      <c r="E34" t="s">
        <v>27</v>
      </c>
      <c r="F34" t="s">
        <v>95</v>
      </c>
      <c r="G34" t="s">
        <v>96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46231</v>
      </c>
      <c r="B35" t="s">
        <v>69</v>
      </c>
      <c r="C35" s="5" t="s">
        <v>146</v>
      </c>
      <c r="D35" t="s">
        <v>12</v>
      </c>
      <c r="E35" t="s">
        <v>24</v>
      </c>
      <c r="F35" t="s">
        <v>24</v>
      </c>
      <c r="G35" t="s">
        <v>91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ht="30" x14ac:dyDescent="0.25">
      <c r="A36" s="11">
        <v>46231</v>
      </c>
      <c r="B36" t="s">
        <v>69</v>
      </c>
      <c r="C36" s="5" t="s">
        <v>147</v>
      </c>
      <c r="D36" t="s">
        <v>12</v>
      </c>
      <c r="E36" t="s">
        <v>22</v>
      </c>
      <c r="F36" t="s">
        <v>22</v>
      </c>
      <c r="G36" t="s">
        <v>84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46231</v>
      </c>
      <c r="B37" t="s">
        <v>69</v>
      </c>
      <c r="C37" s="5" t="s">
        <v>148</v>
      </c>
      <c r="D37" t="s">
        <v>12</v>
      </c>
      <c r="E37" t="s">
        <v>83</v>
      </c>
      <c r="F37" t="s">
        <v>83</v>
      </c>
      <c r="G37" t="s">
        <v>149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46231</v>
      </c>
      <c r="B38" t="s">
        <v>69</v>
      </c>
      <c r="C38" s="5" t="s">
        <v>150</v>
      </c>
      <c r="D38" t="s">
        <v>12</v>
      </c>
      <c r="E38" t="s">
        <v>26</v>
      </c>
      <c r="F38" t="s">
        <v>26</v>
      </c>
      <c r="G38" t="s">
        <v>151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46231</v>
      </c>
      <c r="B39" t="s">
        <v>74</v>
      </c>
      <c r="C39" s="5" t="s">
        <v>152</v>
      </c>
      <c r="D39" t="s">
        <v>13</v>
      </c>
      <c r="E39" t="s">
        <v>14</v>
      </c>
      <c r="F39" t="s">
        <v>153</v>
      </c>
      <c r="G39" t="s">
        <v>154</v>
      </c>
      <c r="H39" t="s">
        <v>73</v>
      </c>
      <c r="I39" t="str">
        <f>_xlfn.XLOOKUP(Tabla1[[#This Row],[Dependencia]],Tabla2[Dependencia],Tabla2[Clasificación],"XXX",0)</f>
        <v>Presidencia de la República</v>
      </c>
      <c r="J39" t="str">
        <f>_xlfn.XLOOKUP(Tabla1[[#This Row],[Dependencia]],Tabla3[Dependencia],Tabla3[Nivel],"Otros",0)</f>
        <v>Otros</v>
      </c>
    </row>
    <row r="40" spans="1:10" x14ac:dyDescent="0.25">
      <c r="A40" s="11">
        <v>46231</v>
      </c>
      <c r="B40" t="s">
        <v>74</v>
      </c>
      <c r="C40" s="5" t="s">
        <v>155</v>
      </c>
      <c r="D40" t="s">
        <v>12</v>
      </c>
      <c r="E40" t="s">
        <v>24</v>
      </c>
      <c r="F40" t="s">
        <v>24</v>
      </c>
      <c r="G40" t="s">
        <v>91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Gobernador</v>
      </c>
    </row>
    <row r="41" spans="1:10" x14ac:dyDescent="0.25">
      <c r="A41" s="11">
        <v>46231</v>
      </c>
      <c r="B41" t="s">
        <v>74</v>
      </c>
      <c r="C41" s="5" t="s">
        <v>156</v>
      </c>
      <c r="D41" t="s">
        <v>12</v>
      </c>
      <c r="E41" t="s">
        <v>15</v>
      </c>
      <c r="F41" t="s">
        <v>15</v>
      </c>
      <c r="G41" t="s">
        <v>157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11">
        <v>46231</v>
      </c>
      <c r="B42" t="s">
        <v>74</v>
      </c>
      <c r="C42" s="5" t="s">
        <v>158</v>
      </c>
      <c r="D42" t="s">
        <v>12</v>
      </c>
      <c r="E42" t="s">
        <v>10</v>
      </c>
      <c r="F42" t="s">
        <v>10</v>
      </c>
      <c r="G42" t="s">
        <v>79</v>
      </c>
      <c r="H42" t="s">
        <v>73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46231</v>
      </c>
      <c r="B43" t="s">
        <v>74</v>
      </c>
      <c r="C43" s="5" t="s">
        <v>159</v>
      </c>
      <c r="D43" t="s">
        <v>12</v>
      </c>
      <c r="E43" t="s">
        <v>19</v>
      </c>
      <c r="F43" t="s">
        <v>19</v>
      </c>
      <c r="G43" t="s">
        <v>160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46231</v>
      </c>
      <c r="B44" t="s">
        <v>72</v>
      </c>
      <c r="C44" s="5" t="s">
        <v>161</v>
      </c>
      <c r="D44" t="s">
        <v>13</v>
      </c>
      <c r="E44" t="s">
        <v>27</v>
      </c>
      <c r="F44" t="s">
        <v>95</v>
      </c>
      <c r="G44" t="s">
        <v>96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11">
        <v>46231</v>
      </c>
      <c r="B45" t="s">
        <v>72</v>
      </c>
      <c r="C45" s="5" t="s">
        <v>162</v>
      </c>
      <c r="D45" t="s">
        <v>12</v>
      </c>
      <c r="E45" t="s">
        <v>24</v>
      </c>
      <c r="F45" t="s">
        <v>24</v>
      </c>
      <c r="G45" t="s">
        <v>91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x14ac:dyDescent="0.25">
      <c r="A46" s="11">
        <v>46231</v>
      </c>
      <c r="B46" t="s">
        <v>72</v>
      </c>
      <c r="C46" s="5" t="s">
        <v>163</v>
      </c>
      <c r="D46" t="s">
        <v>12</v>
      </c>
      <c r="E46" t="s">
        <v>100</v>
      </c>
      <c r="F46" t="s">
        <v>100</v>
      </c>
      <c r="G46" t="s">
        <v>164</v>
      </c>
      <c r="H46" t="s">
        <v>11</v>
      </c>
      <c r="I46" t="str">
        <f>_xlfn.XLOOKUP(Tabla1[[#This Row],[Dependencia]],Tabla2[Dependencia],Tabla2[Clasificación],"XXX",0)</f>
        <v>Partidos</v>
      </c>
      <c r="J46" t="str">
        <f>_xlfn.XLOOKUP(Tabla1[[#This Row],[Dependencia]],Tabla3[Dependencia],Tabla3[Nivel],"Otros",0)</f>
        <v>Otros</v>
      </c>
    </row>
    <row r="47" spans="1:10" x14ac:dyDescent="0.25">
      <c r="A47" s="11">
        <v>46231</v>
      </c>
      <c r="B47" t="s">
        <v>72</v>
      </c>
      <c r="C47" s="5" t="s">
        <v>165</v>
      </c>
      <c r="D47" t="s">
        <v>12</v>
      </c>
      <c r="E47" t="s">
        <v>22</v>
      </c>
      <c r="F47" t="s">
        <v>22</v>
      </c>
      <c r="G47" t="s">
        <v>84</v>
      </c>
      <c r="H47" t="s">
        <v>68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46231</v>
      </c>
      <c r="B48" t="s">
        <v>72</v>
      </c>
      <c r="C48" s="5" t="s">
        <v>166</v>
      </c>
      <c r="D48" t="s">
        <v>12</v>
      </c>
      <c r="E48" t="s">
        <v>53</v>
      </c>
      <c r="F48" t="s">
        <v>53</v>
      </c>
      <c r="G48" t="s">
        <v>167</v>
      </c>
      <c r="H48" t="s">
        <v>68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11">
        <v>46231</v>
      </c>
      <c r="B49" t="s">
        <v>72</v>
      </c>
      <c r="C49" s="5" t="s">
        <v>168</v>
      </c>
      <c r="D49" t="s">
        <v>12</v>
      </c>
      <c r="E49" t="s">
        <v>10</v>
      </c>
      <c r="F49" t="s">
        <v>10</v>
      </c>
      <c r="G49" t="s">
        <v>79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46231</v>
      </c>
      <c r="B50" t="s">
        <v>78</v>
      </c>
      <c r="C50" s="5" t="s">
        <v>169</v>
      </c>
      <c r="D50" t="s">
        <v>13</v>
      </c>
      <c r="E50" t="s">
        <v>27</v>
      </c>
      <c r="F50" t="s">
        <v>95</v>
      </c>
      <c r="G50" t="s">
        <v>96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x14ac:dyDescent="0.25">
      <c r="A51" s="11">
        <v>46231</v>
      </c>
      <c r="B51" t="s">
        <v>78</v>
      </c>
      <c r="C51" s="5" t="s">
        <v>170</v>
      </c>
      <c r="D51" t="s">
        <v>12</v>
      </c>
      <c r="E51" t="s">
        <v>26</v>
      </c>
      <c r="F51" t="s">
        <v>82</v>
      </c>
      <c r="G51" t="s">
        <v>151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46231</v>
      </c>
      <c r="B52" t="s">
        <v>78</v>
      </c>
      <c r="C52" s="5" t="s">
        <v>171</v>
      </c>
      <c r="D52" t="s">
        <v>12</v>
      </c>
      <c r="E52" t="s">
        <v>16</v>
      </c>
      <c r="F52" t="s">
        <v>16</v>
      </c>
      <c r="G52" t="s">
        <v>172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46231</v>
      </c>
      <c r="B53" t="s">
        <v>78</v>
      </c>
      <c r="C53" s="5" t="s">
        <v>173</v>
      </c>
      <c r="D53" t="s">
        <v>12</v>
      </c>
      <c r="E53" t="s">
        <v>24</v>
      </c>
      <c r="F53" t="s">
        <v>24</v>
      </c>
      <c r="G53" t="s">
        <v>91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  <row r="54" spans="1:10" ht="30" x14ac:dyDescent="0.25">
      <c r="A54" s="11">
        <v>46231</v>
      </c>
      <c r="B54" t="s">
        <v>78</v>
      </c>
      <c r="C54" s="5" t="s">
        <v>174</v>
      </c>
      <c r="D54" t="s">
        <v>12</v>
      </c>
      <c r="E54" t="s">
        <v>27</v>
      </c>
      <c r="F54" t="s">
        <v>95</v>
      </c>
      <c r="G54" t="s">
        <v>175</v>
      </c>
      <c r="H54" t="s">
        <v>68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25">
      <c r="A55" s="11">
        <v>46231</v>
      </c>
      <c r="B55" t="s">
        <v>78</v>
      </c>
      <c r="C55" s="5" t="s">
        <v>176</v>
      </c>
      <c r="D55" t="s">
        <v>87</v>
      </c>
      <c r="E55" t="s">
        <v>15</v>
      </c>
      <c r="F55" t="s">
        <v>15</v>
      </c>
      <c r="G55" t="s">
        <v>177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11">
        <v>46231</v>
      </c>
      <c r="B56" t="s">
        <v>78</v>
      </c>
      <c r="C56" s="5" t="s">
        <v>88</v>
      </c>
      <c r="D56" t="s">
        <v>87</v>
      </c>
      <c r="E56" t="s">
        <v>16</v>
      </c>
      <c r="F56" t="s">
        <v>16</v>
      </c>
      <c r="G56" t="s">
        <v>89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46231</v>
      </c>
      <c r="B57" t="s">
        <v>78</v>
      </c>
      <c r="C57" s="5" t="s">
        <v>178</v>
      </c>
      <c r="D57" t="s">
        <v>13</v>
      </c>
      <c r="E57" t="s">
        <v>24</v>
      </c>
      <c r="F57" t="s">
        <v>24</v>
      </c>
      <c r="G57" t="s">
        <v>91</v>
      </c>
      <c r="H57" t="s">
        <v>68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Gobernador</v>
      </c>
    </row>
    <row r="58" spans="1:10" x14ac:dyDescent="0.25">
      <c r="A58" s="11">
        <v>46231</v>
      </c>
      <c r="B58" t="s">
        <v>78</v>
      </c>
      <c r="C58" s="5" t="s">
        <v>179</v>
      </c>
      <c r="D58" t="s">
        <v>12</v>
      </c>
      <c r="E58" t="s">
        <v>27</v>
      </c>
      <c r="F58" t="s">
        <v>95</v>
      </c>
      <c r="G58" t="s">
        <v>96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11">
        <v>46231</v>
      </c>
      <c r="B59" t="s">
        <v>78</v>
      </c>
      <c r="C59" s="5" t="s">
        <v>180</v>
      </c>
      <c r="D59" t="s">
        <v>12</v>
      </c>
      <c r="E59" t="s">
        <v>10</v>
      </c>
      <c r="F59" t="s">
        <v>10</v>
      </c>
      <c r="G59" t="s">
        <v>81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46231</v>
      </c>
      <c r="B60" t="s">
        <v>78</v>
      </c>
      <c r="C60" s="5" t="s">
        <v>181</v>
      </c>
      <c r="D60" t="s">
        <v>12</v>
      </c>
      <c r="E60" t="s">
        <v>10</v>
      </c>
      <c r="F60" t="s">
        <v>10</v>
      </c>
      <c r="G60" t="s">
        <v>79</v>
      </c>
      <c r="H60" t="s">
        <v>73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2026-07-28T15:56:42Z</dcterms:modified>
</cp:coreProperties>
</file>