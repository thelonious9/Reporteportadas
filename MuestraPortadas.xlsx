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66005485-087A-4EEF-9783-51B82615E70B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I2" i="1"/>
  <c r="J2" i="1"/>
</calcChain>
</file>

<file path=xl/sharedStrings.xml><?xml version="1.0" encoding="utf-8"?>
<sst xmlns="http://schemas.openxmlformats.org/spreadsheetml/2006/main" count="622" uniqueCount="198">
  <si>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</si>
  <si>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</si>
  <si>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</si>
  <si>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</si>
  <si>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</si>
  <si>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</si>
  <si>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</si>
  <si>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</si>
  <si>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</si>
  <si>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</si>
  <si>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</si>
  <si>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</si>
  <si>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</si>
  <si>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</si>
  <si>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</si>
  <si>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</si>
  <si>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</si>
  <si>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</si>
  <si>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</si>
  <si>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</si>
  <si>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</si>
  <si>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</si>
  <si>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</si>
  <si>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</si>
  <si>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</si>
  <si>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</si>
  <si>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</si>
  <si>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</si>
  <si>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</si>
  <si>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</si>
  <si>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</si>
  <si>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</si>
  <si>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</si>
  <si>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</si>
  <si>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</si>
  <si>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</si>
  <si>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</si>
  <si>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</si>
  <si>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</si>
  <si>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</si>
  <si>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</si>
  <si>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</si>
  <si>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</si>
  <si>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</si>
  <si>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</si>
  <si>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</si>
  <si>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</si>
  <si>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</si>
  <si>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</si>
  <si>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</si>
  <si>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</si>
  <si>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</si>
  <si>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</si>
  <si>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</si>
  <si>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</si>
  <si>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</si>
  <si>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</si>
  <si>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</si>
  <si>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</si>
  <si>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</si>
  <si>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</si>
  <si>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</si>
  <si>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</si>
  <si>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</si>
  <si>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</si>
  <si>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</si>
  <si>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</si>
  <si>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</si>
  <si>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</si>
  <si>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</si>
  <si>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</si>
  <si>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</si>
  <si>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</si>
  <si>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</si>
  <si>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</si>
  <si>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</si>
  <si>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</si>
  <si>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</si>
  <si>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</si>
  <si>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</si>
  <si>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</si>
  <si>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Usa el puente peatonal</t>
  </si>
  <si>
    <t>Positiva</t>
  </si>
  <si>
    <t>Mundial De Futbol</t>
  </si>
  <si>
    <t>La Jornada Hidalgo</t>
  </si>
  <si>
    <t>Alianzas Electorales</t>
  </si>
  <si>
    <t>Tauromaquia</t>
  </si>
  <si>
    <t>Sipdus</t>
  </si>
  <si>
    <t>Tren México Querétaro</t>
  </si>
  <si>
    <t>Sucesión alcaldía</t>
  </si>
  <si>
    <t>Regidor</t>
  </si>
  <si>
    <t>Alerta Meteorológica</t>
  </si>
  <si>
    <t>Inhide</t>
  </si>
  <si>
    <t>Día del Niño</t>
  </si>
  <si>
    <t>Alcalde</t>
  </si>
  <si>
    <t>OEEH</t>
  </si>
  <si>
    <t>Expo feria</t>
  </si>
  <si>
    <t>Rehabilitación Vial</t>
  </si>
  <si>
    <t>Temas internacionales</t>
  </si>
  <si>
    <t>Siguen hallando restos históricos</t>
  </si>
  <si>
    <t>Festival de danza reúne a más de 400 bailarines</t>
  </si>
  <si>
    <t>Festival Cultural</t>
  </si>
  <si>
    <t>Registra Hidalgo alto riesgo de inundación</t>
  </si>
  <si>
    <t>Prevención De Riesgos</t>
  </si>
  <si>
    <t>Señalan inseguridad en paraderos públicos</t>
  </si>
  <si>
    <t>Movilidad urbana</t>
  </si>
  <si>
    <t>Limpia y restaurada luce plaza recuperada</t>
  </si>
  <si>
    <t>Recuperación De Espacios Públicos</t>
  </si>
  <si>
    <t>Inician preparativos para el Día del Niño</t>
  </si>
  <si>
    <t>Vuelve a brillar</t>
  </si>
  <si>
    <t>Colonias en MR en riesgo por deslaves e inundaciones</t>
  </si>
  <si>
    <t>Participación ciudadana, reto del INE</t>
  </si>
  <si>
    <t>Elecciones</t>
  </si>
  <si>
    <t>Baja la incidencia delictiva en 2026</t>
  </si>
  <si>
    <t>Incidencia Delictiva</t>
  </si>
  <si>
    <t>Van cuatro suicidios de estudiantes</t>
  </si>
  <si>
    <t>Suicidio Estudiante</t>
  </si>
  <si>
    <t>Operativo en Cuautepec deja a dos detenidos</t>
  </si>
  <si>
    <t>Combate a la delincuencia</t>
  </si>
  <si>
    <t>Sigue Hidalgo en primer lugar en Huachicoleo</t>
  </si>
  <si>
    <t>Huachicol</t>
  </si>
  <si>
    <t>El dirigente del PRI niega precandidatos para Pachuca</t>
  </si>
  <si>
    <t>PRI</t>
  </si>
  <si>
    <t>Sin sentencia, 29% de los feminicidios</t>
  </si>
  <si>
    <t>Feminicidio</t>
  </si>
  <si>
    <t>Reescriben su pasado</t>
  </si>
  <si>
    <t>Deportes</t>
  </si>
  <si>
    <t>CLAUSURARON ESPECTACULARES EN LA REFORMA</t>
  </si>
  <si>
    <t>Imagen Urbana</t>
  </si>
  <si>
    <t>Meten emoción a la Premiere</t>
  </si>
  <si>
    <t>ELIGIERON AL NUEVO América P10 3 P12 3 LÍDER DEL SUTSPEEH</t>
  </si>
  <si>
    <t>Dirigencia SUTSPEEH</t>
  </si>
  <si>
    <t>Buscan a 33 hidalguenses con ficha roja vigente de Interpol</t>
  </si>
  <si>
    <t>Ficha De Búsqueda</t>
  </si>
  <si>
    <t>Reportan baja en número de carpetas de investigación</t>
  </si>
  <si>
    <t>La SSPH desmantela bodega de autopartes</t>
  </si>
  <si>
    <t>Invertirá estado 28 mmdp en 2026, anuncia Menchaca</t>
  </si>
  <si>
    <t>Disfrutan turistas de paseo por el Corredor de la Sierra</t>
  </si>
  <si>
    <t>ASEH realiza observaciones a exalcaldesa de Tizayuca</t>
  </si>
  <si>
    <t>ASEH</t>
  </si>
  <si>
    <t>Observaciones ASEH</t>
  </si>
  <si>
    <t>El estado se declara listo para albergar torneos</t>
  </si>
  <si>
    <t>Revelan hoy avance en 48 de 54 temas del T-MEC que fueron cuestionados por EU</t>
  </si>
  <si>
    <t>Resguardan especies protegidas tras aseguramiento</t>
  </si>
  <si>
    <t>Rescate de especies</t>
  </si>
  <si>
    <t>Salud mental: ellos se resisten a buscar ayuda</t>
  </si>
  <si>
    <t>Atención Socioemocional</t>
  </si>
  <si>
    <t>Crecen delitos contra la vida y lesiones en marzo</t>
  </si>
  <si>
    <t>Reyes anticipa nueva intervención en Jardín del Arte</t>
  </si>
  <si>
    <t>CSP refrenda cooperación para Coatlicue</t>
  </si>
  <si>
    <t>Concluye la Feria Ganadera</t>
  </si>
  <si>
    <t>Ahora, cuando parece moda hablar de soberanía, sumemos al tema  el uso cotidiano de nuestra lengua para privilegiarlo, y la asimilación  de otras imprescindibles a las actividades económicas, profesionales y  culturales: vivamos el español”.</t>
  </si>
  <si>
    <t>Hidalgo entre los estados más seguros del país,  según organismo federal</t>
  </si>
  <si>
    <t>Detienen en Tizayuca a presunto feminicida de Veracruz</t>
  </si>
  <si>
    <t>Detención Feminicida</t>
  </si>
  <si>
    <t>Buscarán triunfar estudiantes hidalguenses en concurso internacional</t>
  </si>
  <si>
    <t>Campeonato de robótica</t>
  </si>
  <si>
    <t>Pronostican lluvias fuertes en Hidalgo ante paso de frente frío 45</t>
  </si>
  <si>
    <t>Conagua</t>
  </si>
  <si>
    <t>No habrá alianzas a nivel nacional: Samperio</t>
  </si>
  <si>
    <t>SSPH desarticula bodega con autopartes y droga: dos detenidos</t>
  </si>
  <si>
    <t>Locatarios del laminado denuncias faltas a la moral en el sector</t>
  </si>
  <si>
    <t>Abanderan a estudiantes de Hidalgo rumbo al mundial de robótica VEX</t>
  </si>
  <si>
    <t>PILARES significan un punto de innovación y de encuentro: Anabel Mateos</t>
  </si>
  <si>
    <t>Pilares</t>
  </si>
  <si>
    <t>Gobierno constructores van juntos</t>
  </si>
  <si>
    <t>Reunión Con Empresarios</t>
  </si>
  <si>
    <t>Estamos rescatando y ordenando nuestros espacios públicos"": Jorge Reyes</t>
  </si>
  <si>
    <t>Capturan a ""El Bukanas""</t>
  </si>
  <si>
    <t>Procuraduría Agraria</t>
  </si>
  <si>
    <t>Detención</t>
  </si>
  <si>
    <t>Taurinos acusan intereses políticos y económicos</t>
  </si>
  <si>
    <t>GLPVEM</t>
  </si>
  <si>
    <t>Incautan red de inmuebles de desmantelamiento</t>
  </si>
  <si>
    <t>Bomberos de Tula atienden parto en terminal de microbuses</t>
  </si>
  <si>
    <t>Atención a la ciudadanía</t>
  </si>
  <si>
    <t>El talento de la niñez transforma Atitalaquia con respaldo de Claudia Sandoval</t>
  </si>
  <si>
    <t>Junto a la CMIC, Menchaca fortalece infraestructura de Hidalgo</t>
  </si>
  <si>
    <t>Policía de Hidalgo desarticula bodega utilizada para almacenar autopartes y desmantelar vehículos robados en Cuautepec</t>
  </si>
  <si>
    <t>Tras 25 años de abandono, el rastro municipal de Tula se transforma en el gobierno de Cristhian Martínez</t>
  </si>
  <si>
    <t>Rastro municipal</t>
  </si>
  <si>
    <t>Policías de Pachuca detienen a ""Spiderman""</t>
  </si>
  <si>
    <t>Policía municipal</t>
  </si>
  <si>
    <t>Diputado Alejandro Alcántara recibe a cooperativas en el Primer Encuentro por la Economía Social y el Cooperativismo</t>
  </si>
  <si>
    <t>Economía social</t>
  </si>
  <si>
    <t>Juntos llenaron de ritmo la Ganadera 2026</t>
  </si>
  <si>
    <t>Aseguran a sujeto por pintar bancas recién rehabilitadas en plaza</t>
  </si>
  <si>
    <t>Pancho Barraza dio cerrojazo de nuevo festejo en Hidalgo</t>
  </si>
  <si>
    <t>Detienen en Hidalgo a presunto feminicida de Veracruz</t>
  </si>
  <si>
    <t>SSPH desarticula bodega utilizada para almacenar autopartes y desmantelar vehículos robados</t>
  </si>
  <si>
    <t>GREGJOSH salón de eventos</t>
  </si>
  <si>
    <t>Aseguran predios; almacenaban autopartes y desarmaban autos</t>
  </si>
  <si>
    <t>Presenta pachuqueña degustación gastronómica en París</t>
  </si>
  <si>
    <t>Festival Gastronómico</t>
  </si>
  <si>
    <t>¿Por qué reparan calles en Pachuca sólo a la mitad, mientras las otras partes en pésimas condiciones? Hay gato encerrado en esto, no cabe duda...</t>
  </si>
  <si>
    <t>Editorial</t>
  </si>
  <si>
    <t>Exigen regidores de Cuautepec rendición de cuentas</t>
  </si>
  <si>
    <t>Transparencia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</si>
</sst>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5" headerRowBorderDxfId="4">
  <autoFilter ref="A1:J67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topLeftCell="D1" workbookViewId="0">
      <selection activeCell="J1" sqref="J1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71</v>
      </c>
    </row>
    <row r="2" spans="1:10" x14ac:dyDescent="0.35">
      <c r="A2" s="5">
        <v>46132</v>
      </c>
      <c r="B2" t="s">
        <v>79</v>
      </c>
      <c r="C2" s="6" t="s">
        <v>99</v>
      </c>
      <c r="D2" t="s">
        <v>12</v>
      </c>
      <c r="E2" t="s">
        <v>14</v>
      </c>
      <c r="F2" t="s">
        <v>14</v>
      </c>
      <c r="G2" t="s">
        <v>88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46132</v>
      </c>
      <c r="B3" t="s">
        <v>79</v>
      </c>
      <c r="C3" s="6" t="s">
        <v>100</v>
      </c>
      <c r="D3" t="s">
        <v>9</v>
      </c>
      <c r="E3" t="s">
        <v>30</v>
      </c>
      <c r="F3" t="s">
        <v>30</v>
      </c>
      <c r="G3" t="s">
        <v>101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5">
        <v>46132</v>
      </c>
      <c r="B4" t="s">
        <v>79</v>
      </c>
      <c r="C4" s="6" t="s">
        <v>102</v>
      </c>
      <c r="D4" t="s">
        <v>13</v>
      </c>
      <c r="E4" t="s">
        <v>21</v>
      </c>
      <c r="F4" t="s">
        <v>21</v>
      </c>
      <c r="G4" t="s">
        <v>103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5">
        <v>46132</v>
      </c>
      <c r="B5" t="s">
        <v>79</v>
      </c>
      <c r="C5" s="6" t="s">
        <v>104</v>
      </c>
      <c r="D5" t="s">
        <v>12</v>
      </c>
      <c r="E5" t="s">
        <v>17</v>
      </c>
      <c r="F5" t="s">
        <v>17</v>
      </c>
      <c r="G5" t="s">
        <v>105</v>
      </c>
      <c r="H5" t="s">
        <v>16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46132</v>
      </c>
      <c r="B6" t="s">
        <v>79</v>
      </c>
      <c r="C6" s="6" t="s">
        <v>106</v>
      </c>
      <c r="D6" t="s">
        <v>12</v>
      </c>
      <c r="E6" t="s">
        <v>17</v>
      </c>
      <c r="F6" t="s">
        <v>17</v>
      </c>
      <c r="G6" t="s">
        <v>107</v>
      </c>
      <c r="H6" t="s">
        <v>82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46132</v>
      </c>
      <c r="B7" t="s">
        <v>79</v>
      </c>
      <c r="C7" s="6" t="s">
        <v>108</v>
      </c>
      <c r="D7" t="s">
        <v>12</v>
      </c>
      <c r="E7" t="s">
        <v>17</v>
      </c>
      <c r="F7" t="s">
        <v>17</v>
      </c>
      <c r="G7" t="s">
        <v>93</v>
      </c>
      <c r="H7" t="s">
        <v>11</v>
      </c>
      <c r="I7" t="str">
        <f>_xlfn.XLOOKUP(Tabla1[[#This Row],[Dependencia]],Tabla2[Dependencia],Tabla2[Clasificación],"No indexado")</f>
        <v>Alcaldías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46132</v>
      </c>
      <c r="B8" t="s">
        <v>69</v>
      </c>
      <c r="C8" s="6" t="s">
        <v>109</v>
      </c>
      <c r="D8" t="s">
        <v>9</v>
      </c>
      <c r="E8" t="s">
        <v>17</v>
      </c>
      <c r="F8" t="s">
        <v>17</v>
      </c>
      <c r="G8" t="s">
        <v>107</v>
      </c>
      <c r="H8" t="s">
        <v>82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46132</v>
      </c>
      <c r="B9" t="s">
        <v>69</v>
      </c>
      <c r="C9" s="6" t="s">
        <v>110</v>
      </c>
      <c r="D9" t="s">
        <v>13</v>
      </c>
      <c r="E9" t="s">
        <v>17</v>
      </c>
      <c r="F9" t="s">
        <v>17</v>
      </c>
      <c r="G9" t="s">
        <v>103</v>
      </c>
      <c r="H9" t="s">
        <v>11</v>
      </c>
      <c r="I9" t="str">
        <f>_xlfn.XLOOKUP(Tabla1[[#This Row],[Dependencia]],Tabla2[Dependencia],Tabla2[Clasificación],"No indexado")</f>
        <v>Alcaldías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46132</v>
      </c>
      <c r="B10" t="s">
        <v>69</v>
      </c>
      <c r="C10" s="6" t="s">
        <v>111</v>
      </c>
      <c r="D10" t="s">
        <v>12</v>
      </c>
      <c r="E10" t="s">
        <v>10</v>
      </c>
      <c r="F10" t="s">
        <v>10</v>
      </c>
      <c r="G10" t="s">
        <v>112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46132</v>
      </c>
      <c r="B11" t="s">
        <v>69</v>
      </c>
      <c r="C11" s="6" t="s">
        <v>113</v>
      </c>
      <c r="D11" t="s">
        <v>12</v>
      </c>
      <c r="E11" t="s">
        <v>18</v>
      </c>
      <c r="F11" t="s">
        <v>18</v>
      </c>
      <c r="G11" t="s">
        <v>114</v>
      </c>
      <c r="H11" t="s">
        <v>82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5">
        <v>46132</v>
      </c>
      <c r="B12" t="s">
        <v>69</v>
      </c>
      <c r="C12" s="6" t="s">
        <v>115</v>
      </c>
      <c r="D12" t="s">
        <v>12</v>
      </c>
      <c r="E12" t="s">
        <v>27</v>
      </c>
      <c r="F12" t="s">
        <v>27</v>
      </c>
      <c r="G12" t="s">
        <v>116</v>
      </c>
      <c r="H12" t="s">
        <v>16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5">
        <v>46132</v>
      </c>
      <c r="B13" t="s">
        <v>69</v>
      </c>
      <c r="C13" s="6" t="s">
        <v>117</v>
      </c>
      <c r="D13" t="s">
        <v>12</v>
      </c>
      <c r="E13" t="s">
        <v>23</v>
      </c>
      <c r="F13" t="s">
        <v>23</v>
      </c>
      <c r="G13" t="s">
        <v>118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35">
      <c r="A14" s="5">
        <v>46132</v>
      </c>
      <c r="B14" t="s">
        <v>69</v>
      </c>
      <c r="C14" s="6" t="s">
        <v>119</v>
      </c>
      <c r="D14" t="s">
        <v>12</v>
      </c>
      <c r="E14" t="s">
        <v>18</v>
      </c>
      <c r="F14" t="s">
        <v>18</v>
      </c>
      <c r="G14" t="s">
        <v>120</v>
      </c>
      <c r="H14" t="s">
        <v>16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46132</v>
      </c>
      <c r="B15" t="s">
        <v>69</v>
      </c>
      <c r="C15" s="6" t="s">
        <v>121</v>
      </c>
      <c r="D15" t="s">
        <v>12</v>
      </c>
      <c r="E15" t="s">
        <v>122</v>
      </c>
      <c r="F15" t="s">
        <v>2</v>
      </c>
      <c r="G15" t="s">
        <v>89</v>
      </c>
      <c r="H15" t="s">
        <v>11</v>
      </c>
      <c r="I15" t="str">
        <f>_xlfn.XLOOKUP(Tabla1[[#This Row],[Dependencia]],Tabla2[Dependencia],Tabla2[Clasificación],"No indexado")</f>
        <v>Partidos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46132</v>
      </c>
      <c r="B16" t="s">
        <v>69</v>
      </c>
      <c r="C16" s="6" t="s">
        <v>123</v>
      </c>
      <c r="D16" t="s">
        <v>13</v>
      </c>
      <c r="E16" t="s">
        <v>18</v>
      </c>
      <c r="F16" t="s">
        <v>18</v>
      </c>
      <c r="G16" t="s">
        <v>124</v>
      </c>
      <c r="H16" t="s">
        <v>16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46132</v>
      </c>
      <c r="B17" t="s">
        <v>69</v>
      </c>
      <c r="C17" s="6" t="s">
        <v>125</v>
      </c>
      <c r="D17" t="s">
        <v>12</v>
      </c>
      <c r="E17" t="s">
        <v>10</v>
      </c>
      <c r="F17" t="s">
        <v>10</v>
      </c>
      <c r="G17" t="s">
        <v>126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46132</v>
      </c>
      <c r="B18" t="s">
        <v>69</v>
      </c>
      <c r="C18" s="6" t="s">
        <v>127</v>
      </c>
      <c r="D18" t="s">
        <v>9</v>
      </c>
      <c r="E18" t="s">
        <v>17</v>
      </c>
      <c r="F18" t="s">
        <v>17</v>
      </c>
      <c r="G18" t="s">
        <v>128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46132</v>
      </c>
      <c r="B19" t="s">
        <v>69</v>
      </c>
      <c r="C19" s="6" t="s">
        <v>129</v>
      </c>
      <c r="D19" t="s">
        <v>12</v>
      </c>
      <c r="E19" t="s">
        <v>10</v>
      </c>
      <c r="F19" t="s">
        <v>10</v>
      </c>
      <c r="G19" t="s">
        <v>126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29" x14ac:dyDescent="0.35">
      <c r="A20" s="5">
        <v>46132</v>
      </c>
      <c r="B20" t="s">
        <v>69</v>
      </c>
      <c r="C20" s="6" t="s">
        <v>130</v>
      </c>
      <c r="D20" t="s">
        <v>12</v>
      </c>
      <c r="E20" t="s">
        <v>41</v>
      </c>
      <c r="F20" t="s">
        <v>41</v>
      </c>
      <c r="G20" t="s">
        <v>131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46132</v>
      </c>
      <c r="B21" t="s">
        <v>73</v>
      </c>
      <c r="C21" s="6" t="s">
        <v>132</v>
      </c>
      <c r="D21" t="s">
        <v>13</v>
      </c>
      <c r="E21" t="s">
        <v>18</v>
      </c>
      <c r="F21" t="s">
        <v>18</v>
      </c>
      <c r="G21" t="s">
        <v>133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46132</v>
      </c>
      <c r="B22" t="s">
        <v>73</v>
      </c>
      <c r="C22" s="6" t="s">
        <v>134</v>
      </c>
      <c r="D22" t="s">
        <v>12</v>
      </c>
      <c r="E22" t="s">
        <v>18</v>
      </c>
      <c r="F22" t="s">
        <v>18</v>
      </c>
      <c r="G22" t="s">
        <v>114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46132</v>
      </c>
      <c r="B23" t="s">
        <v>73</v>
      </c>
      <c r="C23" s="6" t="s">
        <v>135</v>
      </c>
      <c r="D23" t="s">
        <v>12</v>
      </c>
      <c r="E23" t="s">
        <v>23</v>
      </c>
      <c r="F23" t="s">
        <v>23</v>
      </c>
      <c r="G23" t="s">
        <v>118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46132</v>
      </c>
      <c r="B24" t="s">
        <v>73</v>
      </c>
      <c r="C24" s="6" t="s">
        <v>136</v>
      </c>
      <c r="D24" t="s">
        <v>12</v>
      </c>
      <c r="E24" t="s">
        <v>25</v>
      </c>
      <c r="F24" t="s">
        <v>25</v>
      </c>
      <c r="G24" t="s">
        <v>83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Gobernador</v>
      </c>
    </row>
    <row r="25" spans="1:10" x14ac:dyDescent="0.35">
      <c r="A25" s="5">
        <v>46132</v>
      </c>
      <c r="B25" t="s">
        <v>73</v>
      </c>
      <c r="C25" s="6" t="s">
        <v>137</v>
      </c>
      <c r="D25" t="s">
        <v>9</v>
      </c>
      <c r="E25" t="s">
        <v>10</v>
      </c>
      <c r="F25" t="s">
        <v>10</v>
      </c>
      <c r="G25" t="s">
        <v>68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46132</v>
      </c>
      <c r="B26" t="s">
        <v>73</v>
      </c>
      <c r="C26" s="6" t="s">
        <v>138</v>
      </c>
      <c r="D26" t="s">
        <v>12</v>
      </c>
      <c r="E26" t="s">
        <v>36</v>
      </c>
      <c r="F26" t="s">
        <v>139</v>
      </c>
      <c r="G26" t="s">
        <v>140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46132</v>
      </c>
      <c r="B27" t="s">
        <v>73</v>
      </c>
      <c r="C27" s="6" t="s">
        <v>141</v>
      </c>
      <c r="D27" t="s">
        <v>12</v>
      </c>
      <c r="E27" t="s">
        <v>27</v>
      </c>
      <c r="F27" t="s">
        <v>92</v>
      </c>
      <c r="G27" t="s">
        <v>83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29" x14ac:dyDescent="0.35">
      <c r="A28" s="5">
        <v>46132</v>
      </c>
      <c r="B28" t="s">
        <v>73</v>
      </c>
      <c r="C28" s="6" t="s">
        <v>142</v>
      </c>
      <c r="D28" t="s">
        <v>12</v>
      </c>
      <c r="E28" t="s">
        <v>14</v>
      </c>
      <c r="F28" t="s">
        <v>14</v>
      </c>
      <c r="G28" t="s">
        <v>98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46132</v>
      </c>
      <c r="B29" t="s">
        <v>73</v>
      </c>
      <c r="C29" s="6" t="s">
        <v>143</v>
      </c>
      <c r="D29" t="s">
        <v>12</v>
      </c>
      <c r="E29" t="s">
        <v>21</v>
      </c>
      <c r="F29" t="s">
        <v>21</v>
      </c>
      <c r="G29" t="s">
        <v>144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5">
        <v>46132</v>
      </c>
      <c r="B30" t="s">
        <v>73</v>
      </c>
      <c r="C30" s="6" t="s">
        <v>145</v>
      </c>
      <c r="D30" t="s">
        <v>12</v>
      </c>
      <c r="E30" t="s">
        <v>10</v>
      </c>
      <c r="F30" t="s">
        <v>10</v>
      </c>
      <c r="G30" t="s">
        <v>146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46132</v>
      </c>
      <c r="B31" t="s">
        <v>84</v>
      </c>
      <c r="C31" s="6" t="s">
        <v>147</v>
      </c>
      <c r="D31" t="s">
        <v>12</v>
      </c>
      <c r="E31" t="s">
        <v>18</v>
      </c>
      <c r="F31" t="s">
        <v>18</v>
      </c>
      <c r="G31" t="s">
        <v>114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5">
        <v>46132</v>
      </c>
      <c r="B32" t="s">
        <v>84</v>
      </c>
      <c r="C32" s="6" t="s">
        <v>148</v>
      </c>
      <c r="D32" t="s">
        <v>13</v>
      </c>
      <c r="E32" t="s">
        <v>17</v>
      </c>
      <c r="F32" t="s">
        <v>94</v>
      </c>
      <c r="G32" t="s">
        <v>107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x14ac:dyDescent="0.35">
      <c r="A33" s="5">
        <v>46132</v>
      </c>
      <c r="B33" t="s">
        <v>84</v>
      </c>
      <c r="C33" s="6" t="s">
        <v>149</v>
      </c>
      <c r="D33" t="s">
        <v>12</v>
      </c>
      <c r="E33" t="s">
        <v>14</v>
      </c>
      <c r="F33" t="s">
        <v>14</v>
      </c>
      <c r="G33" t="s">
        <v>98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35">
      <c r="A34" s="5">
        <v>46132</v>
      </c>
      <c r="B34" t="s">
        <v>84</v>
      </c>
      <c r="C34" s="6" t="s">
        <v>150</v>
      </c>
      <c r="D34" t="s">
        <v>9</v>
      </c>
      <c r="E34" t="s">
        <v>31</v>
      </c>
      <c r="F34" t="s">
        <v>95</v>
      </c>
      <c r="G34" t="s">
        <v>96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58" x14ac:dyDescent="0.35">
      <c r="A35" s="5">
        <v>46132</v>
      </c>
      <c r="B35" t="s">
        <v>84</v>
      </c>
      <c r="C35" s="6" t="s">
        <v>151</v>
      </c>
      <c r="D35" t="s">
        <v>12</v>
      </c>
      <c r="E35" t="s">
        <v>10</v>
      </c>
      <c r="F35" t="s">
        <v>10</v>
      </c>
      <c r="G35" t="s">
        <v>68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46132</v>
      </c>
      <c r="B36" t="s">
        <v>70</v>
      </c>
      <c r="C36" s="6" t="s">
        <v>152</v>
      </c>
      <c r="D36" t="s">
        <v>13</v>
      </c>
      <c r="E36" t="s">
        <v>18</v>
      </c>
      <c r="F36" t="s">
        <v>18</v>
      </c>
      <c r="G36" t="s">
        <v>114</v>
      </c>
      <c r="H36" t="s">
        <v>82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35">
      <c r="A37" s="5">
        <v>46132</v>
      </c>
      <c r="B37" t="s">
        <v>70</v>
      </c>
      <c r="C37" s="6" t="s">
        <v>153</v>
      </c>
      <c r="D37" t="s">
        <v>12</v>
      </c>
      <c r="E37" t="s">
        <v>23</v>
      </c>
      <c r="F37" t="s">
        <v>23</v>
      </c>
      <c r="G37" t="s">
        <v>154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46132</v>
      </c>
      <c r="B38" t="s">
        <v>70</v>
      </c>
      <c r="C38" s="6" t="s">
        <v>155</v>
      </c>
      <c r="D38" t="s">
        <v>12</v>
      </c>
      <c r="E38" t="s">
        <v>27</v>
      </c>
      <c r="F38" t="s">
        <v>2</v>
      </c>
      <c r="G38" t="s">
        <v>156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46132</v>
      </c>
      <c r="B39" t="s">
        <v>70</v>
      </c>
      <c r="C39" s="6" t="s">
        <v>157</v>
      </c>
      <c r="D39" t="s">
        <v>12</v>
      </c>
      <c r="E39" t="s">
        <v>14</v>
      </c>
      <c r="F39" t="s">
        <v>158</v>
      </c>
      <c r="G39" t="s">
        <v>91</v>
      </c>
      <c r="H39" t="s">
        <v>11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46132</v>
      </c>
      <c r="B40" t="s">
        <v>78</v>
      </c>
      <c r="C40" s="6" t="s">
        <v>159</v>
      </c>
      <c r="D40" t="s">
        <v>13</v>
      </c>
      <c r="E40" t="s">
        <v>46</v>
      </c>
      <c r="F40" t="s">
        <v>46</v>
      </c>
      <c r="G40" t="s">
        <v>85</v>
      </c>
      <c r="H40" t="s">
        <v>11</v>
      </c>
      <c r="I40" t="str">
        <f>_xlfn.XLOOKUP(Tabla1[[#This Row],[Dependencia]],Tabla2[Dependencia],Tabla2[Clasificación],"No indexado")</f>
        <v>Partidos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46132</v>
      </c>
      <c r="B41" t="s">
        <v>78</v>
      </c>
      <c r="C41" s="6" t="s">
        <v>160</v>
      </c>
      <c r="D41" t="s">
        <v>12</v>
      </c>
      <c r="E41" t="s">
        <v>23</v>
      </c>
      <c r="F41" t="s">
        <v>23</v>
      </c>
      <c r="G41" t="s">
        <v>118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29" x14ac:dyDescent="0.35">
      <c r="A42" s="5">
        <v>46132</v>
      </c>
      <c r="B42" t="s">
        <v>78</v>
      </c>
      <c r="C42" s="6" t="s">
        <v>161</v>
      </c>
      <c r="D42" t="s">
        <v>12</v>
      </c>
      <c r="E42" t="s">
        <v>10</v>
      </c>
      <c r="F42" t="s">
        <v>10</v>
      </c>
      <c r="G42" t="s">
        <v>68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29" x14ac:dyDescent="0.35">
      <c r="A43" s="5">
        <v>46132</v>
      </c>
      <c r="B43" t="s">
        <v>78</v>
      </c>
      <c r="C43" s="6" t="s">
        <v>162</v>
      </c>
      <c r="D43" t="s">
        <v>12</v>
      </c>
      <c r="E43" t="s">
        <v>27</v>
      </c>
      <c r="F43" t="s">
        <v>27</v>
      </c>
      <c r="G43" t="s">
        <v>156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29" x14ac:dyDescent="0.35">
      <c r="A44" s="5">
        <v>46132</v>
      </c>
      <c r="B44" t="s">
        <v>78</v>
      </c>
      <c r="C44" s="6" t="s">
        <v>163</v>
      </c>
      <c r="D44" t="s">
        <v>12</v>
      </c>
      <c r="E44" t="s">
        <v>17</v>
      </c>
      <c r="F44" t="s">
        <v>17</v>
      </c>
      <c r="G44" t="s">
        <v>164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46132</v>
      </c>
      <c r="B45" t="s">
        <v>80</v>
      </c>
      <c r="C45" s="6" t="s">
        <v>165</v>
      </c>
      <c r="D45" t="s">
        <v>12</v>
      </c>
      <c r="E45" t="s">
        <v>25</v>
      </c>
      <c r="F45" t="s">
        <v>25</v>
      </c>
      <c r="G45" t="s">
        <v>166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ht="29" x14ac:dyDescent="0.35">
      <c r="A46" s="5">
        <v>46132</v>
      </c>
      <c r="B46" t="s">
        <v>80</v>
      </c>
      <c r="C46" s="6" t="s">
        <v>167</v>
      </c>
      <c r="D46" t="s">
        <v>13</v>
      </c>
      <c r="E46" t="s">
        <v>17</v>
      </c>
      <c r="F46" t="s">
        <v>94</v>
      </c>
      <c r="G46" t="s">
        <v>107</v>
      </c>
      <c r="H46" t="s">
        <v>82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46132</v>
      </c>
      <c r="B47" t="s">
        <v>80</v>
      </c>
      <c r="C47" s="6" t="s">
        <v>168</v>
      </c>
      <c r="D47" t="s">
        <v>12</v>
      </c>
      <c r="E47" t="s">
        <v>14</v>
      </c>
      <c r="F47" t="s">
        <v>169</v>
      </c>
      <c r="G47" t="s">
        <v>170</v>
      </c>
      <c r="H47" t="s">
        <v>11</v>
      </c>
      <c r="I47" t="str">
        <f>_xlfn.XLOOKUP(Tabla1[[#This Row],[Dependencia]],Tabla2[Dependencia],Tabla2[Clasificación],"No indexado")</f>
        <v>Presidencia de la República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46132</v>
      </c>
      <c r="B48" t="s">
        <v>80</v>
      </c>
      <c r="C48" s="6" t="s">
        <v>171</v>
      </c>
      <c r="D48" t="s">
        <v>12</v>
      </c>
      <c r="E48" t="s">
        <v>36</v>
      </c>
      <c r="F48" t="s">
        <v>172</v>
      </c>
      <c r="G48" t="s">
        <v>86</v>
      </c>
      <c r="H48" t="s">
        <v>16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x14ac:dyDescent="0.35">
      <c r="A49" s="5">
        <v>46132</v>
      </c>
      <c r="B49" t="s">
        <v>80</v>
      </c>
      <c r="C49" s="6" t="s">
        <v>173</v>
      </c>
      <c r="D49" t="s">
        <v>12</v>
      </c>
      <c r="E49" t="s">
        <v>23</v>
      </c>
      <c r="F49" t="s">
        <v>23</v>
      </c>
      <c r="G49" t="s">
        <v>118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35">
      <c r="A50" s="5">
        <v>46132</v>
      </c>
      <c r="B50" t="s">
        <v>76</v>
      </c>
      <c r="C50" s="6" t="s">
        <v>174</v>
      </c>
      <c r="D50" t="s">
        <v>12</v>
      </c>
      <c r="E50" t="s">
        <v>17</v>
      </c>
      <c r="F50" t="s">
        <v>17</v>
      </c>
      <c r="G50" t="s">
        <v>175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46132</v>
      </c>
      <c r="B51" t="s">
        <v>76</v>
      </c>
      <c r="C51" s="6" t="s">
        <v>176</v>
      </c>
      <c r="D51" t="s">
        <v>12</v>
      </c>
      <c r="E51" t="s">
        <v>17</v>
      </c>
      <c r="F51" t="s">
        <v>94</v>
      </c>
      <c r="G51" t="s">
        <v>93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46132</v>
      </c>
      <c r="B52" t="s">
        <v>76</v>
      </c>
      <c r="C52" s="6" t="s">
        <v>177</v>
      </c>
      <c r="D52" t="s">
        <v>13</v>
      </c>
      <c r="E52" t="s">
        <v>25</v>
      </c>
      <c r="F52" t="s">
        <v>25</v>
      </c>
      <c r="G52" t="s">
        <v>166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43.5" x14ac:dyDescent="0.35">
      <c r="A53" s="5">
        <v>46132</v>
      </c>
      <c r="B53" t="s">
        <v>76</v>
      </c>
      <c r="C53" s="6" t="s">
        <v>178</v>
      </c>
      <c r="D53" t="s">
        <v>12</v>
      </c>
      <c r="E53" t="s">
        <v>23</v>
      </c>
      <c r="F53" t="s">
        <v>23</v>
      </c>
      <c r="G53" t="s">
        <v>118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5">
        <v>46132</v>
      </c>
      <c r="B54" t="s">
        <v>76</v>
      </c>
      <c r="C54" s="6" t="s">
        <v>179</v>
      </c>
      <c r="D54" t="s">
        <v>12</v>
      </c>
      <c r="E54" t="s">
        <v>17</v>
      </c>
      <c r="F54" t="s">
        <v>94</v>
      </c>
      <c r="G54" t="s">
        <v>180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46132</v>
      </c>
      <c r="B55" t="s">
        <v>76</v>
      </c>
      <c r="C55" s="6" t="s">
        <v>181</v>
      </c>
      <c r="D55" t="s">
        <v>12</v>
      </c>
      <c r="E55" t="s">
        <v>17</v>
      </c>
      <c r="F55" t="s">
        <v>182</v>
      </c>
      <c r="G55" t="s">
        <v>170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46132</v>
      </c>
      <c r="B56" t="s">
        <v>76</v>
      </c>
      <c r="C56" s="6" t="s">
        <v>183</v>
      </c>
      <c r="D56" t="s">
        <v>12</v>
      </c>
      <c r="E56" t="s">
        <v>36</v>
      </c>
      <c r="F56" t="s">
        <v>36</v>
      </c>
      <c r="G56" t="s">
        <v>184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46132</v>
      </c>
      <c r="B57" t="s">
        <v>28</v>
      </c>
      <c r="C57" s="6" t="s">
        <v>185</v>
      </c>
      <c r="D57" t="s">
        <v>13</v>
      </c>
      <c r="E57" t="s">
        <v>31</v>
      </c>
      <c r="F57" t="s">
        <v>95</v>
      </c>
      <c r="G57" t="s">
        <v>96</v>
      </c>
      <c r="H57" t="s">
        <v>82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9" x14ac:dyDescent="0.35">
      <c r="A58" s="5">
        <v>46132</v>
      </c>
      <c r="B58" t="s">
        <v>28</v>
      </c>
      <c r="C58" s="6" t="s">
        <v>186</v>
      </c>
      <c r="D58" t="s">
        <v>12</v>
      </c>
      <c r="E58" t="s">
        <v>17</v>
      </c>
      <c r="F58" t="s">
        <v>182</v>
      </c>
      <c r="G58" t="s">
        <v>170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46132</v>
      </c>
      <c r="B59" t="s">
        <v>28</v>
      </c>
      <c r="C59" s="6" t="s">
        <v>187</v>
      </c>
      <c r="D59" t="s">
        <v>12</v>
      </c>
      <c r="E59" t="s">
        <v>10</v>
      </c>
      <c r="F59" t="s">
        <v>10</v>
      </c>
      <c r="G59" t="s">
        <v>68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46132</v>
      </c>
      <c r="B60" t="s">
        <v>28</v>
      </c>
      <c r="C60" s="6" t="s">
        <v>188</v>
      </c>
      <c r="D60" t="s">
        <v>12</v>
      </c>
      <c r="E60" t="s">
        <v>18</v>
      </c>
      <c r="F60" t="s">
        <v>18</v>
      </c>
      <c r="G60" t="s">
        <v>154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ht="29" x14ac:dyDescent="0.35">
      <c r="A61" s="5">
        <v>46132</v>
      </c>
      <c r="B61" t="s">
        <v>28</v>
      </c>
      <c r="C61" s="6" t="s">
        <v>189</v>
      </c>
      <c r="D61" t="s">
        <v>12</v>
      </c>
      <c r="E61" t="s">
        <v>23</v>
      </c>
      <c r="F61" t="s">
        <v>23</v>
      </c>
      <c r="G61" t="s">
        <v>118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35">
      <c r="A62" s="5">
        <v>46132</v>
      </c>
      <c r="B62" t="s">
        <v>28</v>
      </c>
      <c r="C62" s="6" t="s">
        <v>81</v>
      </c>
      <c r="D62" t="s">
        <v>74</v>
      </c>
      <c r="E62" t="s">
        <v>17</v>
      </c>
      <c r="F62" t="s">
        <v>17</v>
      </c>
      <c r="G62" t="s">
        <v>75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46132</v>
      </c>
      <c r="B63" t="s">
        <v>28</v>
      </c>
      <c r="C63" s="6" t="s">
        <v>190</v>
      </c>
      <c r="D63" t="s">
        <v>74</v>
      </c>
      <c r="E63" t="s">
        <v>10</v>
      </c>
      <c r="F63" t="s">
        <v>10</v>
      </c>
      <c r="G63" t="s">
        <v>68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ht="29" x14ac:dyDescent="0.35">
      <c r="A64" s="5">
        <v>46132</v>
      </c>
      <c r="B64" t="s">
        <v>77</v>
      </c>
      <c r="C64" s="6" t="s">
        <v>191</v>
      </c>
      <c r="D64" t="s">
        <v>13</v>
      </c>
      <c r="E64" t="s">
        <v>23</v>
      </c>
      <c r="F64" t="s">
        <v>23</v>
      </c>
      <c r="G64" t="s">
        <v>118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35">
      <c r="A65" s="5">
        <v>46132</v>
      </c>
      <c r="B65" t="s">
        <v>77</v>
      </c>
      <c r="C65" s="6" t="s">
        <v>192</v>
      </c>
      <c r="D65" t="s">
        <v>12</v>
      </c>
      <c r="E65" t="s">
        <v>10</v>
      </c>
      <c r="F65" t="s">
        <v>10</v>
      </c>
      <c r="G65" t="s">
        <v>193</v>
      </c>
      <c r="H65" t="s">
        <v>11</v>
      </c>
      <c r="I65" t="str">
        <f>_xlfn.XLOOKUP(Tabla1[[#This Row],[Dependencia]],Tabla2[Dependencia],Tabla2[Clasificación],"No indexado")</f>
        <v>Otros</v>
      </c>
      <c r="J65" t="str">
        <f>_xlfn.XLOOKUP(Tabla1[[#This Row],[Dependencia]],Tabla3[Dependencia],Tabla3[Nivel],"otros",0)</f>
        <v>otros</v>
      </c>
    </row>
    <row r="66" spans="1:10" ht="43.5" x14ac:dyDescent="0.35">
      <c r="A66" s="5">
        <v>46132</v>
      </c>
      <c r="B66" t="s">
        <v>77</v>
      </c>
      <c r="C66" s="6" t="s">
        <v>194</v>
      </c>
      <c r="D66" t="s">
        <v>195</v>
      </c>
      <c r="E66" t="s">
        <v>87</v>
      </c>
      <c r="F66" t="s">
        <v>87</v>
      </c>
      <c r="G66" t="s">
        <v>97</v>
      </c>
      <c r="H66" t="s">
        <v>16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35">
      <c r="A67" s="5">
        <v>46132</v>
      </c>
      <c r="B67" t="s">
        <v>77</v>
      </c>
      <c r="C67" s="6" t="s">
        <v>196</v>
      </c>
      <c r="D67" t="s">
        <v>9</v>
      </c>
      <c r="E67" t="s">
        <v>17</v>
      </c>
      <c r="F67" t="s">
        <v>90</v>
      </c>
      <c r="G67" t="s">
        <v>197</v>
      </c>
      <c r="H67" t="s">
        <v>11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32</v>
      </c>
      <c r="D1" s="8" t="s">
        <v>4</v>
      </c>
      <c r="E1" t="s">
        <v>71</v>
      </c>
    </row>
    <row r="2" spans="1:5" x14ac:dyDescent="0.35">
      <c r="A2" t="s">
        <v>64</v>
      </c>
      <c r="B2" t="s">
        <v>65</v>
      </c>
      <c r="D2" s="10" t="s">
        <v>20</v>
      </c>
      <c r="E2" t="s">
        <v>72</v>
      </c>
    </row>
    <row r="3" spans="1:5" x14ac:dyDescent="0.35">
      <c r="A3" t="s">
        <v>17</v>
      </c>
      <c r="B3" t="s">
        <v>33</v>
      </c>
      <c r="D3" s="9" t="s">
        <v>35</v>
      </c>
      <c r="E3" t="s">
        <v>72</v>
      </c>
    </row>
    <row r="4" spans="1:5" x14ac:dyDescent="0.35">
      <c r="A4" t="s">
        <v>20</v>
      </c>
      <c r="B4" t="s">
        <v>34</v>
      </c>
      <c r="D4" s="9" t="s">
        <v>37</v>
      </c>
      <c r="E4" t="s">
        <v>72</v>
      </c>
    </row>
    <row r="5" spans="1:5" x14ac:dyDescent="0.35">
      <c r="A5" t="s">
        <v>63</v>
      </c>
      <c r="B5" t="s">
        <v>10</v>
      </c>
      <c r="D5" s="10" t="s">
        <v>30</v>
      </c>
      <c r="E5" t="s">
        <v>72</v>
      </c>
    </row>
    <row r="6" spans="1:5" x14ac:dyDescent="0.35">
      <c r="A6" t="s">
        <v>35</v>
      </c>
      <c r="B6" t="s">
        <v>34</v>
      </c>
      <c r="D6" s="10" t="s">
        <v>38</v>
      </c>
      <c r="E6" t="s">
        <v>72</v>
      </c>
    </row>
    <row r="7" spans="1:5" x14ac:dyDescent="0.35">
      <c r="A7" t="s">
        <v>36</v>
      </c>
      <c r="B7" t="s">
        <v>10</v>
      </c>
      <c r="D7" s="9" t="s">
        <v>39</v>
      </c>
      <c r="E7" t="s">
        <v>72</v>
      </c>
    </row>
    <row r="8" spans="1:5" x14ac:dyDescent="0.35">
      <c r="A8" t="s">
        <v>37</v>
      </c>
      <c r="B8" t="s">
        <v>34</v>
      </c>
      <c r="D8" s="9" t="s">
        <v>39</v>
      </c>
      <c r="E8" t="s">
        <v>72</v>
      </c>
    </row>
    <row r="9" spans="1:5" x14ac:dyDescent="0.35">
      <c r="A9" t="s">
        <v>30</v>
      </c>
      <c r="B9" t="s">
        <v>34</v>
      </c>
      <c r="D9" s="9" t="s">
        <v>40</v>
      </c>
      <c r="E9" t="s">
        <v>72</v>
      </c>
    </row>
    <row r="10" spans="1:5" x14ac:dyDescent="0.35">
      <c r="A10" t="s">
        <v>26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38</v>
      </c>
      <c r="B11" t="s">
        <v>34</v>
      </c>
      <c r="D11" s="9" t="s">
        <v>41</v>
      </c>
      <c r="E11" t="s">
        <v>72</v>
      </c>
    </row>
    <row r="12" spans="1:5" x14ac:dyDescent="0.35">
      <c r="A12" t="s">
        <v>39</v>
      </c>
      <c r="B12" t="s">
        <v>34</v>
      </c>
      <c r="D12" s="10" t="s">
        <v>42</v>
      </c>
      <c r="E12" t="s">
        <v>72</v>
      </c>
    </row>
    <row r="13" spans="1:5" x14ac:dyDescent="0.35">
      <c r="A13" t="s">
        <v>39</v>
      </c>
      <c r="B13" t="s">
        <v>34</v>
      </c>
      <c r="D13" s="10" t="s">
        <v>42</v>
      </c>
      <c r="E13" t="s">
        <v>72</v>
      </c>
    </row>
    <row r="14" spans="1:5" x14ac:dyDescent="0.35">
      <c r="A14" t="s">
        <v>66</v>
      </c>
      <c r="B14" t="s">
        <v>47</v>
      </c>
      <c r="D14" s="9" t="s">
        <v>22</v>
      </c>
      <c r="E14" t="s">
        <v>72</v>
      </c>
    </row>
    <row r="15" spans="1:5" x14ac:dyDescent="0.35">
      <c r="A15" t="s">
        <v>40</v>
      </c>
      <c r="B15" t="s">
        <v>34</v>
      </c>
      <c r="D15" s="10" t="s">
        <v>18</v>
      </c>
      <c r="E15" t="s">
        <v>72</v>
      </c>
    </row>
    <row r="16" spans="1:5" x14ac:dyDescent="0.35">
      <c r="A16" t="s">
        <v>25</v>
      </c>
      <c r="B16" t="s">
        <v>34</v>
      </c>
      <c r="D16" s="9" t="s">
        <v>50</v>
      </c>
      <c r="E16" t="s">
        <v>72</v>
      </c>
    </row>
    <row r="17" spans="1:5" x14ac:dyDescent="0.35">
      <c r="A17" t="s">
        <v>41</v>
      </c>
      <c r="B17" t="s">
        <v>34</v>
      </c>
      <c r="D17" s="9" t="s">
        <v>56</v>
      </c>
      <c r="E17" t="s">
        <v>72</v>
      </c>
    </row>
    <row r="18" spans="1:5" x14ac:dyDescent="0.35">
      <c r="A18" t="s">
        <v>42</v>
      </c>
      <c r="B18" t="s">
        <v>34</v>
      </c>
      <c r="D18" s="9" t="s">
        <v>57</v>
      </c>
      <c r="E18" t="s">
        <v>72</v>
      </c>
    </row>
    <row r="19" spans="1:5" x14ac:dyDescent="0.35">
      <c r="A19" t="s">
        <v>43</v>
      </c>
      <c r="B19" t="s">
        <v>10</v>
      </c>
      <c r="D19" s="9" t="s">
        <v>24</v>
      </c>
      <c r="E19" t="s">
        <v>72</v>
      </c>
    </row>
    <row r="20" spans="1:5" x14ac:dyDescent="0.35">
      <c r="A20" t="s">
        <v>44</v>
      </c>
      <c r="B20" t="s">
        <v>45</v>
      </c>
      <c r="D20" s="10" t="s">
        <v>21</v>
      </c>
      <c r="E20" t="s">
        <v>72</v>
      </c>
    </row>
    <row r="21" spans="1:5" x14ac:dyDescent="0.35">
      <c r="A21" t="s">
        <v>46</v>
      </c>
      <c r="B21" t="s">
        <v>47</v>
      </c>
      <c r="D21" s="9" t="s">
        <v>29</v>
      </c>
      <c r="E21" t="s">
        <v>72</v>
      </c>
    </row>
    <row r="22" spans="1:5" x14ac:dyDescent="0.35">
      <c r="A22" t="s">
        <v>19</v>
      </c>
      <c r="B22" t="s">
        <v>47</v>
      </c>
      <c r="D22" s="10" t="s">
        <v>27</v>
      </c>
      <c r="E22" t="s">
        <v>72</v>
      </c>
    </row>
    <row r="23" spans="1:5" x14ac:dyDescent="0.35">
      <c r="A23" t="s">
        <v>22</v>
      </c>
      <c r="B23" t="s">
        <v>34</v>
      </c>
      <c r="D23" s="9" t="s">
        <v>58</v>
      </c>
      <c r="E23" t="s">
        <v>72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72</v>
      </c>
    </row>
    <row r="25" spans="1:5" x14ac:dyDescent="0.35">
      <c r="A25" t="s">
        <v>48</v>
      </c>
      <c r="B25" t="s">
        <v>47</v>
      </c>
      <c r="D25" s="10" t="s">
        <v>23</v>
      </c>
      <c r="E25" t="s">
        <v>72</v>
      </c>
    </row>
    <row r="26" spans="1:5" x14ac:dyDescent="0.35">
      <c r="A26" t="s">
        <v>49</v>
      </c>
      <c r="B26" t="s">
        <v>47</v>
      </c>
      <c r="D26" s="9" t="s">
        <v>59</v>
      </c>
      <c r="E26" t="s">
        <v>72</v>
      </c>
    </row>
    <row r="27" spans="1:5" x14ac:dyDescent="0.35">
      <c r="A27" t="s">
        <v>67</v>
      </c>
      <c r="B27" t="s">
        <v>47</v>
      </c>
      <c r="D27" s="11" t="s">
        <v>31</v>
      </c>
      <c r="E27" t="s">
        <v>72</v>
      </c>
    </row>
    <row r="28" spans="1:5" x14ac:dyDescent="0.35">
      <c r="A28" t="s">
        <v>18</v>
      </c>
      <c r="B28" t="s">
        <v>34</v>
      </c>
    </row>
    <row r="29" spans="1:5" x14ac:dyDescent="0.35">
      <c r="A29" t="s">
        <v>50</v>
      </c>
      <c r="B29" t="s">
        <v>34</v>
      </c>
    </row>
    <row r="30" spans="1:5" x14ac:dyDescent="0.35">
      <c r="A30" t="s">
        <v>51</v>
      </c>
      <c r="B30" t="s">
        <v>47</v>
      </c>
    </row>
    <row r="31" spans="1:5" x14ac:dyDescent="0.35">
      <c r="A31" t="s">
        <v>14</v>
      </c>
      <c r="B31" t="s">
        <v>52</v>
      </c>
    </row>
    <row r="32" spans="1:5" x14ac:dyDescent="0.35">
      <c r="A32" t="s">
        <v>53</v>
      </c>
      <c r="B32" t="s">
        <v>47</v>
      </c>
    </row>
    <row r="33" spans="1:2" x14ac:dyDescent="0.35">
      <c r="A33" t="s">
        <v>54</v>
      </c>
      <c r="B33" t="s">
        <v>47</v>
      </c>
    </row>
    <row r="34" spans="1:2" x14ac:dyDescent="0.35">
      <c r="A34" t="s">
        <v>55</v>
      </c>
      <c r="B34" t="s">
        <v>47</v>
      </c>
    </row>
    <row r="35" spans="1:2" x14ac:dyDescent="0.35">
      <c r="A35" t="s">
        <v>56</v>
      </c>
      <c r="B35" t="s">
        <v>34</v>
      </c>
    </row>
    <row r="36" spans="1:2" x14ac:dyDescent="0.35">
      <c r="A36" t="s">
        <v>57</v>
      </c>
      <c r="B36" t="s">
        <v>34</v>
      </c>
    </row>
    <row r="37" spans="1:2" x14ac:dyDescent="0.35">
      <c r="A37" t="s">
        <v>24</v>
      </c>
      <c r="B37" t="s">
        <v>34</v>
      </c>
    </row>
    <row r="38" spans="1:2" x14ac:dyDescent="0.35">
      <c r="A38" t="s">
        <v>21</v>
      </c>
      <c r="B38" t="s">
        <v>34</v>
      </c>
    </row>
    <row r="39" spans="1:2" x14ac:dyDescent="0.35">
      <c r="A39" t="s">
        <v>29</v>
      </c>
      <c r="B39" t="s">
        <v>34</v>
      </c>
    </row>
    <row r="40" spans="1:2" x14ac:dyDescent="0.35">
      <c r="A40" t="s">
        <v>27</v>
      </c>
      <c r="B40" t="s">
        <v>34</v>
      </c>
    </row>
    <row r="41" spans="1:2" x14ac:dyDescent="0.35">
      <c r="A41" t="s">
        <v>58</v>
      </c>
      <c r="B41" t="s">
        <v>34</v>
      </c>
    </row>
    <row r="42" spans="1:2" x14ac:dyDescent="0.35">
      <c r="A42" t="s">
        <v>15</v>
      </c>
      <c r="B42" t="s">
        <v>34</v>
      </c>
    </row>
    <row r="43" spans="1:2" x14ac:dyDescent="0.35">
      <c r="A43" t="s">
        <v>23</v>
      </c>
      <c r="B43" t="s">
        <v>34</v>
      </c>
    </row>
    <row r="44" spans="1:2" x14ac:dyDescent="0.35">
      <c r="A44" t="s">
        <v>59</v>
      </c>
      <c r="B44" t="s">
        <v>34</v>
      </c>
    </row>
    <row r="45" spans="1:2" x14ac:dyDescent="0.35">
      <c r="A45" t="s">
        <v>60</v>
      </c>
      <c r="B45" t="s">
        <v>10</v>
      </c>
    </row>
    <row r="46" spans="1:2" x14ac:dyDescent="0.35">
      <c r="A46" t="s">
        <v>61</v>
      </c>
      <c r="B46" t="s">
        <v>10</v>
      </c>
    </row>
    <row r="47" spans="1:2" x14ac:dyDescent="0.35">
      <c r="A47" t="s">
        <v>31</v>
      </c>
      <c r="B47" t="s">
        <v>34</v>
      </c>
    </row>
    <row r="48" spans="1:2" x14ac:dyDescent="0.35">
      <c r="A48" t="s">
        <v>62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2026-04-20T16:58:24Z</dcterms:modified>
</cp:coreProperties>
</file>