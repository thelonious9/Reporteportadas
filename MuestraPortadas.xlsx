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44F39F8C-1256-485A-B5AD-AA5E977F5EDB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2" i="1"/>
  <c r="I2" i="1"/>
</calcChain>
</file>

<file path=xl/sharedStrings.xml><?xml version="1.0" encoding="utf-8"?>
<sst xmlns="http://schemas.openxmlformats.org/spreadsheetml/2006/main" count="601" uniqueCount="199">
  <si>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</si>
  <si>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</si>
  <si>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</si>
  <si>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</si>
  <si>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</si>
  <si>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</si>
  <si>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</si>
  <si>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</si>
  <si>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</si>
  <si>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</si>
  <si>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</si>
  <si>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</si>
  <si>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</si>
  <si>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</si>
  <si>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</si>
  <si>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</si>
  <si>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</si>
  <si>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</si>
  <si>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</si>
  <si>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</si>
  <si>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</si>
  <si>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</si>
  <si>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</si>
  <si>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</si>
  <si>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</si>
  <si>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</si>
  <si>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</si>
  <si>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</si>
  <si>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</si>
  <si>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</si>
  <si>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</si>
  <si>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</si>
  <si>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</si>
  <si>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</si>
  <si>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</si>
  <si>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</si>
  <si>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</si>
  <si>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</si>
  <si>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</si>
  <si>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</si>
  <si>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</si>
  <si>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</si>
  <si>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</si>
  <si>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</si>
  <si>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</si>
  <si>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</si>
  <si>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</si>
  <si>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</si>
  <si>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</si>
  <si>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</si>
  <si>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</si>
  <si>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</si>
  <si>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</si>
  <si>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</si>
  <si>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</si>
  <si>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</si>
  <si>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</si>
  <si>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</si>
  <si>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</si>
  <si>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</si>
  <si>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</si>
  <si>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</si>
  <si>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</si>
  <si>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</si>
  <si>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</si>
  <si>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</si>
  <si>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</si>
  <si>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</si>
  <si>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</si>
  <si>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</si>
  <si>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</si>
  <si>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</si>
  <si>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</si>
  <si>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</si>
  <si>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Plaza Juárez</t>
  </si>
  <si>
    <t>Negativa</t>
  </si>
  <si>
    <t>Zunoticia</t>
  </si>
  <si>
    <t>Publicidad</t>
  </si>
  <si>
    <t>Milenio Hidalgo</t>
  </si>
  <si>
    <t>Graduación</t>
  </si>
  <si>
    <t>Incidencia Delictiva</t>
  </si>
  <si>
    <t>El Universal Hidalgo</t>
  </si>
  <si>
    <t>Criterio</t>
  </si>
  <si>
    <t>Policía municipal</t>
  </si>
  <si>
    <t>Pachuca Brilla</t>
  </si>
  <si>
    <t>Tren AIFA</t>
  </si>
  <si>
    <t>Sedena</t>
  </si>
  <si>
    <t>Temas varios</t>
  </si>
  <si>
    <t>Festival Gastronómico</t>
  </si>
  <si>
    <t>Regidor</t>
  </si>
  <si>
    <t>Mega Sorteo San Judas</t>
  </si>
  <si>
    <t>Publicidad comercial</t>
  </si>
  <si>
    <t>Rebeca, de la depresión a disfrutar la vida</t>
  </si>
  <si>
    <t>Suspenden a empresa por posible contaminación</t>
  </si>
  <si>
    <t>Clausura de empresa contaminante</t>
  </si>
  <si>
    <t>Exhortan a la protección de los acuíferos</t>
  </si>
  <si>
    <t>Exhorto</t>
  </si>
  <si>
    <t>Casi mil quejas por fraudes en Hidalgo</t>
  </si>
  <si>
    <t>Fraude</t>
  </si>
  <si>
    <t>Protesta en obra del Tren Aifa continúa</t>
  </si>
  <si>
    <t>Degradan a Huapalcalco de categoría</t>
  </si>
  <si>
    <t>INAH</t>
  </si>
  <si>
    <t>Zona Arqueológica</t>
  </si>
  <si>
    <t>Crecen 20% los fraudes financieros en Hidalgo</t>
  </si>
  <si>
    <t>Registran en ISSTE sobrecupo de 180%</t>
  </si>
  <si>
    <t>ISSSTE</t>
  </si>
  <si>
    <t>Sobrecupo</t>
  </si>
  <si>
    <t>Messi ya es el más grande de la historia</t>
  </si>
  <si>
    <t>Eran novatos 90 por ciento de los presos</t>
  </si>
  <si>
    <t>Censo penitenciario</t>
  </si>
  <si>
    <t>Refuerzan saneamiento del Río Tula</t>
  </si>
  <si>
    <t>Saneamiento río Tula</t>
  </si>
  <si>
    <t>Dos generaciones, un  mismo origen</t>
  </si>
  <si>
    <t>Argentina y España por la gloria mundial</t>
  </si>
  <si>
    <t>En 15 días, se registran seis muertes violentas</t>
  </si>
  <si>
    <t>Homicidios</t>
  </si>
  <si>
    <t>Bloquean la vía Pachuca-Tulancingo en apoyo a director</t>
  </si>
  <si>
    <t>Exigen restitución de director</t>
  </si>
  <si>
    <t>Negocia el Sol Azteca alianza con Morena para comicios de 2027</t>
  </si>
  <si>
    <t>Alianzas Electorales</t>
  </si>
  <si>
    <t>Piden celebrar investigación contra Baños por aviadores</t>
  </si>
  <si>
    <t>Aviadores</t>
  </si>
  <si>
    <t>Incrementan 56.7 % delitos patrimoniales en la entidad</t>
  </si>
  <si>
    <t>Hidalgo, segundo lugar nacional por ingresos de mujeres a prisión</t>
  </si>
  <si>
    <t>CDHEH registra carencias en penales locales</t>
  </si>
  <si>
    <t>Deficiencias en penales</t>
  </si>
  <si>
    <t>Anuncian compra de armas para la policía municipal</t>
  </si>
  <si>
    <t>Equipamiento policiaco</t>
  </si>
  <si>
    <t>Fraudes dejan pérdidas por más de 15 mdp en la entidad</t>
  </si>
  <si>
    <t>Desmontan red de huachicol fiscal con Ruffo a la cabeza</t>
  </si>
  <si>
    <t>Combate Al Huachicol</t>
  </si>
  <si>
    <t>Ante recorte presupuestal IEEH remite proceso al INE</t>
  </si>
  <si>
    <t>Presupuesto IEEH</t>
  </si>
  <si>
    <t>Alarma de calidad del aire por incendios</t>
  </si>
  <si>
    <t>En helicóptero se llega a los estadios para la Copa Fifa de los superricos</t>
  </si>
  <si>
    <t>En Santiago de Anaya, barbacoa y tradiciones</t>
  </si>
  <si>
    <t>SEPH llega a acuerdo tras bloqueo en la Pachuca- Tulancingo</t>
  </si>
  <si>
    <t>Modifican título de asignación para el Tren México-Pachuca</t>
  </si>
  <si>
    <t>Cae Ernesto Ruffo; FGR lo acusa de huachicol fiscal</t>
  </si>
  <si>
    <t>FGR</t>
  </si>
  <si>
    <t>Laguna de Bojay será área natural protegida: Semarnat</t>
  </si>
  <si>
    <t>Medio ambiente</t>
  </si>
  <si>
    <t>Área Natural Protegida</t>
  </si>
  <si>
    <t>Hoy, de cara a las elecciones de 2027, pero particularmente de las de 2028, se acentúa la diferencia  de bandos: los que quieren que Hidalgo sea gobernado por un fundador o fundadora de Morena y  no por un o una oportunista”.</t>
  </si>
  <si>
    <t>Sucesión Gubernamental</t>
  </si>
  <si>
    <t>Restauración del Río Tula alcanza 62% y retiran 110 mil m3 de lirio en la presa Endhó</t>
  </si>
  <si>
    <t>DIF Hidalgo invierte 3.2 mdp en proyectos comunitarios</t>
  </si>
  <si>
    <t>Entrega De Apoyos</t>
  </si>
  <si>
    <t>Reclutarán a 180 consejeros distritales rumbo a próximos procesos electorales locales</t>
  </si>
  <si>
    <t>Consejeros Electorales</t>
  </si>
  <si>
    <t>Muere funcionaria de Tepeji en accidente sobre la México-Querétaro</t>
  </si>
  <si>
    <t>Deceso de funcionario</t>
  </si>
  <si>
    <t>Vacaciones es crítico para prevvenir adicciones en jóvenes</t>
  </si>
  <si>
    <t>Prevención De Adicciones</t>
  </si>
  <si>
    <t>Fortalece gobierno el diálogo con las familias en Molango</t>
  </si>
  <si>
    <t>Mesas de acercamiento</t>
  </si>
  <si>
    <t>Reglamentos supervisa comercio ambulante en zona del ISSSTE</t>
  </si>
  <si>
    <t>Ambulantaje</t>
  </si>
  <si>
    <t>Alcalde y regidor realizan entrega de sillas de ruedas</t>
  </si>
  <si>
    <t>Apoyos funcionales</t>
  </si>
  <si>
    <t>Tlanchinol contará con nuevo Centro de Salud</t>
  </si>
  <si>
    <t>Infraestructura hospitalaria</t>
  </si>
  <si>
    <t>Regidora exige acelerar investigaciones contra Sergio Baños</t>
  </si>
  <si>
    <t>corrupción</t>
  </si>
  <si>
    <t>Buscan frenar a valet parking que invade calles en Pachuca</t>
  </si>
  <si>
    <t>Ordenamiento vial</t>
  </si>
  <si>
    <t>Hidalgo, segundo en porcentaje de mujeres recluidas: INEGI</t>
  </si>
  <si>
    <t>Zempoala será sede de ""Sabor a Hidalgo""</t>
  </si>
  <si>
    <t>Pueblos con sabor</t>
  </si>
  <si>
    <t>Rejilla provoca daños a decena de vehículos</t>
  </si>
  <si>
    <t>Infraestructura en mal estado</t>
  </si>
  <si>
    <t>Marfeca</t>
  </si>
  <si>
    <t>Atitalaquia, sede de entrega de apoyos del Gobierno del Pueblo</t>
  </si>
  <si>
    <t>titular</t>
  </si>
  <si>
    <t>Más de 3 mdp fortalecen la tecnificación de actividades económicas comunitarias en tres municipios de Hidalgo</t>
  </si>
  <si>
    <t>Cruz Azul prevé reactivar su planta en Hidalgo y abrir una nueva línea de producción este año</t>
  </si>
  <si>
    <t>Cruz Azul</t>
  </si>
  <si>
    <t>Supervisan avance de pavimentación en la localidad satélite para garantizar calidad y trasparencia en la obra</t>
  </si>
  <si>
    <t>Supervisión de obra</t>
  </si>
  <si>
    <t>SSPH continúa fortaleciendo a municipios, entrega cinco patrullas</t>
  </si>
  <si>
    <t>Poder Judicial busca fortaleceer la mediación paara reducir la carga de los juzgados en Hidalgo</t>
  </si>
  <si>
    <t>Mediación</t>
  </si>
  <si>
    <t>Gobierno de México impulsa en Hidalgo la recuperación integral del Río Tula</t>
  </si>
  <si>
    <t>Policía de Pachuca recupera motocicleta con reporte de robo</t>
  </si>
  <si>
    <t>Recuperación De Vehículos Robados</t>
  </si>
  <si>
    <t>Sipdus pavimenta con concreto hidráulico acceso a Rancho La Colonia</t>
  </si>
  <si>
    <t>Sipdus</t>
  </si>
  <si>
    <t>Pavimentación hidráulica</t>
  </si>
  <si>
    <t>Concluyen su formación 196 estudiantes del CREN Benito Juárez</t>
  </si>
  <si>
    <t>Adrián Alcaraz, nuevo delantero de los Tuzos</t>
  </si>
  <si>
    <t>Deportes</t>
  </si>
  <si>
    <t>García Harfuch resalta avances de seguridad en Hidalgo</t>
  </si>
  <si>
    <t>Estrategia de seguridad</t>
  </si>
  <si>
    <t>Van contra cobros excesivos en licencias de funcionamiento</t>
  </si>
  <si>
    <t>Licencia de Funcionamiento</t>
  </si>
  <si>
    <t>Capturan en Ensenada a exgobernador panista, Ernesto N</t>
  </si>
  <si>
    <t>Padres de familia exigen permanencia de director</t>
  </si>
  <si>
    <t>Maestros reactivan protestas ante presunto incumplimiento</t>
  </si>
  <si>
    <t>Paro laboral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</si>
</sst>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workbookViewId="0">
      <selection activeCell="A2" sqref="A2:H64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46220</v>
      </c>
      <c r="B2" t="s">
        <v>67</v>
      </c>
      <c r="C2" s="5" t="s">
        <v>92</v>
      </c>
      <c r="D2" t="s">
        <v>12</v>
      </c>
      <c r="E2" t="s">
        <v>10</v>
      </c>
      <c r="F2" t="s">
        <v>10</v>
      </c>
      <c r="G2" t="s">
        <v>87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46220</v>
      </c>
      <c r="B3" t="s">
        <v>67</v>
      </c>
      <c r="C3" s="5" t="s">
        <v>93</v>
      </c>
      <c r="D3" t="s">
        <v>12</v>
      </c>
      <c r="E3" t="s">
        <v>16</v>
      </c>
      <c r="F3" t="s">
        <v>16</v>
      </c>
      <c r="G3" t="s">
        <v>94</v>
      </c>
      <c r="H3" t="s">
        <v>11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46220</v>
      </c>
      <c r="B4" t="s">
        <v>67</v>
      </c>
      <c r="C4" s="5" t="s">
        <v>95</v>
      </c>
      <c r="D4" t="s">
        <v>12</v>
      </c>
      <c r="E4" t="s">
        <v>33</v>
      </c>
      <c r="F4" t="s">
        <v>33</v>
      </c>
      <c r="G4" t="s">
        <v>96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46220</v>
      </c>
      <c r="B5" t="s">
        <v>67</v>
      </c>
      <c r="C5" s="5" t="s">
        <v>97</v>
      </c>
      <c r="D5" t="s">
        <v>13</v>
      </c>
      <c r="E5" t="s">
        <v>14</v>
      </c>
      <c r="F5" t="s">
        <v>14</v>
      </c>
      <c r="G5" t="s">
        <v>98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46220</v>
      </c>
      <c r="B6" t="s">
        <v>67</v>
      </c>
      <c r="C6" s="5" t="s">
        <v>99</v>
      </c>
      <c r="D6" t="s">
        <v>9</v>
      </c>
      <c r="E6" t="s">
        <v>14</v>
      </c>
      <c r="F6" t="s">
        <v>86</v>
      </c>
      <c r="G6" t="s">
        <v>85</v>
      </c>
      <c r="H6" t="s">
        <v>11</v>
      </c>
      <c r="I6" t="str">
        <f>_xlfn.XLOOKUP(Tabla1[[#This Row],[Dependencia]],Tabla2[Dependencia],Tabla2[Clasificación],"XXX",0)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46220</v>
      </c>
      <c r="B7" t="s">
        <v>81</v>
      </c>
      <c r="C7" s="5" t="s">
        <v>100</v>
      </c>
      <c r="D7" t="s">
        <v>9</v>
      </c>
      <c r="E7" t="s">
        <v>14</v>
      </c>
      <c r="F7" t="s">
        <v>101</v>
      </c>
      <c r="G7" t="s">
        <v>102</v>
      </c>
      <c r="H7" t="s">
        <v>75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46220</v>
      </c>
      <c r="B8" t="s">
        <v>81</v>
      </c>
      <c r="C8" s="5" t="s">
        <v>103</v>
      </c>
      <c r="D8" t="s">
        <v>13</v>
      </c>
      <c r="E8" t="s">
        <v>14</v>
      </c>
      <c r="F8" t="s">
        <v>14</v>
      </c>
      <c r="G8" t="s">
        <v>98</v>
      </c>
      <c r="H8" t="s">
        <v>11</v>
      </c>
      <c r="I8" t="str">
        <f>_xlfn.XLOOKUP(Tabla1[[#This Row],[Dependencia]],Tabla2[Dependencia],Tabla2[Clasificación],"XXX",0)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46220</v>
      </c>
      <c r="B9" t="s">
        <v>81</v>
      </c>
      <c r="C9" s="5" t="s">
        <v>104</v>
      </c>
      <c r="D9" t="s">
        <v>12</v>
      </c>
      <c r="E9" t="s">
        <v>14</v>
      </c>
      <c r="F9" t="s">
        <v>105</v>
      </c>
      <c r="G9" t="s">
        <v>106</v>
      </c>
      <c r="H9" t="s">
        <v>75</v>
      </c>
      <c r="I9" t="str">
        <f>_xlfn.XLOOKUP(Tabla1[[#This Row],[Dependencia]],Tabla2[Dependencia],Tabla2[Clasificación],"XXX",0)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46220</v>
      </c>
      <c r="B10" t="s">
        <v>81</v>
      </c>
      <c r="C10" s="5" t="s">
        <v>107</v>
      </c>
      <c r="D10" t="s">
        <v>12</v>
      </c>
      <c r="E10" t="s">
        <v>10</v>
      </c>
      <c r="F10" t="s">
        <v>10</v>
      </c>
      <c r="G10" t="s">
        <v>72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46220</v>
      </c>
      <c r="B11" t="s">
        <v>81</v>
      </c>
      <c r="C11" s="5" t="s">
        <v>108</v>
      </c>
      <c r="D11" t="s">
        <v>12</v>
      </c>
      <c r="E11" t="s">
        <v>22</v>
      </c>
      <c r="F11" t="s">
        <v>22</v>
      </c>
      <c r="G11" t="s">
        <v>109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46220</v>
      </c>
      <c r="B12" t="s">
        <v>81</v>
      </c>
      <c r="C12" s="5" t="s">
        <v>110</v>
      </c>
      <c r="D12" t="s">
        <v>12</v>
      </c>
      <c r="E12" t="s">
        <v>14</v>
      </c>
      <c r="F12" t="s">
        <v>14</v>
      </c>
      <c r="G12" t="s">
        <v>111</v>
      </c>
      <c r="H12" t="s">
        <v>68</v>
      </c>
      <c r="I12" t="str">
        <f>_xlfn.XLOOKUP(Tabla1[[#This Row],[Dependencia]],Tabla2[Dependencia],Tabla2[Clasificación],"XXX",0)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46220</v>
      </c>
      <c r="B13" t="s">
        <v>82</v>
      </c>
      <c r="C13" s="5" t="s">
        <v>112</v>
      </c>
      <c r="D13" t="s">
        <v>12</v>
      </c>
      <c r="E13" t="s">
        <v>10</v>
      </c>
      <c r="F13" t="s">
        <v>10</v>
      </c>
      <c r="G13" t="s">
        <v>72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46220</v>
      </c>
      <c r="B14" t="s">
        <v>82</v>
      </c>
      <c r="C14" s="5" t="s">
        <v>113</v>
      </c>
      <c r="D14" t="s">
        <v>12</v>
      </c>
      <c r="E14" t="s">
        <v>10</v>
      </c>
      <c r="F14" t="s">
        <v>10</v>
      </c>
      <c r="G14" t="s">
        <v>72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46220</v>
      </c>
      <c r="B15" t="s">
        <v>82</v>
      </c>
      <c r="C15" s="5" t="s">
        <v>114</v>
      </c>
      <c r="D15" t="s">
        <v>13</v>
      </c>
      <c r="E15" t="s">
        <v>17</v>
      </c>
      <c r="F15" t="s">
        <v>17</v>
      </c>
      <c r="G15" t="s">
        <v>115</v>
      </c>
      <c r="H15" t="s">
        <v>75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46220</v>
      </c>
      <c r="B16" t="s">
        <v>82</v>
      </c>
      <c r="C16" s="5" t="s">
        <v>116</v>
      </c>
      <c r="D16" t="s">
        <v>9</v>
      </c>
      <c r="E16" t="s">
        <v>26</v>
      </c>
      <c r="F16" t="s">
        <v>26</v>
      </c>
      <c r="G16" t="s">
        <v>117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11">
        <v>46220</v>
      </c>
      <c r="B17" t="s">
        <v>82</v>
      </c>
      <c r="C17" s="5" t="s">
        <v>118</v>
      </c>
      <c r="D17" t="s">
        <v>12</v>
      </c>
      <c r="E17" t="s">
        <v>48</v>
      </c>
      <c r="F17" t="s">
        <v>48</v>
      </c>
      <c r="G17" t="s">
        <v>119</v>
      </c>
      <c r="H17" t="s">
        <v>11</v>
      </c>
      <c r="I17" t="str">
        <f>_xlfn.XLOOKUP(Tabla1[[#This Row],[Dependencia]],Tabla2[Dependencia],Tabla2[Clasificación],"XXX",0)</f>
        <v>Partidos</v>
      </c>
      <c r="J17" t="str">
        <f>_xlfn.XLOOKUP(Tabla1[[#This Row],[Dependencia]],Tabla3[Dependencia],Tabla3[Nivel],"Otros",0)</f>
        <v>Otros</v>
      </c>
    </row>
    <row r="18" spans="1:10" ht="30" x14ac:dyDescent="0.25">
      <c r="A18" s="11">
        <v>46220</v>
      </c>
      <c r="B18" t="s">
        <v>82</v>
      </c>
      <c r="C18" s="5" t="s">
        <v>120</v>
      </c>
      <c r="D18" t="s">
        <v>12</v>
      </c>
      <c r="E18" t="s">
        <v>16</v>
      </c>
      <c r="F18" t="s">
        <v>89</v>
      </c>
      <c r="G18" t="s">
        <v>121</v>
      </c>
      <c r="H18" t="s">
        <v>11</v>
      </c>
      <c r="I18" t="str">
        <f>_xlfn.XLOOKUP(Tabla1[[#This Row],[Dependencia]],Tabla2[Dependencia],Tabla2[Clasificación],"XXX",0)</f>
        <v>Alcaldías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46220</v>
      </c>
      <c r="B19" t="s">
        <v>82</v>
      </c>
      <c r="C19" s="5" t="s">
        <v>122</v>
      </c>
      <c r="D19" t="s">
        <v>12</v>
      </c>
      <c r="E19" t="s">
        <v>17</v>
      </c>
      <c r="F19" t="s">
        <v>17</v>
      </c>
      <c r="G19" t="s">
        <v>80</v>
      </c>
      <c r="H19" t="s">
        <v>75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11">
        <v>46220</v>
      </c>
      <c r="B20" t="s">
        <v>78</v>
      </c>
      <c r="C20" s="5" t="s">
        <v>123</v>
      </c>
      <c r="D20" t="s">
        <v>13</v>
      </c>
      <c r="E20" t="s">
        <v>22</v>
      </c>
      <c r="F20" t="s">
        <v>22</v>
      </c>
      <c r="G20" t="s">
        <v>109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11">
        <v>46220</v>
      </c>
      <c r="B21" t="s">
        <v>78</v>
      </c>
      <c r="C21" s="5" t="s">
        <v>124</v>
      </c>
      <c r="D21" t="s">
        <v>12</v>
      </c>
      <c r="E21" t="s">
        <v>22</v>
      </c>
      <c r="F21" t="s">
        <v>22</v>
      </c>
      <c r="G21" t="s">
        <v>125</v>
      </c>
      <c r="H21" t="s">
        <v>75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1">
        <v>46220</v>
      </c>
      <c r="B22" t="s">
        <v>78</v>
      </c>
      <c r="C22" s="5" t="s">
        <v>126</v>
      </c>
      <c r="D22" t="s">
        <v>12</v>
      </c>
      <c r="E22" t="s">
        <v>16</v>
      </c>
      <c r="F22" t="s">
        <v>16</v>
      </c>
      <c r="G22" t="s">
        <v>127</v>
      </c>
      <c r="H22" t="s">
        <v>11</v>
      </c>
      <c r="I22" t="str">
        <f>_xlfn.XLOOKUP(Tabla1[[#This Row],[Dependencia]],Tabla2[Dependencia],Tabla2[Clasificación],"XXX",0)</f>
        <v>Alcaldías</v>
      </c>
      <c r="J22" t="str">
        <f>_xlfn.XLOOKUP(Tabla1[[#This Row],[Dependencia]],Tabla3[Dependencia],Tabla3[Nivel],"Otros",0)</f>
        <v>Otros</v>
      </c>
    </row>
    <row r="23" spans="1:10" ht="30" x14ac:dyDescent="0.25">
      <c r="A23" s="11">
        <v>46220</v>
      </c>
      <c r="B23" t="s">
        <v>78</v>
      </c>
      <c r="C23" s="5" t="s">
        <v>128</v>
      </c>
      <c r="D23" t="s">
        <v>12</v>
      </c>
      <c r="E23" t="s">
        <v>14</v>
      </c>
      <c r="F23" t="s">
        <v>14</v>
      </c>
      <c r="G23" t="s">
        <v>98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46220</v>
      </c>
      <c r="B24" t="s">
        <v>78</v>
      </c>
      <c r="C24" s="5" t="s">
        <v>129</v>
      </c>
      <c r="D24" t="s">
        <v>9</v>
      </c>
      <c r="E24" t="s">
        <v>14</v>
      </c>
      <c r="F24" t="s">
        <v>14</v>
      </c>
      <c r="G24" t="s">
        <v>130</v>
      </c>
      <c r="H24" t="s">
        <v>68</v>
      </c>
      <c r="I24" t="str">
        <f>_xlfn.XLOOKUP(Tabla1[[#This Row],[Dependencia]],Tabla2[Dependencia],Tabla2[Clasificación],"XXX",0)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46220</v>
      </c>
      <c r="B25" t="s">
        <v>78</v>
      </c>
      <c r="C25" s="5" t="s">
        <v>131</v>
      </c>
      <c r="D25" t="s">
        <v>12</v>
      </c>
      <c r="E25" t="s">
        <v>40</v>
      </c>
      <c r="F25" t="s">
        <v>40</v>
      </c>
      <c r="G25" t="s">
        <v>132</v>
      </c>
      <c r="H25" t="s">
        <v>75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46220</v>
      </c>
      <c r="B26" t="s">
        <v>78</v>
      </c>
      <c r="C26" s="5" t="s">
        <v>133</v>
      </c>
      <c r="D26" t="s">
        <v>12</v>
      </c>
      <c r="E26" t="s">
        <v>10</v>
      </c>
      <c r="F26" t="s">
        <v>10</v>
      </c>
      <c r="G26" t="s">
        <v>72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46220</v>
      </c>
      <c r="B27" t="s">
        <v>78</v>
      </c>
      <c r="C27" s="5" t="s">
        <v>134</v>
      </c>
      <c r="D27" t="s">
        <v>12</v>
      </c>
      <c r="E27" t="s">
        <v>10</v>
      </c>
      <c r="F27" t="s">
        <v>10</v>
      </c>
      <c r="G27" t="s">
        <v>72</v>
      </c>
      <c r="H27" t="s">
        <v>75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46220</v>
      </c>
      <c r="B28" t="s">
        <v>78</v>
      </c>
      <c r="C28" s="5" t="s">
        <v>135</v>
      </c>
      <c r="D28" t="s">
        <v>12</v>
      </c>
      <c r="E28" t="s">
        <v>29</v>
      </c>
      <c r="F28" t="s">
        <v>29</v>
      </c>
      <c r="G28" t="s">
        <v>88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11">
        <v>46220</v>
      </c>
      <c r="B29" t="s">
        <v>70</v>
      </c>
      <c r="C29" s="5" t="s">
        <v>136</v>
      </c>
      <c r="D29" t="s">
        <v>9</v>
      </c>
      <c r="E29" t="s">
        <v>26</v>
      </c>
      <c r="F29" t="s">
        <v>26</v>
      </c>
      <c r="G29" t="s">
        <v>117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11">
        <v>46220</v>
      </c>
      <c r="B30" t="s">
        <v>70</v>
      </c>
      <c r="C30" s="5" t="s">
        <v>137</v>
      </c>
      <c r="D30" t="s">
        <v>12</v>
      </c>
      <c r="E30" t="s">
        <v>14</v>
      </c>
      <c r="F30" t="s">
        <v>14</v>
      </c>
      <c r="G30" t="s">
        <v>85</v>
      </c>
      <c r="H30" t="s">
        <v>11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x14ac:dyDescent="0.25">
      <c r="A31" s="11">
        <v>46220</v>
      </c>
      <c r="B31" t="s">
        <v>70</v>
      </c>
      <c r="C31" s="5" t="s">
        <v>138</v>
      </c>
      <c r="D31" t="s">
        <v>13</v>
      </c>
      <c r="E31" t="s">
        <v>14</v>
      </c>
      <c r="F31" t="s">
        <v>139</v>
      </c>
      <c r="G31" t="s">
        <v>130</v>
      </c>
      <c r="H31" t="s">
        <v>68</v>
      </c>
      <c r="I31" t="str">
        <f>_xlfn.XLOOKUP(Tabla1[[#This Row],[Dependencia]],Tabla2[Dependencia],Tabla2[Clasificación],"XXX",0)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46220</v>
      </c>
      <c r="B32" t="s">
        <v>70</v>
      </c>
      <c r="C32" s="5" t="s">
        <v>140</v>
      </c>
      <c r="D32" t="s">
        <v>12</v>
      </c>
      <c r="E32" t="s">
        <v>14</v>
      </c>
      <c r="F32" t="s">
        <v>141</v>
      </c>
      <c r="G32" t="s">
        <v>142</v>
      </c>
      <c r="H32" t="s">
        <v>68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75" x14ac:dyDescent="0.25">
      <c r="A33" s="11">
        <v>46220</v>
      </c>
      <c r="B33" t="s">
        <v>70</v>
      </c>
      <c r="C33" s="5" t="s">
        <v>143</v>
      </c>
      <c r="D33" t="s">
        <v>12</v>
      </c>
      <c r="E33" t="s">
        <v>18</v>
      </c>
      <c r="F33" t="s">
        <v>18</v>
      </c>
      <c r="G33" t="s">
        <v>144</v>
      </c>
      <c r="H33" t="s">
        <v>75</v>
      </c>
      <c r="I33" t="str">
        <f>_xlfn.XLOOKUP(Tabla1[[#This Row],[Dependencia]],Tabla2[Dependencia],Tabla2[Clasificación],"XXX",0)</f>
        <v>Partidos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46220</v>
      </c>
      <c r="B34" t="s">
        <v>69</v>
      </c>
      <c r="C34" s="5" t="s">
        <v>145</v>
      </c>
      <c r="D34" t="s">
        <v>13</v>
      </c>
      <c r="E34" t="s">
        <v>14</v>
      </c>
      <c r="F34" t="s">
        <v>14</v>
      </c>
      <c r="G34" t="s">
        <v>111</v>
      </c>
      <c r="H34" t="s">
        <v>68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x14ac:dyDescent="0.25">
      <c r="A35" s="11">
        <v>46220</v>
      </c>
      <c r="B35" t="s">
        <v>69</v>
      </c>
      <c r="C35" s="5" t="s">
        <v>146</v>
      </c>
      <c r="D35" t="s">
        <v>12</v>
      </c>
      <c r="E35" t="s">
        <v>36</v>
      </c>
      <c r="F35" t="s">
        <v>2</v>
      </c>
      <c r="G35" t="s">
        <v>147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46220</v>
      </c>
      <c r="B36" t="s">
        <v>69</v>
      </c>
      <c r="C36" s="5" t="s">
        <v>148</v>
      </c>
      <c r="D36" t="s">
        <v>12</v>
      </c>
      <c r="E36" t="s">
        <v>40</v>
      </c>
      <c r="F36" t="s">
        <v>40</v>
      </c>
      <c r="G36" t="s">
        <v>149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30" x14ac:dyDescent="0.25">
      <c r="A37" s="11">
        <v>46220</v>
      </c>
      <c r="B37" t="s">
        <v>69</v>
      </c>
      <c r="C37" s="5" t="s">
        <v>150</v>
      </c>
      <c r="D37" t="s">
        <v>12</v>
      </c>
      <c r="E37" t="s">
        <v>16</v>
      </c>
      <c r="F37" t="s">
        <v>16</v>
      </c>
      <c r="G37" t="s">
        <v>151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46220</v>
      </c>
      <c r="B38" t="s">
        <v>76</v>
      </c>
      <c r="C38" s="5" t="s">
        <v>152</v>
      </c>
      <c r="D38" t="s">
        <v>13</v>
      </c>
      <c r="E38" t="s">
        <v>10</v>
      </c>
      <c r="F38" t="s">
        <v>10</v>
      </c>
      <c r="G38" t="s">
        <v>153</v>
      </c>
      <c r="H38" t="s">
        <v>11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ht="30" x14ac:dyDescent="0.25">
      <c r="A39" s="11">
        <v>46220</v>
      </c>
      <c r="B39" t="s">
        <v>76</v>
      </c>
      <c r="C39" s="5" t="s">
        <v>154</v>
      </c>
      <c r="D39" t="s">
        <v>12</v>
      </c>
      <c r="E39" t="s">
        <v>23</v>
      </c>
      <c r="F39" t="s">
        <v>23</v>
      </c>
      <c r="G39" t="s">
        <v>155</v>
      </c>
      <c r="H39" t="s">
        <v>68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11">
        <v>46220</v>
      </c>
      <c r="B40" t="s">
        <v>76</v>
      </c>
      <c r="C40" s="5" t="s">
        <v>156</v>
      </c>
      <c r="D40" t="s">
        <v>12</v>
      </c>
      <c r="E40" t="s">
        <v>16</v>
      </c>
      <c r="F40" t="s">
        <v>16</v>
      </c>
      <c r="G40" t="s">
        <v>157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46220</v>
      </c>
      <c r="B41" t="s">
        <v>76</v>
      </c>
      <c r="C41" s="5" t="s">
        <v>158</v>
      </c>
      <c r="D41" t="s">
        <v>12</v>
      </c>
      <c r="E41" t="s">
        <v>16</v>
      </c>
      <c r="F41" t="s">
        <v>16</v>
      </c>
      <c r="G41" t="s">
        <v>159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46220</v>
      </c>
      <c r="B42" t="s">
        <v>76</v>
      </c>
      <c r="C42" s="5" t="s">
        <v>160</v>
      </c>
      <c r="D42" t="s">
        <v>12</v>
      </c>
      <c r="E42" t="s">
        <v>16</v>
      </c>
      <c r="F42" t="s">
        <v>16</v>
      </c>
      <c r="G42" t="s">
        <v>161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46220</v>
      </c>
      <c r="B43" t="s">
        <v>73</v>
      </c>
      <c r="C43" s="5" t="s">
        <v>162</v>
      </c>
      <c r="D43" t="s">
        <v>13</v>
      </c>
      <c r="E43" t="s">
        <v>16</v>
      </c>
      <c r="F43" t="s">
        <v>89</v>
      </c>
      <c r="G43" t="s">
        <v>163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46220</v>
      </c>
      <c r="B44" t="s">
        <v>73</v>
      </c>
      <c r="C44" s="5" t="s">
        <v>164</v>
      </c>
      <c r="D44" t="s">
        <v>12</v>
      </c>
      <c r="E44" t="s">
        <v>16</v>
      </c>
      <c r="F44" t="s">
        <v>16</v>
      </c>
      <c r="G44" t="s">
        <v>165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46220</v>
      </c>
      <c r="B45" t="s">
        <v>73</v>
      </c>
      <c r="C45" s="5" t="s">
        <v>166</v>
      </c>
      <c r="D45" t="s">
        <v>12</v>
      </c>
      <c r="E45" t="s">
        <v>22</v>
      </c>
      <c r="F45" t="s">
        <v>22</v>
      </c>
      <c r="G45" t="s">
        <v>109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11">
        <v>46220</v>
      </c>
      <c r="B46" t="s">
        <v>73</v>
      </c>
      <c r="C46" s="5" t="s">
        <v>167</v>
      </c>
      <c r="D46" t="s">
        <v>12</v>
      </c>
      <c r="E46" t="s">
        <v>29</v>
      </c>
      <c r="F46" t="s">
        <v>29</v>
      </c>
      <c r="G46" t="s">
        <v>168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11">
        <v>46220</v>
      </c>
      <c r="B47" t="s">
        <v>73</v>
      </c>
      <c r="C47" s="5" t="s">
        <v>169</v>
      </c>
      <c r="D47" t="s">
        <v>12</v>
      </c>
      <c r="E47" t="s">
        <v>16</v>
      </c>
      <c r="F47" t="s">
        <v>16</v>
      </c>
      <c r="G47" t="s">
        <v>170</v>
      </c>
      <c r="H47" t="s">
        <v>75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46220</v>
      </c>
      <c r="B48" t="s">
        <v>171</v>
      </c>
      <c r="C48" s="5" t="s">
        <v>172</v>
      </c>
      <c r="D48" t="s">
        <v>13</v>
      </c>
      <c r="E48" t="s">
        <v>19</v>
      </c>
      <c r="F48" t="s">
        <v>173</v>
      </c>
      <c r="G48" t="s">
        <v>147</v>
      </c>
      <c r="H48" t="s">
        <v>68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ht="45" x14ac:dyDescent="0.25">
      <c r="A49" s="11">
        <v>46220</v>
      </c>
      <c r="B49" t="s">
        <v>171</v>
      </c>
      <c r="C49" s="5" t="s">
        <v>174</v>
      </c>
      <c r="D49" t="s">
        <v>12</v>
      </c>
      <c r="E49" t="s">
        <v>36</v>
      </c>
      <c r="F49" t="s">
        <v>2</v>
      </c>
      <c r="G49" t="s">
        <v>147</v>
      </c>
      <c r="H49" t="s">
        <v>11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11">
        <v>46220</v>
      </c>
      <c r="B50" t="s">
        <v>171</v>
      </c>
      <c r="C50" s="5" t="s">
        <v>175</v>
      </c>
      <c r="D50" t="s">
        <v>12</v>
      </c>
      <c r="E50" t="s">
        <v>10</v>
      </c>
      <c r="F50" t="s">
        <v>10</v>
      </c>
      <c r="G50" t="s">
        <v>176</v>
      </c>
      <c r="H50" t="s">
        <v>68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45" x14ac:dyDescent="0.25">
      <c r="A51" s="11">
        <v>46220</v>
      </c>
      <c r="B51" t="s">
        <v>171</v>
      </c>
      <c r="C51" s="5" t="s">
        <v>177</v>
      </c>
      <c r="D51" t="s">
        <v>12</v>
      </c>
      <c r="E51" t="s">
        <v>16</v>
      </c>
      <c r="F51" t="s">
        <v>16</v>
      </c>
      <c r="G51" t="s">
        <v>178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46220</v>
      </c>
      <c r="B52" t="s">
        <v>171</v>
      </c>
      <c r="C52" s="5" t="s">
        <v>179</v>
      </c>
      <c r="D52" t="s">
        <v>12</v>
      </c>
      <c r="E52" t="s">
        <v>22</v>
      </c>
      <c r="F52" t="s">
        <v>22</v>
      </c>
      <c r="G52" t="s">
        <v>127</v>
      </c>
      <c r="H52" t="s">
        <v>68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46220</v>
      </c>
      <c r="B53" t="s">
        <v>171</v>
      </c>
      <c r="C53" s="5" t="s">
        <v>180</v>
      </c>
      <c r="D53" t="s">
        <v>12</v>
      </c>
      <c r="E53" t="s">
        <v>58</v>
      </c>
      <c r="F53" t="s">
        <v>2</v>
      </c>
      <c r="G53" t="s">
        <v>181</v>
      </c>
      <c r="H53" t="s">
        <v>68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x14ac:dyDescent="0.25">
      <c r="A54" s="11">
        <v>46220</v>
      </c>
      <c r="B54" t="s">
        <v>171</v>
      </c>
      <c r="C54" s="5" t="s">
        <v>90</v>
      </c>
      <c r="D54" t="s">
        <v>77</v>
      </c>
      <c r="E54" t="s">
        <v>10</v>
      </c>
      <c r="F54" t="s">
        <v>10</v>
      </c>
      <c r="G54" t="s">
        <v>91</v>
      </c>
      <c r="H54" t="s">
        <v>11</v>
      </c>
      <c r="I54" t="str">
        <f>_xlfn.XLOOKUP(Tabla1[[#This Row],[Dependencia]],Tabla2[Dependencia],Tabla2[Clasificación],"XXX",0)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46220</v>
      </c>
      <c r="B55" t="s">
        <v>84</v>
      </c>
      <c r="C55" s="5" t="s">
        <v>182</v>
      </c>
      <c r="D55" t="s">
        <v>13</v>
      </c>
      <c r="E55" t="s">
        <v>14</v>
      </c>
      <c r="F55" t="s">
        <v>14</v>
      </c>
      <c r="G55" t="s">
        <v>111</v>
      </c>
      <c r="H55" t="s">
        <v>68</v>
      </c>
      <c r="I55" t="str">
        <f>_xlfn.XLOOKUP(Tabla1[[#This Row],[Dependencia]],Tabla2[Dependencia],Tabla2[Clasificación],"XXX",0)</f>
        <v>Presidencia de la República</v>
      </c>
      <c r="J55" t="str">
        <f>_xlfn.XLOOKUP(Tabla1[[#This Row],[Dependencia]],Tabla3[Dependencia],Tabla3[Nivel],"Otros",0)</f>
        <v>Otros</v>
      </c>
    </row>
    <row r="56" spans="1:10" ht="30" x14ac:dyDescent="0.25">
      <c r="A56" s="11">
        <v>46220</v>
      </c>
      <c r="B56" t="s">
        <v>84</v>
      </c>
      <c r="C56" s="5" t="s">
        <v>183</v>
      </c>
      <c r="D56" t="s">
        <v>12</v>
      </c>
      <c r="E56" t="s">
        <v>16</v>
      </c>
      <c r="F56" t="s">
        <v>83</v>
      </c>
      <c r="G56" t="s">
        <v>184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46220</v>
      </c>
      <c r="B57" t="s">
        <v>84</v>
      </c>
      <c r="C57" s="5" t="s">
        <v>185</v>
      </c>
      <c r="D57" t="s">
        <v>12</v>
      </c>
      <c r="E57" t="s">
        <v>186</v>
      </c>
      <c r="F57" t="s">
        <v>186</v>
      </c>
      <c r="G57" t="s">
        <v>187</v>
      </c>
      <c r="H57" t="s">
        <v>68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46220</v>
      </c>
      <c r="B58" t="s">
        <v>84</v>
      </c>
      <c r="C58" s="5" t="s">
        <v>188</v>
      </c>
      <c r="D58" t="s">
        <v>12</v>
      </c>
      <c r="E58" t="s">
        <v>26</v>
      </c>
      <c r="F58" t="s">
        <v>26</v>
      </c>
      <c r="G58" t="s">
        <v>79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11">
        <v>46220</v>
      </c>
      <c r="B59" t="s">
        <v>84</v>
      </c>
      <c r="C59" s="5" t="s">
        <v>189</v>
      </c>
      <c r="D59" t="s">
        <v>12</v>
      </c>
      <c r="E59" t="s">
        <v>10</v>
      </c>
      <c r="F59" t="s">
        <v>10</v>
      </c>
      <c r="G59" t="s">
        <v>190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46220</v>
      </c>
      <c r="B60" t="s">
        <v>74</v>
      </c>
      <c r="C60" s="5" t="s">
        <v>191</v>
      </c>
      <c r="D60" t="s">
        <v>13</v>
      </c>
      <c r="E60" t="s">
        <v>22</v>
      </c>
      <c r="F60" t="s">
        <v>22</v>
      </c>
      <c r="G60" t="s">
        <v>192</v>
      </c>
      <c r="H60" t="s">
        <v>68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46220</v>
      </c>
      <c r="B61" t="s">
        <v>74</v>
      </c>
      <c r="C61" s="5" t="s">
        <v>193</v>
      </c>
      <c r="D61" t="s">
        <v>12</v>
      </c>
      <c r="E61" t="s">
        <v>33</v>
      </c>
      <c r="F61" t="s">
        <v>33</v>
      </c>
      <c r="G61" t="s">
        <v>194</v>
      </c>
      <c r="H61" t="s">
        <v>68</v>
      </c>
      <c r="I61" t="str">
        <f>_xlfn.XLOOKUP(Tabla1[[#This Row],[Dependencia]],Tabla2[Dependencia],Tabla2[Clasificación],"XXX",0)</f>
        <v>Otros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46220</v>
      </c>
      <c r="B62" t="s">
        <v>74</v>
      </c>
      <c r="C62" s="5" t="s">
        <v>195</v>
      </c>
      <c r="D62" t="s">
        <v>12</v>
      </c>
      <c r="E62" t="s">
        <v>14</v>
      </c>
      <c r="F62" t="s">
        <v>14</v>
      </c>
      <c r="G62" t="s">
        <v>130</v>
      </c>
      <c r="H62" t="s">
        <v>68</v>
      </c>
      <c r="I62" t="str">
        <f>_xlfn.XLOOKUP(Tabla1[[#This Row],[Dependencia]],Tabla2[Dependencia],Tabla2[Clasificación],"XXX",0)</f>
        <v>Presidencia de la República</v>
      </c>
      <c r="J62" t="str">
        <f>_xlfn.XLOOKUP(Tabla1[[#This Row],[Dependencia]],Tabla3[Dependencia],Tabla3[Nivel],"Otros",0)</f>
        <v>Otros</v>
      </c>
    </row>
    <row r="63" spans="1:10" x14ac:dyDescent="0.25">
      <c r="A63" s="11">
        <v>46220</v>
      </c>
      <c r="B63" t="s">
        <v>74</v>
      </c>
      <c r="C63" s="5" t="s">
        <v>196</v>
      </c>
      <c r="D63" t="s">
        <v>12</v>
      </c>
      <c r="E63" t="s">
        <v>26</v>
      </c>
      <c r="F63" t="s">
        <v>26</v>
      </c>
      <c r="G63" t="s">
        <v>117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ht="30" x14ac:dyDescent="0.25">
      <c r="A64" s="11">
        <v>46220</v>
      </c>
      <c r="B64" t="s">
        <v>74</v>
      </c>
      <c r="C64" s="5" t="s">
        <v>197</v>
      </c>
      <c r="D64" t="s">
        <v>12</v>
      </c>
      <c r="E64" t="s">
        <v>14</v>
      </c>
      <c r="F64" t="s">
        <v>14</v>
      </c>
      <c r="G64" t="s">
        <v>198</v>
      </c>
      <c r="H64" t="s">
        <v>75</v>
      </c>
      <c r="I64" t="str">
        <f>_xlfn.XLOOKUP(Tabla1[[#This Row],[Dependencia]],Tabla2[Dependencia],Tabla2[Clasificación],"XXX",0)</f>
        <v>Presidencia de la República</v>
      </c>
      <c r="J64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2026-07-17T15:55:49Z</dcterms:modified>
</cp:coreProperties>
</file>