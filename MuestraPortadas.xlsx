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portadas\"/>
    </mc:Choice>
  </mc:AlternateContent>
  <xr:revisionPtr revIDLastSave="0" documentId="13_ncr:1_{A9B8924F-723A-46E3-B484-F7E434E2CD16}" xr6:coauthVersionLast="47" xr6:coauthVersionMax="47" xr10:uidLastSave="{00000000-0000-0000-0000-000000000000}"/>
  <bookViews>
    <workbookView xWindow="-120" yWindow="-120" windowWidth="29040" windowHeight="15720" activeTab="1" xr2:uid="{56C16FF2-DC5E-4EA2-A3CB-6D506676B8B8}"/>
  </bookViews>
  <sheets>
    <sheet name="Hoja3" sheetId="3" r:id="rId1"/>
    <sheet name="Hoja1" sheetId="1" r:id="rId2"/>
    <sheet name="Hoja2" sheetId="2" r:id="rId3"/>
  </sheets>
  <calcPr calcId="191029"/>
  <pivotCaches>
    <pivotCache cacheId="1"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alcChain>
</file>

<file path=xl/sharedStrings.xml><?xml version="1.0" encoding="utf-8"?>
<sst xmlns="http://schemas.openxmlformats.org/spreadsheetml/2006/main" count="660" uniqueCount="183">
  <si>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</si>
  <si>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</si>
  <si>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</si>
  <si>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</si>
  <si>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</si>
  <si>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</si>
  <si>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</si>
  <si>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</si>
  <si>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</si>
  <si>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</si>
  <si>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</si>
  <si>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</si>
  <si>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</si>
  <si>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</si>
  <si>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</si>
  <si>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</si>
  <si>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</si>
  <si>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</si>
  <si>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</si>
  <si>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</si>
  <si>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</si>
  <si>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</si>
  <si>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</si>
  <si>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</si>
  <si>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</si>
  <si>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</si>
  <si>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</si>
  <si>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</si>
  <si>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</si>
  <si>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</si>
  <si>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</si>
  <si>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</si>
  <si>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</si>
  <si>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</si>
  <si>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</si>
  <si>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</si>
  <si>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</si>
  <si>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</si>
  <si>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</si>
  <si>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</si>
  <si>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</si>
  <si>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</si>
  <si>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</si>
  <si>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</si>
  <si>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</si>
  <si>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</si>
  <si>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</si>
  <si>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</si>
  <si>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</si>
  <si>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</si>
  <si>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</si>
  <si>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</si>
  <si>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</si>
  <si>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</si>
  <si>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</si>
  <si>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</si>
  <si>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</si>
  <si>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</si>
  <si>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</si>
  <si>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</si>
  <si>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</si>
  <si>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</si>
  <si>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</si>
  <si>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</si>
  <si>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</si>
  <si>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</si>
  <si>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</si>
  <si>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OCSAD</t>
  </si>
  <si>
    <t>Negativa</t>
  </si>
  <si>
    <t>El Universal Hidalgo</t>
  </si>
  <si>
    <t>Deportes</t>
  </si>
  <si>
    <t>Criterio</t>
  </si>
  <si>
    <t>Positiva</t>
  </si>
  <si>
    <t>Síntesis</t>
  </si>
  <si>
    <t>Milenio Hidalgo</t>
  </si>
  <si>
    <t>PAZ</t>
  </si>
  <si>
    <t>Plaza Juárez</t>
  </si>
  <si>
    <t>La Jornada Hidalgo</t>
  </si>
  <si>
    <t>Publicidad</t>
  </si>
  <si>
    <t>El Sol de Hidalgo</t>
  </si>
  <si>
    <t>Marfeca</t>
  </si>
  <si>
    <t>Cintillo</t>
  </si>
  <si>
    <t>Prevención cáncer de mama</t>
  </si>
  <si>
    <t>Alcalde</t>
  </si>
  <si>
    <t>Comparecencias</t>
  </si>
  <si>
    <t>Editorial</t>
  </si>
  <si>
    <t>Cuenta de Recurso editorial</t>
  </si>
  <si>
    <t>Etiquetas de fila</t>
  </si>
  <si>
    <t>Total general</t>
  </si>
  <si>
    <t>Effetá</t>
  </si>
  <si>
    <t>Pachuca Brilla</t>
  </si>
  <si>
    <t>Temas internacionales</t>
  </si>
  <si>
    <t>Recuerda: la detección temprana salva vidas</t>
  </si>
  <si>
    <t>Reforma De Ley</t>
  </si>
  <si>
    <t>Movilidad urbana</t>
  </si>
  <si>
    <t>Reunión con Empresarios</t>
  </si>
  <si>
    <t>Fotonota</t>
  </si>
  <si>
    <t>Sipdus</t>
  </si>
  <si>
    <t>Alianzas Electorales</t>
  </si>
  <si>
    <t>Policía municipal</t>
  </si>
  <si>
    <t>Demuelen la estación Tula</t>
  </si>
  <si>
    <t>SICT</t>
  </si>
  <si>
    <t>Tren México Querétaro</t>
  </si>
  <si>
    <t>Entre frío y pobreza se vive en la Prosperidad</t>
  </si>
  <si>
    <t>Falta de servicios públicos</t>
  </si>
  <si>
    <t>Cierran comercios por ausencia de visitantes</t>
  </si>
  <si>
    <t>Géiser</t>
  </si>
  <si>
    <t>Piden reparar baños y agua suficiente</t>
  </si>
  <si>
    <t>Universidades</t>
  </si>
  <si>
    <t>Vinculan a proceso a 282 exfuncionarios</t>
  </si>
  <si>
    <t>Apoyan con traslado de restos de 65 migrantes</t>
  </si>
  <si>
    <t>Definirá Morena a candidatos a través de encuestas</t>
  </si>
  <si>
    <t>Candidaturas</t>
  </si>
  <si>
    <t>Llama Menchaca a empresarios a generar prosperidad</t>
  </si>
  <si>
    <t>Rescatan vestigios en rua del tren</t>
  </si>
  <si>
    <t>INAH</t>
  </si>
  <si>
    <t>Recupera Hidalgo 436 inmuebles con valor de 1,300 mdp</t>
  </si>
  <si>
    <t>Almada busca vencer fantasma</t>
  </si>
  <si>
    <t>Pachuca, el amor eterno de María</t>
  </si>
  <si>
    <t>Alistan Fiscalía Especializada en Corrupción</t>
  </si>
  <si>
    <t>En dos horas, sentencias de adopción en el nuevo juzgado</t>
  </si>
  <si>
    <t>Adopción De Menores</t>
  </si>
  <si>
    <t>Se cancelaron 6 contratos por irregularidades</t>
  </si>
  <si>
    <t>Busca Morena que el TEEH sea quien escoja a su contralor</t>
  </si>
  <si>
    <t>Órgano Interno de Control</t>
  </si>
  <si>
    <t>Recurren a testamento personas de 30 a 40 años</t>
  </si>
  <si>
    <t>Testamento</t>
  </si>
  <si>
    <t>Desarticula PGJE 50 células criminales y va por reducir el rezago</t>
  </si>
  <si>
    <t>Oficialía mayor evita pérdidas por casi 74 mdp al Ejecutivo</t>
  </si>
  <si>
    <t>Exhortan notarios a no dejar el trámite de testamento</t>
  </si>
  <si>
    <t>Modalidad 40 "se prestaba a fraude", alega Claudia; el Senado revisa</t>
  </si>
  <si>
    <t>Silicon Valley y el impuesto a superricos</t>
  </si>
  <si>
    <t>Concanaco: Menchaca llama a empresarios a impulsar el empleo</t>
  </si>
  <si>
    <t>Buscará Jorge Reyes reelegirse como alcalde de Pachuca en 2027</t>
  </si>
  <si>
    <t>Reelección</t>
  </si>
  <si>
    <t>Tampa y Milwaukee van por su primer gallardete</t>
  </si>
  <si>
    <t>Pachuca, cuarta ciudad con más horas perdidas en el tránsito</t>
  </si>
  <si>
    <t>Destaca Procuraduría la reducción de 32.1% en rezago de carpetas</t>
  </si>
  <si>
    <t>Ricardo Monreal insiste en que no hay dinero</t>
  </si>
  <si>
    <t>Presupuesto De Egresos</t>
  </si>
  <si>
    <t>Al comparecer ante legisladores locales, el encargado del despacho de la PGJEH, Francisco Fernández Hasbun, reveló que se obtuvieron  tres órdenes de aprehensión contra presuntos responsables de la muerte de un estudiante.</t>
  </si>
  <si>
    <t>Los esfuerzos por evitar la competencia entre los taxis convencionales y  las plataformas se pueden anticipar, terminarán por ceder terreno a las  aplicaciones por la simple razón de que la ciudadanía demanda atención,  eficiencia, buen servicio y precios razonables”.</t>
  </si>
  <si>
    <t>Apps de transporte</t>
  </si>
  <si>
    <t>Anuncian creación de Fiscalía contra la Extorsión; operará a principios de 2027</t>
  </si>
  <si>
    <t>Jorge Reyes se registra para la Coordinación de la Defensa y Soberanía de Pachuca</t>
  </si>
  <si>
    <t>Oficialía Mayor penaliza 35 contratos y rescinde seis por incumplimiento</t>
  </si>
  <si>
    <t>Proponen fortalecer la autonomía del Tribunal Electoral en designación de su Órgano Interno de Control</t>
  </si>
  <si>
    <t>Convoca Menchaca a sector empresarial a generar prosperidad compartida en todo el país</t>
  </si>
  <si>
    <t>Fortalecen investigación, atención a víctimas e identificación humana</t>
  </si>
  <si>
    <t>México invertirá 736 mdd en 20 parques industriales</t>
  </si>
  <si>
    <t>Parque Industrial</t>
  </si>
  <si>
    <t>Casi la peor temporada Tuza</t>
  </si>
  <si>
    <t>Comparece por primera vez titular de Oficialía Mayor</t>
  </si>
  <si>
    <t>Propone Coparmex permitir la llegada de Uber a Hidalgo</t>
  </si>
  <si>
    <t>Oficialía Mayor reporta 99% de contratos por licitación pública</t>
  </si>
  <si>
    <t>Hidalgo presenta inversiones millonarias</t>
  </si>
  <si>
    <t>¿Se cocina bloque político en Hidalgo?</t>
  </si>
  <si>
    <t>Consigue PGJEH 46 vinculaciones a proceso contra exalcaldes</t>
  </si>
  <si>
    <t>Procuraduría obtiene nueve sentencias por feminicidio</t>
  </si>
  <si>
    <t>Jorge Reyes confirma registro en Morena para buscar la reelección</t>
  </si>
  <si>
    <t>Jorge Reyes se registra para la coordinación municipal de Morena en Pachuca</t>
  </si>
  <si>
    <t>Ofertan más de 100 vacantes en Feria del Empleo en Atotonilco de Tula</t>
  </si>
  <si>
    <t>Feria De Empleo</t>
  </si>
  <si>
    <t>Convoca Julio Menchaca a sector empresarial a generar prosperidad compartida en todo el país</t>
  </si>
  <si>
    <t>Fortalece PGJEH sus capacidades de investigación, atención a víctimas e identificación humana</t>
  </si>
  <si>
    <t>¡Vibrará la cuna celeste!</t>
  </si>
  <si>
    <t>Oficialía Mayor rinde cuentas sobre el correcto cumplimiento del gasto público</t>
  </si>
  <si>
    <t>Tlahuelilpan celebrará la sexta edición de Diosas de la Muerte</t>
  </si>
  <si>
    <t>Día De Muertos</t>
  </si>
  <si>
    <t>IEEH presenta el libro ""El IEEH y la Alternancia municipal""</t>
  </si>
  <si>
    <t>PRESENTACIÓN EDITORIAL</t>
  </si>
  <si>
    <t>21% obras de reconstrucción por vaguada están concluidas en Hidalgo</t>
  </si>
  <si>
    <t>Policía de Pachuca detiene a sujeto tras alerta por robo de bicicleta en el Palmar</t>
  </si>
  <si>
    <t>Detención</t>
  </si>
  <si>
    <t>Menchaca fortalece cooperación hacendaria con la Unión Europea</t>
  </si>
  <si>
    <t>Cooperación internacional</t>
  </si>
  <si>
    <t>Nación Azul</t>
  </si>
  <si>
    <t>Publicidad comercial</t>
  </si>
  <si>
    <t>Patrulla 81, Heavy Nopal, Ángeles de Charly y más grupos estarán en la feria Carboneras</t>
  </si>
  <si>
    <t>Feria Patronal</t>
  </si>
  <si>
    <t>Julio Menchaca fortalece cooperación hacendaria con la Unión Europea</t>
  </si>
  <si>
    <t>Atención a grupos vulnerables</t>
  </si>
  <si>
    <t>Prevención De Enfermedades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</si>
</sst>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5">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8">
    <dxf>
      <fill>
        <patternFill>
          <bgColor rgb="FFFF0000"/>
        </patternFill>
      </fill>
    </dxf>
    <dxf>
      <fill>
        <patternFill>
          <bgColor rgb="FFFF0000"/>
        </patternFill>
      </fill>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9.399708912038" createdVersion="8" refreshedVersion="8" minRefreshableVersion="3" recordCount="64" xr:uid="{24068B4B-A6D0-4CBB-8A00-540654793919}">
  <cacheSource type="worksheet">
    <worksheetSource name="Tabla1"/>
  </cacheSource>
  <cacheFields count="10">
    <cacheField name="Fecha" numFmtId="164">
      <sharedItems containsSemiMixedTypes="0" containsNonDate="0" containsDate="1" containsString="0" minDate="2026-10-14T00:00:00" maxDate="2026-10-15T00:00:00"/>
    </cacheField>
    <cacheField name="Medio" numFmtId="0">
      <sharedItems count="10">
        <s v="El Sol de Hidalgo"/>
        <s v="El Universal Hidalgo"/>
        <s v="Criterio"/>
        <s v="Milenio Hidalgo"/>
        <s v="La Jornada Hidalgo"/>
        <s v="Síntesis"/>
        <s v="Plaza Juárez"/>
        <s v="Effetá"/>
        <s v="Marfeca"/>
        <s v="Pachuca Brilla"/>
      </sharedItems>
    </cacheField>
    <cacheField name="Titular" numFmtId="0">
      <sharedItems longText="1"/>
    </cacheField>
    <cacheField name="Recurso editorial" numFmtId="0">
      <sharedItems count="6">
        <s v="Llamado"/>
        <s v="Foco gráfico"/>
        <s v="Ocho columnas"/>
        <s v="Editorial"/>
        <s v="Cintillo"/>
        <s v="Publicidad"/>
      </sharedItems>
    </cacheField>
    <cacheField name="Dependencia" numFmtId="0">
      <sharedItems/>
    </cacheField>
    <cacheField name="Organismo" numFmtId="0">
      <sharedItems/>
    </cacheField>
    <cacheField name="Tema" numFmtId="0">
      <sharedItems/>
    </cacheField>
    <cacheField name="Estatus" numFmtId="0">
      <sharedItems/>
    </cacheField>
    <cacheField name="Grupo" numFmtId="0">
      <sharedItems/>
    </cacheField>
    <cacheField name="Nivel"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d v="2026-10-14T00:00:00"/>
    <x v="0"/>
    <s v="Acumula Hidalgo 160 homicidios dolosos"/>
    <x v="0"/>
    <s v="Presidencia"/>
    <s v="Presidencia"/>
    <s v="Incidencia Delictiva"/>
    <s v="Informativa"/>
    <s v="Presidencia de la República"/>
    <s v="Otros"/>
  </r>
  <r>
    <d v="2026-10-14T00:00:00"/>
    <x v="0"/>
    <s v="Estiman entrega de viviendas en diciembre"/>
    <x v="0"/>
    <s v="Presidencia"/>
    <s v="Infonavit"/>
    <s v="Plan Nacional De Vivienda"/>
    <s v="Informativa"/>
    <s v="Presidencia de la República"/>
    <s v="Otros"/>
  </r>
  <r>
    <d v="2026-10-14T00:00:00"/>
    <x v="0"/>
    <s v="Se manifiestan en contra de ajuste salarial"/>
    <x v="1"/>
    <s v="Presidencia"/>
    <s v="IMSS"/>
    <s v="Protesta sindical"/>
    <s v="Negativa"/>
    <s v="Presidencia de la República"/>
    <s v="Otros"/>
  </r>
  <r>
    <d v="2026-10-14T00:00:00"/>
    <x v="0"/>
    <s v="Aumenta 96% ingreso propio"/>
    <x v="0"/>
    <s v="Hacienda"/>
    <s v="Titular"/>
    <s v="Comparecencias"/>
    <s v="Positiva"/>
    <s v="Gobierno del estado"/>
    <s v="Gabinete"/>
  </r>
  <r>
    <d v="2026-10-14T00:00:00"/>
    <x v="0"/>
    <s v="Por viaje en tren, no pagarían más de $100"/>
    <x v="2"/>
    <s v="Presidencia"/>
    <s v="SICT"/>
    <s v="Tren AIFA"/>
    <s v="Positiva"/>
    <s v="Presidencia de la República"/>
    <s v="Otros"/>
  </r>
  <r>
    <d v="2026-10-14T00:00:00"/>
    <x v="0"/>
    <s v="Delincuencia da nuevo uso al aceite comestible"/>
    <x v="0"/>
    <s v="Otros"/>
    <s v="Otros"/>
    <s v="Temas varios"/>
    <s v="Informativa"/>
    <s v="Otros"/>
    <s v="Otros"/>
  </r>
  <r>
    <d v="2026-10-14T00:00:00"/>
    <x v="1"/>
    <s v="Destacan estudiantes en Olimpiada de Informática"/>
    <x v="1"/>
    <s v="SEPH"/>
    <s v="SEPH"/>
    <s v="Olimpiada de informática"/>
    <s v="Positiva"/>
    <s v="Gobierno del estado"/>
    <s v="Gabinete"/>
  </r>
  <r>
    <d v="2026-10-14T00:00:00"/>
    <x v="1"/>
    <s v="Crecen 96% recursos propios en la entidad"/>
    <x v="2"/>
    <s v="Hacienda"/>
    <s v="Titular"/>
    <s v="Comparecencias"/>
    <s v="Positiva"/>
    <s v="Gobierno del estado"/>
    <s v="Gabinete"/>
  </r>
  <r>
    <d v="2026-10-14T00:00:00"/>
    <x v="1"/>
    <s v="Homicidios dolosos bajan 52% en 2 años: Sheinbaum"/>
    <x v="0"/>
    <s v="Presidencia"/>
    <s v="Presidencia"/>
    <s v="Incidencia Delictiva"/>
    <s v="Positiva"/>
    <s v="Presidencia de la República"/>
    <s v="Otros"/>
  </r>
  <r>
    <d v="2026-10-14T00:00:00"/>
    <x v="1"/>
    <s v="Estiman ahorro de 238 mdp"/>
    <x v="0"/>
    <s v="Ayuntamiento"/>
    <s v="Ayuntamiento"/>
    <s v="Reforma a contrataciones municipales"/>
    <s v="Informativa"/>
    <s v="Alcaldías"/>
    <s v="Otros"/>
  </r>
  <r>
    <d v="2026-10-14T00:00:00"/>
    <x v="1"/>
    <s v="Reprueban en turismo a Real del Monte"/>
    <x v="0"/>
    <s v="Turismo"/>
    <s v="Titular"/>
    <s v="Comparecencias"/>
    <s v="Negativa"/>
    <s v="Gobierno del estado"/>
    <s v="Gabinete"/>
  </r>
  <r>
    <d v="2026-10-14T00:00:00"/>
    <x v="1"/>
    <s v="Van 50 municipios en bloque vs reforma a cabildos"/>
    <x v="0"/>
    <s v="Ayuntamiento"/>
    <s v="Regidor"/>
    <s v="Reforma a contrataciones municipales"/>
    <s v="Informativa"/>
    <s v="Alcaldías"/>
    <s v="Otros"/>
  </r>
  <r>
    <d v="2026-10-14T00:00:00"/>
    <x v="2"/>
    <s v="Desploman la esperanza"/>
    <x v="0"/>
    <s v="Otros"/>
    <s v="Otros"/>
    <s v="Deportes"/>
    <s v="Informativa"/>
    <s v="Otros"/>
    <s v="Otros"/>
  </r>
  <r>
    <d v="2026-10-14T00:00:00"/>
    <x v="2"/>
    <s v="Los grandes marcan el paso en la Champions"/>
    <x v="0"/>
    <s v="Otros"/>
    <s v="Otros"/>
    <s v="Deportes"/>
    <s v="Informativa"/>
    <s v="Otros"/>
    <s v="Otros"/>
  </r>
  <r>
    <d v="2026-10-14T00:00:00"/>
    <x v="2"/>
    <s v="Casas del Bienestar: Hidalgo donará a la Federación predios"/>
    <x v="2"/>
    <s v="Presidencia"/>
    <s v="Presidencia"/>
    <s v="Plan Nacional De Vivienda"/>
    <s v="Informativa"/>
    <s v="Presidencia de la República"/>
    <s v="Otros"/>
  </r>
  <r>
    <d v="2026-10-14T00:00:00"/>
    <x v="2"/>
    <s v="Alma Carolina Viggiano acusa estrategia para desprestigiarla"/>
    <x v="0"/>
    <s v="Aspirantes"/>
    <s v="Viggiano"/>
    <s v="Enriquecimiento ilícito"/>
    <s v="Informativa"/>
    <s v="Sucesión gubernamental"/>
    <s v="Otros"/>
  </r>
  <r>
    <d v="2026-10-14T00:00:00"/>
    <x v="2"/>
    <s v="Siguen pendientes recursos para los afectados por la vaguada de 2025"/>
    <x v="0"/>
    <s v="Hacienda"/>
    <s v="Titular"/>
    <s v="Comparecencias"/>
    <s v="Informativa"/>
    <s v="Gobierno del estado"/>
    <s v="Gabinete"/>
  </r>
  <r>
    <d v="2026-10-14T00:00:00"/>
    <x v="2"/>
    <s v="Movilización del IMSS reúne a más de 1,500 trabajadores"/>
    <x v="1"/>
    <s v="Presidencia"/>
    <s v="IMSS"/>
    <s v="Protesta sindical"/>
    <s v="Negativa"/>
    <s v="Presidencia de la República"/>
    <s v="Otros"/>
  </r>
  <r>
    <d v="2026-10-14T00:00:00"/>
    <x v="2"/>
    <s v="Julio Soto levanta la mano: Buscará el ayuntamiento de Tulancingo en 2027"/>
    <x v="0"/>
    <s v="Otros"/>
    <s v="Otros"/>
    <s v="Aspirantes"/>
    <s v="Informativa"/>
    <s v="Otros"/>
    <s v="Otros"/>
  </r>
  <r>
    <d v="2026-10-14T00:00:00"/>
    <x v="3"/>
    <s v="Despresurizan al Poder Judicial con 40% de asuntos a mediación"/>
    <x v="2"/>
    <s v="TSJEH"/>
    <s v="Titular"/>
    <s v="Procuración de Justicia"/>
    <s v="Positiva"/>
    <s v="Otros"/>
    <s v="Otros"/>
  </r>
  <r>
    <d v="2026-10-14T00:00:00"/>
    <x v="3"/>
    <s v="Stephen King cierra ciclo con Carrie en serie"/>
    <x v="0"/>
    <s v="Otros"/>
    <s v="Otros"/>
    <s v="Temas varios"/>
    <s v="Informativa"/>
    <s v="Otros"/>
    <s v="Otros"/>
  </r>
  <r>
    <d v="2026-10-14T00:00:00"/>
    <x v="3"/>
    <s v="Goza Hidalgo de estabilidad y finanzas sanas"/>
    <x v="1"/>
    <s v="Hacienda"/>
    <s v="Titular"/>
    <s v="Comparecencias"/>
    <s v="Positiva"/>
    <s v="Gobierno del estado"/>
    <s v="Gabinete"/>
  </r>
  <r>
    <d v="2026-10-14T00:00:00"/>
    <x v="3"/>
    <s v="Río de las Avenidas: Prevén que la ampliación costará $500 millones"/>
    <x v="0"/>
    <s v="Sipdus"/>
    <s v="Sipdus"/>
    <s v="Rehabilitación Vial"/>
    <s v="Informativa"/>
    <s v="Gobierno del estado"/>
    <s v="Gabinete"/>
  </r>
  <r>
    <d v="2026-10-14T00:00:00"/>
    <x v="3"/>
    <s v="Instalan 556 nuevas cámaras para vigilar la ciudad"/>
    <x v="0"/>
    <s v="Ayuntamiento"/>
    <s v="Alcalde"/>
    <s v="Videovigilancia"/>
    <s v="Informativa"/>
    <s v="Alcaldías"/>
    <s v="Otros"/>
  </r>
  <r>
    <d v="2026-10-14T00:00:00"/>
    <x v="3"/>
    <s v="La FGR dobla recompensas por capos y proyectan seis nuevos penales en el país"/>
    <x v="0"/>
    <s v="Presidencia"/>
    <s v="FGR"/>
    <s v="Combate a la delincuencia"/>
    <s v="Informativa"/>
    <s v="Presidencia de la República"/>
    <s v="Otros"/>
  </r>
  <r>
    <d v="2026-10-14T00:00:00"/>
    <x v="3"/>
    <s v="Infraestructura y vivienda: Espera Claudia inversión por 8.4 biilones de pesos"/>
    <x v="0"/>
    <s v="Presidencia"/>
    <s v="Presidencia"/>
    <s v="Proyectos Federales"/>
    <s v="Informativa"/>
    <s v="Presidencia de la República"/>
    <s v="Otros"/>
  </r>
  <r>
    <d v="2026-10-14T00:00:00"/>
    <x v="3"/>
    <s v="Agrupaciones variopintas se unen a trabajadores del IMSS"/>
    <x v="0"/>
    <s v="Presidencia"/>
    <s v="IMSS"/>
    <s v="Protesta sindical"/>
    <s v="Negativa"/>
    <s v="Presidencia de la República"/>
    <s v="Otros"/>
  </r>
  <r>
    <d v="2026-10-14T00:00:00"/>
    <x v="3"/>
    <s v="Fideicomiso del Polo de desarrollo de Zapotlán para el mes de octubre"/>
    <x v="0"/>
    <s v="Sedeco"/>
    <s v="Sedeco"/>
    <s v="Polos del Bienestar"/>
    <s v="Positiva"/>
    <s v="Gobierno del estado"/>
    <s v="Gabinete"/>
  </r>
  <r>
    <d v="2026-10-14T00:00:00"/>
    <x v="4"/>
    <s v="Asignan 800 mdp para obras que atiendan daños por la vaguada"/>
    <x v="2"/>
    <s v="Hacienda"/>
    <s v="Titular"/>
    <s v="Comparecencias"/>
    <s v="Positiva"/>
    <s v="Gobierno del estado"/>
    <s v="Gabinete"/>
  </r>
  <r>
    <d v="2026-10-14T00:00:00"/>
    <x v="4"/>
    <s v="Puntual, comparecencia de García Harfuch: Ochoa"/>
    <x v="1"/>
    <s v="Aspirantes"/>
    <s v="Ochoa"/>
    <s v="Comparecencias"/>
    <s v="Informativa"/>
    <s v="Sucesión gubernamental"/>
    <s v="Otros"/>
  </r>
  <r>
    <d v="2026-10-14T00:00:00"/>
    <x v="4"/>
    <s v="NINDE MOLRE: La protesta  nunca debe ser leída de  forma aislada, todas sus  manifestaciones tienen un origen anterior,  en el que la mayoría de las veces las  autoridades han sido omisas o deficientes  frente a esa problemática mayor que nos  impacta a todas las personas”."/>
    <x v="0"/>
    <s v="Otros"/>
    <s v="Otros"/>
    <s v="Omisión"/>
    <s v="Informativa"/>
    <s v="Otros"/>
    <s v="Otros"/>
  </r>
  <r>
    <d v="2026-10-14T00:00:00"/>
    <x v="4"/>
    <s v="Harfuch captura a más de 70 mil"/>
    <x v="0"/>
    <s v="Presidencia"/>
    <s v="Seguridad Ciudadana"/>
    <s v="Combate a la delincuencia"/>
    <s v="Informativa"/>
    <s v="Presidencia de la República"/>
    <s v="Otros"/>
  </r>
  <r>
    <d v="2026-10-14T00:00:00"/>
    <x v="4"/>
    <s v="Personal del IMSS sale a las calles por cuarta ocasión"/>
    <x v="0"/>
    <s v="Presidencia"/>
    <s v="IMSS"/>
    <s v="Protesta sindical"/>
    <s v="Negativa"/>
    <s v="Presidencia de la República"/>
    <s v="Otros"/>
  </r>
  <r>
    <d v="2026-10-14T00:00:00"/>
    <x v="5"/>
    <s v="Marchan en Pachuca más de mil trabajadores del IMSS contra aumento salarial de 2.9%"/>
    <x v="2"/>
    <s v="Gobierno"/>
    <s v="Gobierno"/>
    <s v="Protesta sindical"/>
    <s v="Negativa"/>
    <s v="Gobierno del estado"/>
    <s v="Gabinete"/>
  </r>
  <r>
    <d v="2026-10-14T00:00:00"/>
    <x v="5"/>
    <s v="A un año de la vaguada, Hidalgo ejecuta el 82% de recursos estatales para reconstrucción"/>
    <x v="0"/>
    <s v="Hacienda"/>
    <s v="Titular"/>
    <s v="Comparecencias"/>
    <s v="Informativa"/>
    <s v="Gobierno del estado"/>
    <s v="Gabinete"/>
  </r>
  <r>
    <d v="2026-10-14T00:00:00"/>
    <x v="5"/>
    <s v="Hidalgo registra reducción del 30.1% en homicidios dolosos"/>
    <x v="0"/>
    <s v="Presidencia"/>
    <s v="Presidencia"/>
    <s v="Incidencia Delictiva"/>
    <s v="Positiva"/>
    <s v="Presidencia de la República"/>
    <s v="Otros"/>
  </r>
  <r>
    <d v="2026-10-14T00:00:00"/>
    <x v="5"/>
    <s v="Jorge Reyes supervisa funcionamiento de cámaras de videovigilancia en La Loma"/>
    <x v="0"/>
    <s v="Ayuntamiento"/>
    <s v="Alcalde"/>
    <s v="Videovigilancia"/>
    <s v="Informativa"/>
    <s v="Alcaldías"/>
    <s v="Otros"/>
  </r>
  <r>
    <d v="2026-10-14T00:00:00"/>
    <x v="6"/>
    <s v="Ingresos propios de Hidalgo crecieron 96 por ciento: Secretaría de Hacienda"/>
    <x v="2"/>
    <s v="Hacienda"/>
    <s v="Titular"/>
    <s v="Comparecencias"/>
    <s v="Positiva"/>
    <s v="Gobierno del estado"/>
    <s v="Gabinete"/>
  </r>
  <r>
    <d v="2026-10-14T00:00:00"/>
    <x v="6"/>
    <s v="En dos años, los homicidios dolosos en México disminuyeron un 52%"/>
    <x v="0"/>
    <s v="Presidencia"/>
    <s v="Presidencia"/>
    <s v="Incidencia Delictiva"/>
    <s v="Positiva"/>
    <s v="Presidencia de la República"/>
    <s v="Otros"/>
  </r>
  <r>
    <d v="2026-10-14T00:00:00"/>
    <x v="6"/>
    <s v="Es doloroso y vergonzoso  que los médicos tengan  que salir a las calles a pedir  medicamentos y  equipamiento y  peor que no sean  escuchados por la  federación…"/>
    <x v="3"/>
    <s v="Presidencia"/>
    <s v="IMSS"/>
    <s v="Protesta sindical"/>
    <s v="Negativa"/>
    <s v="Presidencia de la República"/>
    <s v="Otros"/>
  </r>
  <r>
    <d v="2026-10-14T00:00:00"/>
    <x v="6"/>
    <s v="Trabajadores del IMSS exigen mejores condiciones laborales"/>
    <x v="0"/>
    <s v="Presidencia"/>
    <s v="IMSS"/>
    <s v="Protesta sindical"/>
    <s v="Negativa"/>
    <s v="Presidencia de la República"/>
    <s v="Otros"/>
  </r>
  <r>
    <d v="2026-10-14T00:00:00"/>
    <x v="6"/>
    <s v="Primera condena por violencia vicaria en Hidalgo"/>
    <x v="0"/>
    <s v="TSJEH"/>
    <s v="TSJEH"/>
    <s v="Violencia Vicaria"/>
    <s v="Positiva"/>
    <s v="Otros"/>
    <s v="Otros"/>
  </r>
  <r>
    <d v="2026-10-14T00:00:00"/>
    <x v="7"/>
    <s v="Hidalgo, entre los 5 estados con mejor manejo de deuda pública"/>
    <x v="2"/>
    <s v="Hacienda"/>
    <s v="Titular"/>
    <s v="Comparecencias"/>
    <s v="Informativa"/>
    <s v="Gobierno del estado"/>
    <s v="Gabinete"/>
  </r>
  <r>
    <d v="2026-10-14T00:00:00"/>
    <x v="7"/>
    <s v="IMSS protagoniza tercera protesta en Pachuca"/>
    <x v="1"/>
    <s v="Presidencia"/>
    <s v="IMSS"/>
    <s v="Protesta sindical"/>
    <s v="Negativa"/>
    <s v="Presidencia de la República"/>
    <s v="Otros"/>
  </r>
  <r>
    <d v="2026-10-14T00:00:00"/>
    <x v="7"/>
    <s v="Andrés Velázquez reconoce interés electoral entre diputados"/>
    <x v="0"/>
    <s v="Congreso"/>
    <s v="Junta de Gobierno"/>
    <s v="Aspirantes"/>
    <s v="Informativa"/>
    <s v="Otros"/>
    <s v="Otros"/>
  </r>
  <r>
    <d v="2026-10-14T00:00:00"/>
    <x v="7"/>
    <s v="Real del Monte, el pueblo mágico peor calificado de Hidalgo"/>
    <x v="0"/>
    <s v="Turismo"/>
    <s v="Titular"/>
    <s v="Comparecencias"/>
    <s v="Informativa"/>
    <s v="Gobierno del estado"/>
    <s v="Gabinete"/>
  </r>
  <r>
    <d v="2026-10-14T00:00:00"/>
    <x v="7"/>
    <s v="Instalan nuevas cámaras de vigilancia en La Loma"/>
    <x v="0"/>
    <s v="Ayuntamiento"/>
    <s v="Alcalde"/>
    <s v="Videovigilancia"/>
    <s v="Informativa"/>
    <s v="Alcaldías"/>
    <s v="Otros"/>
  </r>
  <r>
    <d v="2026-10-14T00:00:00"/>
    <x v="7"/>
    <s v="Hidalgo reduce 30.1% los homicidios dolosos"/>
    <x v="0"/>
    <s v="Presidencia"/>
    <s v="Presidencia"/>
    <s v="Incidencia Delictiva"/>
    <s v="Positiva"/>
    <s v="Presidencia de la República"/>
    <s v="Otros"/>
  </r>
  <r>
    <d v="2026-10-14T00:00:00"/>
    <x v="8"/>
    <s v="2 lesionados tras accidentar 4 vehículos en la Jorobas-Tula"/>
    <x v="4"/>
    <s v="Otros"/>
    <s v="Otros"/>
    <s v="Accidente Carretero"/>
    <s v="Informativa"/>
    <s v="Otros"/>
    <s v="Otros"/>
  </r>
  <r>
    <d v="2026-10-14T00:00:00"/>
    <x v="8"/>
    <s v="Hidalgo vive un momento histórico: finanzas sólidas e inversión récord"/>
    <x v="0"/>
    <s v="Hacienda"/>
    <s v="Titular"/>
    <s v="Comparecencias"/>
    <s v="Positiva"/>
    <s v="Gobierno del estado"/>
    <s v="Gabinete"/>
  </r>
  <r>
    <d v="2026-10-14T00:00:00"/>
    <x v="8"/>
    <s v="El Vaticano confirma que el Papa León XIV padece cáncer de pulmón"/>
    <x v="2"/>
    <s v="Otros"/>
    <s v="Otros"/>
    <s v="Temas internacionales"/>
    <s v="Informativa"/>
    <s v="Otros"/>
    <s v="Otros"/>
  </r>
  <r>
    <d v="2026-10-14T00:00:00"/>
    <x v="8"/>
    <s v="Diálogo abierto y atención directa con la ciudadanía en la Mesa de Seguridad de Tenango de Doria"/>
    <x v="0"/>
    <s v="Segobh"/>
    <s v="Titular"/>
    <s v="Mesas de acercamiento"/>
    <s v="Positiva"/>
    <s v="Gobierno del estado"/>
    <s v="Gabinete"/>
  </r>
  <r>
    <d v="2026-10-14T00:00:00"/>
    <x v="8"/>
    <s v="Nuevas cámaras de videovigilancia en La Loma, Pachuca; Jorge Reyes supervisa su funcionamiento"/>
    <x v="0"/>
    <s v="Ayuntamiento"/>
    <s v="Alcalde"/>
    <s v="Videovigilancia"/>
    <s v="Informativa"/>
    <s v="Alcaldías"/>
    <s v="Otros"/>
  </r>
  <r>
    <d v="2026-10-14T00:00:00"/>
    <x v="8"/>
    <s v="Hidalgo fortalece la atención a la infancia desde sus primeros años de vida"/>
    <x v="0"/>
    <s v="SSH"/>
    <s v="titul"/>
    <s v="Atención médica"/>
    <s v="Positiva"/>
    <s v="Gobierno del estado"/>
    <s v="Gabinete"/>
  </r>
  <r>
    <d v="2026-10-14T00:00:00"/>
    <x v="8"/>
    <s v="Desde Molango continúa la nueva historia del magisterio con encuentro de jubilados del SNTE"/>
    <x v="0"/>
    <s v="Otros"/>
    <s v="Otros"/>
    <s v="Reunión con sindicato"/>
    <s v="Informativa"/>
    <s v="Otros"/>
    <s v="Otros"/>
  </r>
  <r>
    <d v="2026-10-14T00:00:00"/>
    <x v="8"/>
    <s v="Marchan nuevamente trabajadores del IMSS en Pachuca; exigen destitución de líder sindical"/>
    <x v="0"/>
    <s v="Presidencia"/>
    <s v="IMSS"/>
    <s v="Protesta sindical"/>
    <s v="Negativa"/>
    <s v="Presidencia de la República"/>
    <s v="Otros"/>
  </r>
  <r>
    <d v="2026-10-14T00:00:00"/>
    <x v="8"/>
    <s v="25 años Pueblos Mágicos"/>
    <x v="5"/>
    <s v="Turismo"/>
    <s v="Turismo"/>
    <s v="Pueblos Mágicos"/>
    <s v="Informativa"/>
    <s v="Gobierno del estado"/>
    <s v="Gabinete"/>
  </r>
  <r>
    <d v="2026-10-14T00:00:00"/>
    <x v="9"/>
    <s v="Nuevas cámaras de videovigilancia en La Loma, Pachuca; Jorge Reyes supervisa su funcionamiento"/>
    <x v="2"/>
    <s v="Ayuntamiento"/>
    <s v="Alcalde"/>
    <s v="Videovigilancia"/>
    <s v="Informativa"/>
    <s v="Alcaldías"/>
    <s v="Otros"/>
  </r>
  <r>
    <d v="2026-10-14T00:00:00"/>
    <x v="9"/>
    <s v="Todo listo para Pachuca Rock Fest en su nueva sede"/>
    <x v="0"/>
    <s v="Otros"/>
    <s v="Otros"/>
    <s v="Cartelera De Eventos"/>
    <s v="Informativa"/>
    <s v="Otros"/>
    <s v="Otros"/>
  </r>
  <r>
    <d v="2026-10-14T00:00:00"/>
    <x v="9"/>
    <s v="Talento hidalguense destaca en las Olimpiadas Mexicanas de Informática 2026"/>
    <x v="0"/>
    <s v="SEPH"/>
    <s v="SEPH"/>
    <s v="Olimpiada de informática"/>
    <s v="Positiva"/>
    <s v="Gobierno del estado"/>
    <s v="Gabinete"/>
  </r>
  <r>
    <d v="2026-10-14T00:00:00"/>
    <x v="9"/>
    <s v="Hidlago vive un momento histórico con finanzas sólidas e inversión récord: Hacienda"/>
    <x v="0"/>
    <s v="Hacienda"/>
    <s v="Titular"/>
    <s v="Comparecencias"/>
    <s v="Positiva"/>
    <s v="Gobierno del estado"/>
    <s v="Gabinete"/>
  </r>
  <r>
    <d v="2026-10-14T00:00:00"/>
    <x v="9"/>
    <s v="ariana Seoane y La Casetera hicieron bailar a la feria"/>
    <x v="0"/>
    <s v="Turismo"/>
    <s v="OEEH"/>
    <s v="Feria Pachuca"/>
    <s v="Positiva"/>
    <s v="Gobierno del estado"/>
    <s v="Gabinete"/>
  </r>
  <r>
    <d v="2026-10-14T00:00:00"/>
    <x v="9"/>
    <s v="61 niñas, niños y adolescentes encontraron un hogar a través de la adopción"/>
    <x v="5"/>
    <s v="DIFH"/>
    <s v="DIFH"/>
    <s v="Informe de actividades"/>
    <s v="Informativa"/>
    <s v="Gobierno del estado"/>
    <s v="Gabinete"/>
  </r>
  <r>
    <d v="2026-10-14T00:00:00"/>
    <x v="9"/>
    <s v="Recuerda: La detección temprana salva vidas"/>
    <x v="0"/>
    <s v="Ayuntamiento"/>
    <s v="Ayuntamiento"/>
    <s v="Prevención cáncer de mama"/>
    <s v="Informativa"/>
    <s v="Alcaldías"/>
    <s v="Otro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EED8E4-C61E-4489-B373-2D4A90347DBF}"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B45" firstHeaderRow="1" firstDataRow="1" firstDataCol="1"/>
  <pivotFields count="10">
    <pivotField numFmtId="164" showAll="0"/>
    <pivotField axis="axisRow" showAll="0">
      <items count="11">
        <item x="2"/>
        <item x="0"/>
        <item x="1"/>
        <item x="4"/>
        <item x="8"/>
        <item x="3"/>
        <item x="6"/>
        <item x="5"/>
        <item x="7"/>
        <item x="9"/>
        <item t="default"/>
      </items>
    </pivotField>
    <pivotField showAll="0"/>
    <pivotField axis="axisRow" dataField="1" showAll="0">
      <items count="7">
        <item x="4"/>
        <item x="3"/>
        <item x="1"/>
        <item x="0"/>
        <item x="2"/>
        <item x="5"/>
        <item t="default"/>
      </items>
    </pivotField>
    <pivotField showAll="0"/>
    <pivotField showAll="0"/>
    <pivotField showAll="0"/>
    <pivotField showAll="0"/>
    <pivotField showAll="0"/>
    <pivotField showAll="0"/>
  </pivotFields>
  <rowFields count="2">
    <field x="1"/>
    <field x="3"/>
  </rowFields>
  <rowItems count="41">
    <i>
      <x/>
    </i>
    <i r="1">
      <x v="2"/>
    </i>
    <i r="1">
      <x v="3"/>
    </i>
    <i r="1">
      <x v="4"/>
    </i>
    <i>
      <x v="1"/>
    </i>
    <i r="1">
      <x v="2"/>
    </i>
    <i r="1">
      <x v="3"/>
    </i>
    <i r="1">
      <x v="4"/>
    </i>
    <i>
      <x v="2"/>
    </i>
    <i r="1">
      <x v="2"/>
    </i>
    <i r="1">
      <x v="3"/>
    </i>
    <i r="1">
      <x v="4"/>
    </i>
    <i>
      <x v="3"/>
    </i>
    <i r="1">
      <x v="2"/>
    </i>
    <i r="1">
      <x v="3"/>
    </i>
    <i r="1">
      <x v="4"/>
    </i>
    <i>
      <x v="4"/>
    </i>
    <i r="1">
      <x/>
    </i>
    <i r="1">
      <x v="3"/>
    </i>
    <i r="1">
      <x v="4"/>
    </i>
    <i r="1">
      <x v="5"/>
    </i>
    <i>
      <x v="5"/>
    </i>
    <i r="1">
      <x v="2"/>
    </i>
    <i r="1">
      <x v="3"/>
    </i>
    <i r="1">
      <x v="4"/>
    </i>
    <i>
      <x v="6"/>
    </i>
    <i r="1">
      <x v="1"/>
    </i>
    <i r="1">
      <x v="3"/>
    </i>
    <i r="1">
      <x v="4"/>
    </i>
    <i>
      <x v="7"/>
    </i>
    <i r="1">
      <x v="3"/>
    </i>
    <i r="1">
      <x v="4"/>
    </i>
    <i>
      <x v="8"/>
    </i>
    <i r="1">
      <x v="2"/>
    </i>
    <i r="1">
      <x v="3"/>
    </i>
    <i r="1">
      <x v="4"/>
    </i>
    <i>
      <x v="9"/>
    </i>
    <i r="1">
      <x v="3"/>
    </i>
    <i r="1">
      <x v="4"/>
    </i>
    <i r="1">
      <x v="5"/>
    </i>
    <i t="grand">
      <x/>
    </i>
  </rowItems>
  <colItems count="1">
    <i/>
  </colItems>
  <dataFields count="1">
    <dataField name="Cuenta de Recurso editorial"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6" totalsRowShown="0" headerRowDxfId="7" headerRowBorderDxfId="6">
  <autoFilter ref="A1:J66" xr:uid="{5593606E-308D-4113-AE3C-6E714B763B6E}"/>
  <tableColumns count="10">
    <tableColumn id="1" xr3:uid="{9D9ACAF2-1710-400E-A0E5-0A5BB378D4A0}" name="Fecha" dataDxfId="5"/>
    <tableColumn id="2" xr3:uid="{03A139BE-A997-45E6-81E6-5F7467162FC5}" name="Medio"/>
    <tableColumn id="3" xr3:uid="{4CA37DD5-010E-43EE-907D-87C1845DB2AB}" name="Titular" dataDxfId="4"/>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9" totalsRowShown="0">
  <autoFilter ref="A1:B49"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3">
  <autoFilter ref="D1:E27" xr:uid="{80AFAA35-C663-4971-9820-992B55167F9C}"/>
  <sortState xmlns:xlrd2="http://schemas.microsoft.com/office/spreadsheetml/2017/richdata2" ref="D2:E27">
    <sortCondition ref="D1:D27"/>
  </sortState>
  <tableColumns count="2">
    <tableColumn id="1" xr3:uid="{A040A308-8C62-4D4B-B3BE-EC124A9B961C}" name="Dependencia" dataDxfId="2"/>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B67DB-D046-44C0-B978-386A50233412}">
  <dimension ref="A4:B45"/>
  <sheetViews>
    <sheetView topLeftCell="A16" workbookViewId="0">
      <selection activeCell="A27" sqref="A27"/>
    </sheetView>
  </sheetViews>
  <sheetFormatPr baseColWidth="10" defaultRowHeight="15" x14ac:dyDescent="0.25"/>
  <cols>
    <col min="1" max="1" width="20.85546875" bestFit="1" customWidth="1"/>
    <col min="2" max="2" width="26.5703125" bestFit="1" customWidth="1"/>
  </cols>
  <sheetData>
    <row r="4" spans="1:2" x14ac:dyDescent="0.25">
      <c r="A4" s="12" t="s">
        <v>87</v>
      </c>
      <c r="B4" t="s">
        <v>86</v>
      </c>
    </row>
    <row r="5" spans="1:2" x14ac:dyDescent="0.25">
      <c r="A5" s="13" t="s">
        <v>71</v>
      </c>
      <c r="B5">
        <v>7</v>
      </c>
    </row>
    <row r="6" spans="1:2" x14ac:dyDescent="0.25">
      <c r="A6" s="14" t="s">
        <v>9</v>
      </c>
      <c r="B6">
        <v>1</v>
      </c>
    </row>
    <row r="7" spans="1:2" x14ac:dyDescent="0.25">
      <c r="A7" s="14" t="s">
        <v>12</v>
      </c>
      <c r="B7">
        <v>5</v>
      </c>
    </row>
    <row r="8" spans="1:2" x14ac:dyDescent="0.25">
      <c r="A8" s="14" t="s">
        <v>13</v>
      </c>
      <c r="B8">
        <v>1</v>
      </c>
    </row>
    <row r="9" spans="1:2" x14ac:dyDescent="0.25">
      <c r="A9" s="13" t="s">
        <v>79</v>
      </c>
      <c r="B9">
        <v>6</v>
      </c>
    </row>
    <row r="10" spans="1:2" x14ac:dyDescent="0.25">
      <c r="A10" s="14" t="s">
        <v>9</v>
      </c>
      <c r="B10">
        <v>1</v>
      </c>
    </row>
    <row r="11" spans="1:2" x14ac:dyDescent="0.25">
      <c r="A11" s="14" t="s">
        <v>12</v>
      </c>
      <c r="B11">
        <v>4</v>
      </c>
    </row>
    <row r="12" spans="1:2" x14ac:dyDescent="0.25">
      <c r="A12" s="14" t="s">
        <v>13</v>
      </c>
      <c r="B12">
        <v>1</v>
      </c>
    </row>
    <row r="13" spans="1:2" x14ac:dyDescent="0.25">
      <c r="A13" s="13" t="s">
        <v>69</v>
      </c>
      <c r="B13">
        <v>6</v>
      </c>
    </row>
    <row r="14" spans="1:2" x14ac:dyDescent="0.25">
      <c r="A14" s="14" t="s">
        <v>9</v>
      </c>
      <c r="B14">
        <v>1</v>
      </c>
    </row>
    <row r="15" spans="1:2" x14ac:dyDescent="0.25">
      <c r="A15" s="14" t="s">
        <v>12</v>
      </c>
      <c r="B15">
        <v>4</v>
      </c>
    </row>
    <row r="16" spans="1:2" x14ac:dyDescent="0.25">
      <c r="A16" s="14" t="s">
        <v>13</v>
      </c>
      <c r="B16">
        <v>1</v>
      </c>
    </row>
    <row r="17" spans="1:2" x14ac:dyDescent="0.25">
      <c r="A17" s="13" t="s">
        <v>77</v>
      </c>
      <c r="B17">
        <v>5</v>
      </c>
    </row>
    <row r="18" spans="1:2" x14ac:dyDescent="0.25">
      <c r="A18" s="14" t="s">
        <v>9</v>
      </c>
      <c r="B18">
        <v>1</v>
      </c>
    </row>
    <row r="19" spans="1:2" x14ac:dyDescent="0.25">
      <c r="A19" s="14" t="s">
        <v>12</v>
      </c>
      <c r="B19">
        <v>3</v>
      </c>
    </row>
    <row r="20" spans="1:2" x14ac:dyDescent="0.25">
      <c r="A20" s="14" t="s">
        <v>13</v>
      </c>
      <c r="B20">
        <v>1</v>
      </c>
    </row>
    <row r="21" spans="1:2" x14ac:dyDescent="0.25">
      <c r="A21" s="13" t="s">
        <v>80</v>
      </c>
      <c r="B21">
        <v>9</v>
      </c>
    </row>
    <row r="22" spans="1:2" x14ac:dyDescent="0.25">
      <c r="A22" s="14" t="s">
        <v>81</v>
      </c>
      <c r="B22">
        <v>1</v>
      </c>
    </row>
    <row r="23" spans="1:2" x14ac:dyDescent="0.25">
      <c r="A23" s="14" t="s">
        <v>12</v>
      </c>
      <c r="B23">
        <v>6</v>
      </c>
    </row>
    <row r="24" spans="1:2" x14ac:dyDescent="0.25">
      <c r="A24" s="14" t="s">
        <v>13</v>
      </c>
      <c r="B24">
        <v>1</v>
      </c>
    </row>
    <row r="25" spans="1:2" x14ac:dyDescent="0.25">
      <c r="A25" s="14" t="s">
        <v>78</v>
      </c>
      <c r="B25">
        <v>1</v>
      </c>
    </row>
    <row r="26" spans="1:2" x14ac:dyDescent="0.25">
      <c r="A26" s="13" t="s">
        <v>74</v>
      </c>
      <c r="B26">
        <v>9</v>
      </c>
    </row>
    <row r="27" spans="1:2" x14ac:dyDescent="0.25">
      <c r="A27" s="14" t="s">
        <v>9</v>
      </c>
      <c r="B27">
        <v>1</v>
      </c>
    </row>
    <row r="28" spans="1:2" x14ac:dyDescent="0.25">
      <c r="A28" s="14" t="s">
        <v>12</v>
      </c>
      <c r="B28">
        <v>7</v>
      </c>
    </row>
    <row r="29" spans="1:2" x14ac:dyDescent="0.25">
      <c r="A29" s="14" t="s">
        <v>13</v>
      </c>
      <c r="B29">
        <v>1</v>
      </c>
    </row>
    <row r="30" spans="1:2" x14ac:dyDescent="0.25">
      <c r="A30" s="13" t="s">
        <v>76</v>
      </c>
      <c r="B30">
        <v>5</v>
      </c>
    </row>
    <row r="31" spans="1:2" x14ac:dyDescent="0.25">
      <c r="A31" s="14" t="s">
        <v>85</v>
      </c>
      <c r="B31">
        <v>1</v>
      </c>
    </row>
    <row r="32" spans="1:2" x14ac:dyDescent="0.25">
      <c r="A32" s="14" t="s">
        <v>12</v>
      </c>
      <c r="B32">
        <v>3</v>
      </c>
    </row>
    <row r="33" spans="1:2" x14ac:dyDescent="0.25">
      <c r="A33" s="14" t="s">
        <v>13</v>
      </c>
      <c r="B33">
        <v>1</v>
      </c>
    </row>
    <row r="34" spans="1:2" x14ac:dyDescent="0.25">
      <c r="A34" s="13" t="s">
        <v>73</v>
      </c>
      <c r="B34">
        <v>4</v>
      </c>
    </row>
    <row r="35" spans="1:2" x14ac:dyDescent="0.25">
      <c r="A35" s="14" t="s">
        <v>12</v>
      </c>
      <c r="B35">
        <v>3</v>
      </c>
    </row>
    <row r="36" spans="1:2" x14ac:dyDescent="0.25">
      <c r="A36" s="14" t="s">
        <v>13</v>
      </c>
      <c r="B36">
        <v>1</v>
      </c>
    </row>
    <row r="37" spans="1:2" x14ac:dyDescent="0.25">
      <c r="A37" s="13" t="s">
        <v>89</v>
      </c>
      <c r="B37">
        <v>6</v>
      </c>
    </row>
    <row r="38" spans="1:2" x14ac:dyDescent="0.25">
      <c r="A38" s="14" t="s">
        <v>9</v>
      </c>
      <c r="B38">
        <v>1</v>
      </c>
    </row>
    <row r="39" spans="1:2" x14ac:dyDescent="0.25">
      <c r="A39" s="14" t="s">
        <v>12</v>
      </c>
      <c r="B39">
        <v>4</v>
      </c>
    </row>
    <row r="40" spans="1:2" x14ac:dyDescent="0.25">
      <c r="A40" s="14" t="s">
        <v>13</v>
      </c>
      <c r="B40">
        <v>1</v>
      </c>
    </row>
    <row r="41" spans="1:2" x14ac:dyDescent="0.25">
      <c r="A41" s="13" t="s">
        <v>90</v>
      </c>
      <c r="B41">
        <v>7</v>
      </c>
    </row>
    <row r="42" spans="1:2" x14ac:dyDescent="0.25">
      <c r="A42" s="14" t="s">
        <v>12</v>
      </c>
      <c r="B42">
        <v>5</v>
      </c>
    </row>
    <row r="43" spans="1:2" x14ac:dyDescent="0.25">
      <c r="A43" s="14" t="s">
        <v>13</v>
      </c>
      <c r="B43">
        <v>1</v>
      </c>
    </row>
    <row r="44" spans="1:2" x14ac:dyDescent="0.25">
      <c r="A44" s="14" t="s">
        <v>78</v>
      </c>
      <c r="B44">
        <v>1</v>
      </c>
    </row>
    <row r="45" spans="1:2" x14ac:dyDescent="0.25">
      <c r="A45" s="13" t="s">
        <v>88</v>
      </c>
      <c r="B45">
        <v>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6"/>
  <sheetViews>
    <sheetView tabSelected="1" workbookViewId="0">
      <selection activeCell="G16" sqref="G16"/>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46318</v>
      </c>
      <c r="B2" t="s">
        <v>79</v>
      </c>
      <c r="C2" s="5" t="s">
        <v>100</v>
      </c>
      <c r="D2" t="s">
        <v>12</v>
      </c>
      <c r="E2" t="s">
        <v>14</v>
      </c>
      <c r="F2" t="s">
        <v>101</v>
      </c>
      <c r="G2" t="s">
        <v>102</v>
      </c>
      <c r="H2" t="s">
        <v>11</v>
      </c>
      <c r="I2" t="str">
        <f>_xlfn.XLOOKUP(Tabla1[[#This Row],[Dependencia]],Tabla2[Dependencia],Tabla2[Clasificación],"XXX",0)</f>
        <v>Presidencia de la República</v>
      </c>
      <c r="J2" t="str">
        <f>_xlfn.XLOOKUP(Tabla1[[#This Row],[Dependencia]],Tabla3[Dependencia],Tabla3[Nivel],"Otros",0)</f>
        <v>Otros</v>
      </c>
    </row>
    <row r="3" spans="1:10" x14ac:dyDescent="0.25">
      <c r="A3" s="11">
        <v>46318</v>
      </c>
      <c r="B3" t="s">
        <v>79</v>
      </c>
      <c r="C3" s="5" t="s">
        <v>103</v>
      </c>
      <c r="D3" t="s">
        <v>13</v>
      </c>
      <c r="E3" t="s">
        <v>16</v>
      </c>
      <c r="F3" t="s">
        <v>16</v>
      </c>
      <c r="G3" t="s">
        <v>104</v>
      </c>
      <c r="H3" t="s">
        <v>68</v>
      </c>
      <c r="I3" t="str">
        <f>_xlfn.XLOOKUP(Tabla1[[#This Row],[Dependencia]],Tabla2[Dependencia],Tabla2[Clasificación],"XXX",0)</f>
        <v>Alcaldías</v>
      </c>
      <c r="J3" t="str">
        <f>_xlfn.XLOOKUP(Tabla1[[#This Row],[Dependencia]],Tabla3[Dependencia],Tabla3[Nivel],"Otros",0)</f>
        <v>Otros</v>
      </c>
    </row>
    <row r="4" spans="1:10" x14ac:dyDescent="0.25">
      <c r="A4" s="11">
        <v>46318</v>
      </c>
      <c r="B4" t="s">
        <v>79</v>
      </c>
      <c r="C4" s="5" t="s">
        <v>105</v>
      </c>
      <c r="D4" t="s">
        <v>12</v>
      </c>
      <c r="E4" t="s">
        <v>29</v>
      </c>
      <c r="F4" t="s">
        <v>29</v>
      </c>
      <c r="G4" t="s">
        <v>106</v>
      </c>
      <c r="H4" t="s">
        <v>68</v>
      </c>
      <c r="I4" t="str">
        <f>_xlfn.XLOOKUP(Tabla1[[#This Row],[Dependencia]],Tabla2[Dependencia],Tabla2[Clasificación],"XXX",0)</f>
        <v>Gobierno del estado</v>
      </c>
      <c r="J4" t="str">
        <f>_xlfn.XLOOKUP(Tabla1[[#This Row],[Dependencia]],Tabla3[Dependencia],Tabla3[Nivel],"Otros",0)</f>
        <v>Gabinete</v>
      </c>
    </row>
    <row r="5" spans="1:10" x14ac:dyDescent="0.25">
      <c r="A5" s="11">
        <v>46318</v>
      </c>
      <c r="B5" t="s">
        <v>79</v>
      </c>
      <c r="C5" s="5" t="s">
        <v>107</v>
      </c>
      <c r="D5" t="s">
        <v>12</v>
      </c>
      <c r="E5" t="s">
        <v>26</v>
      </c>
      <c r="F5" t="s">
        <v>108</v>
      </c>
      <c r="G5" t="s">
        <v>104</v>
      </c>
      <c r="H5" t="s">
        <v>68</v>
      </c>
      <c r="I5" t="str">
        <f>_xlfn.XLOOKUP(Tabla1[[#This Row],[Dependencia]],Tabla2[Dependencia],Tabla2[Clasificación],"XXX",0)</f>
        <v>Gobierno del estado</v>
      </c>
      <c r="J5" t="str">
        <f>_xlfn.XLOOKUP(Tabla1[[#This Row],[Dependencia]],Tabla3[Dependencia],Tabla3[Nivel],"Otros",0)</f>
        <v>Gabinete</v>
      </c>
    </row>
    <row r="6" spans="1:10" x14ac:dyDescent="0.25">
      <c r="A6" s="11">
        <v>46318</v>
      </c>
      <c r="B6" t="s">
        <v>69</v>
      </c>
      <c r="C6" s="5" t="s">
        <v>109</v>
      </c>
      <c r="D6" t="s">
        <v>13</v>
      </c>
      <c r="E6" t="s">
        <v>17</v>
      </c>
      <c r="F6" t="s">
        <v>2</v>
      </c>
      <c r="G6" t="s">
        <v>84</v>
      </c>
      <c r="H6" t="s">
        <v>11</v>
      </c>
      <c r="I6" t="str">
        <f>_xlfn.XLOOKUP(Tabla1[[#This Row],[Dependencia]],Tabla2[Dependencia],Tabla2[Clasificación],"XXX",0)</f>
        <v>Gobierno del estado</v>
      </c>
      <c r="J6" t="str">
        <f>_xlfn.XLOOKUP(Tabla1[[#This Row],[Dependencia]],Tabla3[Dependencia],Tabla3[Nivel],"Otros",0)</f>
        <v>Gabinete</v>
      </c>
    </row>
    <row r="7" spans="1:10" x14ac:dyDescent="0.25">
      <c r="A7" s="11">
        <v>46318</v>
      </c>
      <c r="B7" t="s">
        <v>69</v>
      </c>
      <c r="C7" s="5" t="s">
        <v>110</v>
      </c>
      <c r="D7" t="s">
        <v>12</v>
      </c>
      <c r="E7" t="s">
        <v>19</v>
      </c>
      <c r="F7" t="s">
        <v>2</v>
      </c>
      <c r="G7" t="s">
        <v>84</v>
      </c>
      <c r="H7" t="s">
        <v>11</v>
      </c>
      <c r="I7" t="str">
        <f>_xlfn.XLOOKUP(Tabla1[[#This Row],[Dependencia]],Tabla2[Dependencia],Tabla2[Clasificación],"XXX",0)</f>
        <v>Gobierno del estado</v>
      </c>
      <c r="J7" t="str">
        <f>_xlfn.XLOOKUP(Tabla1[[#This Row],[Dependencia]],Tabla3[Dependencia],Tabla3[Nivel],"Otros",0)</f>
        <v>Gabinete</v>
      </c>
    </row>
    <row r="8" spans="1:10" x14ac:dyDescent="0.25">
      <c r="A8" s="11">
        <v>46318</v>
      </c>
      <c r="B8" t="s">
        <v>69</v>
      </c>
      <c r="C8" s="5" t="s">
        <v>111</v>
      </c>
      <c r="D8" t="s">
        <v>12</v>
      </c>
      <c r="E8" t="s">
        <v>18</v>
      </c>
      <c r="F8" t="s">
        <v>18</v>
      </c>
      <c r="G8" t="s">
        <v>112</v>
      </c>
      <c r="H8" t="s">
        <v>11</v>
      </c>
      <c r="I8" t="str">
        <f>_xlfn.XLOOKUP(Tabla1[[#This Row],[Dependencia]],Tabla2[Dependencia],Tabla2[Clasificación],"XXX",0)</f>
        <v>Partidos</v>
      </c>
      <c r="J8" t="str">
        <f>_xlfn.XLOOKUP(Tabla1[[#This Row],[Dependencia]],Tabla3[Dependencia],Tabla3[Nivel],"Otros",0)</f>
        <v>Otros</v>
      </c>
    </row>
    <row r="9" spans="1:10" x14ac:dyDescent="0.25">
      <c r="A9" s="11">
        <v>46318</v>
      </c>
      <c r="B9" t="s">
        <v>69</v>
      </c>
      <c r="C9" s="5" t="s">
        <v>113</v>
      </c>
      <c r="D9" t="s">
        <v>9</v>
      </c>
      <c r="E9" t="s">
        <v>24</v>
      </c>
      <c r="F9" t="s">
        <v>24</v>
      </c>
      <c r="G9" t="s">
        <v>95</v>
      </c>
      <c r="H9" t="s">
        <v>11</v>
      </c>
      <c r="I9" t="str">
        <f>_xlfn.XLOOKUP(Tabla1[[#This Row],[Dependencia]],Tabla2[Dependencia],Tabla2[Clasificación],"XXX",0)</f>
        <v>Gobierno del estado</v>
      </c>
      <c r="J9" t="str">
        <f>_xlfn.XLOOKUP(Tabla1[[#This Row],[Dependencia]],Tabla3[Dependencia],Tabla3[Nivel],"Otros",0)</f>
        <v>Gobernador</v>
      </c>
    </row>
    <row r="10" spans="1:10" x14ac:dyDescent="0.25">
      <c r="A10" s="11">
        <v>46318</v>
      </c>
      <c r="B10" t="s">
        <v>69</v>
      </c>
      <c r="C10" s="5" t="s">
        <v>114</v>
      </c>
      <c r="D10" t="s">
        <v>12</v>
      </c>
      <c r="E10" t="s">
        <v>14</v>
      </c>
      <c r="F10" t="s">
        <v>115</v>
      </c>
      <c r="G10" t="s">
        <v>102</v>
      </c>
      <c r="H10" t="s">
        <v>11</v>
      </c>
      <c r="I10" t="str">
        <f>_xlfn.XLOOKUP(Tabla1[[#This Row],[Dependencia]],Tabla2[Dependencia],Tabla2[Clasificación],"XXX",0)</f>
        <v>Presidencia de la República</v>
      </c>
      <c r="J10" t="str">
        <f>_xlfn.XLOOKUP(Tabla1[[#This Row],[Dependencia]],Tabla3[Dependencia],Tabla3[Nivel],"Otros",0)</f>
        <v>Otros</v>
      </c>
    </row>
    <row r="11" spans="1:10" ht="30" x14ac:dyDescent="0.25">
      <c r="A11" s="11">
        <v>46318</v>
      </c>
      <c r="B11" t="s">
        <v>69</v>
      </c>
      <c r="C11" s="5" t="s">
        <v>116</v>
      </c>
      <c r="D11" t="s">
        <v>12</v>
      </c>
      <c r="E11" t="s">
        <v>21</v>
      </c>
      <c r="F11" t="s">
        <v>2</v>
      </c>
      <c r="G11" t="s">
        <v>84</v>
      </c>
      <c r="H11" t="s">
        <v>11</v>
      </c>
      <c r="I11" t="str">
        <f>_xlfn.XLOOKUP(Tabla1[[#This Row],[Dependencia]],Tabla2[Dependencia],Tabla2[Clasificación],"XXX",0)</f>
        <v>Gobierno del estado</v>
      </c>
      <c r="J11" t="str">
        <f>_xlfn.XLOOKUP(Tabla1[[#This Row],[Dependencia]],Tabla3[Dependencia],Tabla3[Nivel],"Otros",0)</f>
        <v>Gabinete</v>
      </c>
    </row>
    <row r="12" spans="1:10" x14ac:dyDescent="0.25">
      <c r="A12" s="11">
        <v>46318</v>
      </c>
      <c r="B12" t="s">
        <v>71</v>
      </c>
      <c r="C12" s="5" t="s">
        <v>117</v>
      </c>
      <c r="D12" t="s">
        <v>12</v>
      </c>
      <c r="E12" t="s">
        <v>10</v>
      </c>
      <c r="F12" t="s">
        <v>10</v>
      </c>
      <c r="G12" t="s">
        <v>70</v>
      </c>
      <c r="H12" t="s">
        <v>11</v>
      </c>
      <c r="I12" t="str">
        <f>_xlfn.XLOOKUP(Tabla1[[#This Row],[Dependencia]],Tabla2[Dependencia],Tabla2[Clasificación],"XXX",0)</f>
        <v>Otros</v>
      </c>
      <c r="J12" t="str">
        <f>_xlfn.XLOOKUP(Tabla1[[#This Row],[Dependencia]],Tabla3[Dependencia],Tabla3[Nivel],"Otros",0)</f>
        <v>Otros</v>
      </c>
    </row>
    <row r="13" spans="1:10" x14ac:dyDescent="0.25">
      <c r="A13" s="11">
        <v>46318</v>
      </c>
      <c r="B13" t="s">
        <v>71</v>
      </c>
      <c r="C13" s="5" t="s">
        <v>118</v>
      </c>
      <c r="D13" t="s">
        <v>12</v>
      </c>
      <c r="E13" t="s">
        <v>10</v>
      </c>
      <c r="F13" t="s">
        <v>10</v>
      </c>
      <c r="G13" t="s">
        <v>70</v>
      </c>
      <c r="H13" t="s">
        <v>11</v>
      </c>
      <c r="I13" t="str">
        <f>_xlfn.XLOOKUP(Tabla1[[#This Row],[Dependencia]],Tabla2[Dependencia],Tabla2[Clasificación],"XXX",0)</f>
        <v>Otros</v>
      </c>
      <c r="J13" t="str">
        <f>_xlfn.XLOOKUP(Tabla1[[#This Row],[Dependencia]],Tabla3[Dependencia],Tabla3[Nivel],"Otros",0)</f>
        <v>Otros</v>
      </c>
    </row>
    <row r="14" spans="1:10" x14ac:dyDescent="0.25">
      <c r="A14" s="11">
        <v>46318</v>
      </c>
      <c r="B14" t="s">
        <v>71</v>
      </c>
      <c r="C14" s="5" t="s">
        <v>119</v>
      </c>
      <c r="D14" t="s">
        <v>13</v>
      </c>
      <c r="E14" t="s">
        <v>17</v>
      </c>
      <c r="F14" t="s">
        <v>2</v>
      </c>
      <c r="G14" t="s">
        <v>84</v>
      </c>
      <c r="H14" t="s">
        <v>11</v>
      </c>
      <c r="I14" t="str">
        <f>_xlfn.XLOOKUP(Tabla1[[#This Row],[Dependencia]],Tabla2[Dependencia],Tabla2[Clasificación],"XXX",0)</f>
        <v>Gobierno del estado</v>
      </c>
      <c r="J14" t="str">
        <f>_xlfn.XLOOKUP(Tabla1[[#This Row],[Dependencia]],Tabla3[Dependencia],Tabla3[Nivel],"Otros",0)</f>
        <v>Gabinete</v>
      </c>
    </row>
    <row r="15" spans="1:10" ht="30" x14ac:dyDescent="0.25">
      <c r="A15" s="11">
        <v>46318</v>
      </c>
      <c r="B15" t="s">
        <v>71</v>
      </c>
      <c r="C15" s="5" t="s">
        <v>120</v>
      </c>
      <c r="D15" t="s">
        <v>12</v>
      </c>
      <c r="E15" t="s">
        <v>58</v>
      </c>
      <c r="F15" t="s">
        <v>58</v>
      </c>
      <c r="G15" t="s">
        <v>121</v>
      </c>
      <c r="H15" t="s">
        <v>72</v>
      </c>
      <c r="I15" t="str">
        <f>_xlfn.XLOOKUP(Tabla1[[#This Row],[Dependencia]],Tabla2[Dependencia],Tabla2[Clasificación],"XXX",0)</f>
        <v>Otros</v>
      </c>
      <c r="J15" t="str">
        <f>_xlfn.XLOOKUP(Tabla1[[#This Row],[Dependencia]],Tabla3[Dependencia],Tabla3[Nivel],"Otros",0)</f>
        <v>Otros</v>
      </c>
    </row>
    <row r="16" spans="1:10" x14ac:dyDescent="0.25">
      <c r="A16" s="11">
        <v>46318</v>
      </c>
      <c r="B16" t="s">
        <v>71</v>
      </c>
      <c r="C16" s="5" t="s">
        <v>122</v>
      </c>
      <c r="D16" t="s">
        <v>9</v>
      </c>
      <c r="E16" t="s">
        <v>21</v>
      </c>
      <c r="F16" t="s">
        <v>2</v>
      </c>
      <c r="G16" t="s">
        <v>84</v>
      </c>
      <c r="H16" t="s">
        <v>11</v>
      </c>
      <c r="I16" t="str">
        <f>_xlfn.XLOOKUP(Tabla1[[#This Row],[Dependencia]],Tabla2[Dependencia],Tabla2[Clasificación],"XXX",0)</f>
        <v>Gobierno del estado</v>
      </c>
      <c r="J16" t="str">
        <f>_xlfn.XLOOKUP(Tabla1[[#This Row],[Dependencia]],Tabla3[Dependencia],Tabla3[Nivel],"Otros",0)</f>
        <v>Gabinete</v>
      </c>
    </row>
    <row r="17" spans="1:10" ht="30" x14ac:dyDescent="0.25">
      <c r="A17" s="11">
        <v>46318</v>
      </c>
      <c r="B17" t="s">
        <v>71</v>
      </c>
      <c r="C17" s="5" t="s">
        <v>123</v>
      </c>
      <c r="D17" t="s">
        <v>12</v>
      </c>
      <c r="E17" t="s">
        <v>18</v>
      </c>
      <c r="F17" t="s">
        <v>18</v>
      </c>
      <c r="G17" t="s">
        <v>124</v>
      </c>
      <c r="H17" t="s">
        <v>11</v>
      </c>
      <c r="I17" t="str">
        <f>_xlfn.XLOOKUP(Tabla1[[#This Row],[Dependencia]],Tabla2[Dependencia],Tabla2[Clasificación],"XXX",0)</f>
        <v>Partidos</v>
      </c>
      <c r="J17" t="str">
        <f>_xlfn.XLOOKUP(Tabla1[[#This Row],[Dependencia]],Tabla3[Dependencia],Tabla3[Nivel],"Otros",0)</f>
        <v>Otros</v>
      </c>
    </row>
    <row r="18" spans="1:10" x14ac:dyDescent="0.25">
      <c r="A18" s="11">
        <v>46318</v>
      </c>
      <c r="B18" t="s">
        <v>71</v>
      </c>
      <c r="C18" s="5" t="s">
        <v>125</v>
      </c>
      <c r="D18" t="s">
        <v>12</v>
      </c>
      <c r="E18" t="s">
        <v>10</v>
      </c>
      <c r="F18" t="s">
        <v>10</v>
      </c>
      <c r="G18" t="s">
        <v>126</v>
      </c>
      <c r="H18" t="s">
        <v>11</v>
      </c>
      <c r="I18" t="str">
        <f>_xlfn.XLOOKUP(Tabla1[[#This Row],[Dependencia]],Tabla2[Dependencia],Tabla2[Clasificación],"XXX",0)</f>
        <v>Otros</v>
      </c>
      <c r="J18" t="str">
        <f>_xlfn.XLOOKUP(Tabla1[[#This Row],[Dependencia]],Tabla3[Dependencia],Tabla3[Nivel],"Otros",0)</f>
        <v>Otros</v>
      </c>
    </row>
    <row r="19" spans="1:10" ht="30" x14ac:dyDescent="0.25">
      <c r="A19" s="11">
        <v>46318</v>
      </c>
      <c r="B19" t="s">
        <v>74</v>
      </c>
      <c r="C19" s="5" t="s">
        <v>127</v>
      </c>
      <c r="D19" t="s">
        <v>13</v>
      </c>
      <c r="E19" t="s">
        <v>17</v>
      </c>
      <c r="F19" t="s">
        <v>2</v>
      </c>
      <c r="G19" t="s">
        <v>84</v>
      </c>
      <c r="H19" t="s">
        <v>72</v>
      </c>
      <c r="I19" t="str">
        <f>_xlfn.XLOOKUP(Tabla1[[#This Row],[Dependencia]],Tabla2[Dependencia],Tabla2[Clasificación],"XXX",0)</f>
        <v>Gobierno del estado</v>
      </c>
      <c r="J19" t="str">
        <f>_xlfn.XLOOKUP(Tabla1[[#This Row],[Dependencia]],Tabla3[Dependencia],Tabla3[Nivel],"Otros",0)</f>
        <v>Gabinete</v>
      </c>
    </row>
    <row r="20" spans="1:10" ht="30" x14ac:dyDescent="0.25">
      <c r="A20" s="11">
        <v>46318</v>
      </c>
      <c r="B20" t="s">
        <v>74</v>
      </c>
      <c r="C20" s="5" t="s">
        <v>128</v>
      </c>
      <c r="D20" t="s">
        <v>12</v>
      </c>
      <c r="E20" t="s">
        <v>21</v>
      </c>
      <c r="F20" t="s">
        <v>2</v>
      </c>
      <c r="G20" t="s">
        <v>84</v>
      </c>
      <c r="H20" t="s">
        <v>72</v>
      </c>
      <c r="I20" t="str">
        <f>_xlfn.XLOOKUP(Tabla1[[#This Row],[Dependencia]],Tabla2[Dependencia],Tabla2[Clasificación],"XXX",0)</f>
        <v>Gobierno del estado</v>
      </c>
      <c r="J20" t="str">
        <f>_xlfn.XLOOKUP(Tabla1[[#This Row],[Dependencia]],Tabla3[Dependencia],Tabla3[Nivel],"Otros",0)</f>
        <v>Gabinete</v>
      </c>
    </row>
    <row r="21" spans="1:10" x14ac:dyDescent="0.25">
      <c r="A21" s="11">
        <v>46318</v>
      </c>
      <c r="B21" t="s">
        <v>74</v>
      </c>
      <c r="C21" s="5" t="s">
        <v>129</v>
      </c>
      <c r="D21" t="s">
        <v>12</v>
      </c>
      <c r="E21" t="s">
        <v>10</v>
      </c>
      <c r="F21" t="s">
        <v>10</v>
      </c>
      <c r="G21" t="s">
        <v>126</v>
      </c>
      <c r="H21" t="s">
        <v>11</v>
      </c>
      <c r="I21" t="str">
        <f>_xlfn.XLOOKUP(Tabla1[[#This Row],[Dependencia]],Tabla2[Dependencia],Tabla2[Clasificación],"XXX",0)</f>
        <v>Otros</v>
      </c>
      <c r="J21" t="str">
        <f>_xlfn.XLOOKUP(Tabla1[[#This Row],[Dependencia]],Tabla3[Dependencia],Tabla3[Nivel],"Otros",0)</f>
        <v>Otros</v>
      </c>
    </row>
    <row r="22" spans="1:10" ht="30" x14ac:dyDescent="0.25">
      <c r="A22" s="11">
        <v>46318</v>
      </c>
      <c r="B22" t="s">
        <v>74</v>
      </c>
      <c r="C22" s="5" t="s">
        <v>130</v>
      </c>
      <c r="D22" t="s">
        <v>12</v>
      </c>
      <c r="E22" t="s">
        <v>14</v>
      </c>
      <c r="F22" t="s">
        <v>14</v>
      </c>
      <c r="G22" t="s">
        <v>93</v>
      </c>
      <c r="H22" t="s">
        <v>11</v>
      </c>
      <c r="I22" t="str">
        <f>_xlfn.XLOOKUP(Tabla1[[#This Row],[Dependencia]],Tabla2[Dependencia],Tabla2[Clasificación],"XXX",0)</f>
        <v>Presidencia de la República</v>
      </c>
      <c r="J22" t="str">
        <f>_xlfn.XLOOKUP(Tabla1[[#This Row],[Dependencia]],Tabla3[Dependencia],Tabla3[Nivel],"Otros",0)</f>
        <v>Otros</v>
      </c>
    </row>
    <row r="23" spans="1:10" x14ac:dyDescent="0.25">
      <c r="A23" s="11">
        <v>46318</v>
      </c>
      <c r="B23" t="s">
        <v>74</v>
      </c>
      <c r="C23" s="5" t="s">
        <v>131</v>
      </c>
      <c r="D23" t="s">
        <v>12</v>
      </c>
      <c r="E23" t="s">
        <v>10</v>
      </c>
      <c r="F23" t="s">
        <v>10</v>
      </c>
      <c r="G23" t="s">
        <v>91</v>
      </c>
      <c r="H23" t="s">
        <v>11</v>
      </c>
      <c r="I23" t="str">
        <f>_xlfn.XLOOKUP(Tabla1[[#This Row],[Dependencia]],Tabla2[Dependencia],Tabla2[Clasificación],"XXX",0)</f>
        <v>Otros</v>
      </c>
      <c r="J23" t="str">
        <f>_xlfn.XLOOKUP(Tabla1[[#This Row],[Dependencia]],Tabla3[Dependencia],Tabla3[Nivel],"Otros",0)</f>
        <v>Otros</v>
      </c>
    </row>
    <row r="24" spans="1:10" ht="30" x14ac:dyDescent="0.25">
      <c r="A24" s="11">
        <v>46318</v>
      </c>
      <c r="B24" t="s">
        <v>74</v>
      </c>
      <c r="C24" s="5" t="s">
        <v>132</v>
      </c>
      <c r="D24" t="s">
        <v>9</v>
      </c>
      <c r="E24" t="s">
        <v>24</v>
      </c>
      <c r="F24" t="s">
        <v>24</v>
      </c>
      <c r="G24" t="s">
        <v>95</v>
      </c>
      <c r="H24" t="s">
        <v>72</v>
      </c>
      <c r="I24" t="str">
        <f>_xlfn.XLOOKUP(Tabla1[[#This Row],[Dependencia]],Tabla2[Dependencia],Tabla2[Clasificación],"XXX",0)</f>
        <v>Gobierno del estado</v>
      </c>
      <c r="J24" t="str">
        <f>_xlfn.XLOOKUP(Tabla1[[#This Row],[Dependencia]],Tabla3[Dependencia],Tabla3[Nivel],"Otros",0)</f>
        <v>Gobernador</v>
      </c>
    </row>
    <row r="25" spans="1:10" ht="30" x14ac:dyDescent="0.25">
      <c r="A25" s="11">
        <v>46318</v>
      </c>
      <c r="B25" t="s">
        <v>74</v>
      </c>
      <c r="C25" s="5" t="s">
        <v>133</v>
      </c>
      <c r="D25" t="s">
        <v>12</v>
      </c>
      <c r="E25" t="s">
        <v>16</v>
      </c>
      <c r="F25" t="s">
        <v>83</v>
      </c>
      <c r="G25" t="s">
        <v>134</v>
      </c>
      <c r="H25" t="s">
        <v>11</v>
      </c>
      <c r="I25" t="str">
        <f>_xlfn.XLOOKUP(Tabla1[[#This Row],[Dependencia]],Tabla2[Dependencia],Tabla2[Clasificación],"XXX",0)</f>
        <v>Alcaldías</v>
      </c>
      <c r="J25" t="str">
        <f>_xlfn.XLOOKUP(Tabla1[[#This Row],[Dependencia]],Tabla3[Dependencia],Tabla3[Nivel],"Otros",0)</f>
        <v>Otros</v>
      </c>
    </row>
    <row r="26" spans="1:10" x14ac:dyDescent="0.25">
      <c r="A26" s="11">
        <v>46318</v>
      </c>
      <c r="B26" t="s">
        <v>74</v>
      </c>
      <c r="C26" s="5" t="s">
        <v>135</v>
      </c>
      <c r="D26" t="s">
        <v>12</v>
      </c>
      <c r="E26" t="s">
        <v>10</v>
      </c>
      <c r="F26" t="s">
        <v>10</v>
      </c>
      <c r="G26" t="s">
        <v>70</v>
      </c>
      <c r="H26" t="s">
        <v>11</v>
      </c>
      <c r="I26" t="str">
        <f>_xlfn.XLOOKUP(Tabla1[[#This Row],[Dependencia]],Tabla2[Dependencia],Tabla2[Clasificación],"XXX",0)</f>
        <v>Otros</v>
      </c>
      <c r="J26" t="str">
        <f>_xlfn.XLOOKUP(Tabla1[[#This Row],[Dependencia]],Tabla3[Dependencia],Tabla3[Nivel],"Otros",0)</f>
        <v>Otros</v>
      </c>
    </row>
    <row r="27" spans="1:10" ht="30" x14ac:dyDescent="0.25">
      <c r="A27" s="11">
        <v>46318</v>
      </c>
      <c r="B27" t="s">
        <v>77</v>
      </c>
      <c r="C27" s="5" t="s">
        <v>136</v>
      </c>
      <c r="D27" t="s">
        <v>12</v>
      </c>
      <c r="E27" t="s">
        <v>27</v>
      </c>
      <c r="F27" t="s">
        <v>27</v>
      </c>
      <c r="G27" t="s">
        <v>94</v>
      </c>
      <c r="H27" t="s">
        <v>68</v>
      </c>
      <c r="I27" t="str">
        <f>_xlfn.XLOOKUP(Tabla1[[#This Row],[Dependencia]],Tabla2[Dependencia],Tabla2[Clasificación],"XXX",0)</f>
        <v>Gobierno del estado</v>
      </c>
      <c r="J27" t="str">
        <f>_xlfn.XLOOKUP(Tabla1[[#This Row],[Dependencia]],Tabla3[Dependencia],Tabla3[Nivel],"Otros",0)</f>
        <v>Gabinete</v>
      </c>
    </row>
    <row r="28" spans="1:10" ht="30" x14ac:dyDescent="0.25">
      <c r="A28" s="11">
        <v>46318</v>
      </c>
      <c r="B28" t="s">
        <v>77</v>
      </c>
      <c r="C28" s="5" t="s">
        <v>137</v>
      </c>
      <c r="D28" t="s">
        <v>13</v>
      </c>
      <c r="E28" t="s">
        <v>17</v>
      </c>
      <c r="F28" t="s">
        <v>2</v>
      </c>
      <c r="G28" t="s">
        <v>84</v>
      </c>
      <c r="H28" t="s">
        <v>72</v>
      </c>
      <c r="I28" t="str">
        <f>_xlfn.XLOOKUP(Tabla1[[#This Row],[Dependencia]],Tabla2[Dependencia],Tabla2[Clasificación],"XXX",0)</f>
        <v>Gobierno del estado</v>
      </c>
      <c r="J28" t="str">
        <f>_xlfn.XLOOKUP(Tabla1[[#This Row],[Dependencia]],Tabla3[Dependencia],Tabla3[Nivel],"Otros",0)</f>
        <v>Gabinete</v>
      </c>
    </row>
    <row r="29" spans="1:10" x14ac:dyDescent="0.25">
      <c r="A29" s="11">
        <v>46318</v>
      </c>
      <c r="B29" t="s">
        <v>77</v>
      </c>
      <c r="C29" s="5" t="s">
        <v>138</v>
      </c>
      <c r="D29" t="s">
        <v>12</v>
      </c>
      <c r="E29" t="s">
        <v>10</v>
      </c>
      <c r="F29" t="s">
        <v>10</v>
      </c>
      <c r="G29" t="s">
        <v>139</v>
      </c>
      <c r="H29" t="s">
        <v>68</v>
      </c>
      <c r="I29" t="str">
        <f>_xlfn.XLOOKUP(Tabla1[[#This Row],[Dependencia]],Tabla2[Dependencia],Tabla2[Clasificación],"XXX",0)</f>
        <v>Otros</v>
      </c>
      <c r="J29" t="str">
        <f>_xlfn.XLOOKUP(Tabla1[[#This Row],[Dependencia]],Tabla3[Dependencia],Tabla3[Nivel],"Otros",0)</f>
        <v>Otros</v>
      </c>
    </row>
    <row r="30" spans="1:10" ht="75" x14ac:dyDescent="0.25">
      <c r="A30" s="11">
        <v>46318</v>
      </c>
      <c r="B30" t="s">
        <v>77</v>
      </c>
      <c r="C30" s="5" t="s">
        <v>140</v>
      </c>
      <c r="D30" t="s">
        <v>96</v>
      </c>
      <c r="E30" t="s">
        <v>17</v>
      </c>
      <c r="F30" t="s">
        <v>2</v>
      </c>
      <c r="G30" t="s">
        <v>84</v>
      </c>
      <c r="H30" t="s">
        <v>11</v>
      </c>
      <c r="I30" t="str">
        <f>_xlfn.XLOOKUP(Tabla1[[#This Row],[Dependencia]],Tabla2[Dependencia],Tabla2[Clasificación],"XXX",0)</f>
        <v>Gobierno del estado</v>
      </c>
      <c r="J30" t="str">
        <f>_xlfn.XLOOKUP(Tabla1[[#This Row],[Dependencia]],Tabla3[Dependencia],Tabla3[Nivel],"Otros",0)</f>
        <v>Gabinete</v>
      </c>
    </row>
    <row r="31" spans="1:10" ht="75" x14ac:dyDescent="0.25">
      <c r="A31" s="11">
        <v>46318</v>
      </c>
      <c r="B31" t="s">
        <v>77</v>
      </c>
      <c r="C31" s="5" t="s">
        <v>141</v>
      </c>
      <c r="D31" t="s">
        <v>85</v>
      </c>
      <c r="E31" t="s">
        <v>27</v>
      </c>
      <c r="F31" t="s">
        <v>27</v>
      </c>
      <c r="G31" t="s">
        <v>142</v>
      </c>
      <c r="H31" t="s">
        <v>68</v>
      </c>
      <c r="I31" t="str">
        <f>_xlfn.XLOOKUP(Tabla1[[#This Row],[Dependencia]],Tabla2[Dependencia],Tabla2[Clasificación],"XXX",0)</f>
        <v>Gobierno del estado</v>
      </c>
      <c r="J31" t="str">
        <f>_xlfn.XLOOKUP(Tabla1[[#This Row],[Dependencia]],Tabla3[Dependencia],Tabla3[Nivel],"Otros",0)</f>
        <v>Gabinete</v>
      </c>
    </row>
    <row r="32" spans="1:10" ht="30" x14ac:dyDescent="0.25">
      <c r="A32" s="11">
        <v>46318</v>
      </c>
      <c r="B32" t="s">
        <v>73</v>
      </c>
      <c r="C32" s="5" t="s">
        <v>143</v>
      </c>
      <c r="D32" t="s">
        <v>13</v>
      </c>
      <c r="E32" t="s">
        <v>17</v>
      </c>
      <c r="F32" t="s">
        <v>2</v>
      </c>
      <c r="G32" t="s">
        <v>84</v>
      </c>
      <c r="H32" t="s">
        <v>11</v>
      </c>
      <c r="I32" t="str">
        <f>_xlfn.XLOOKUP(Tabla1[[#This Row],[Dependencia]],Tabla2[Dependencia],Tabla2[Clasificación],"XXX",0)</f>
        <v>Gobierno del estado</v>
      </c>
      <c r="J32" t="str">
        <f>_xlfn.XLOOKUP(Tabla1[[#This Row],[Dependencia]],Tabla3[Dependencia],Tabla3[Nivel],"Otros",0)</f>
        <v>Gabinete</v>
      </c>
    </row>
    <row r="33" spans="1:10" ht="30" x14ac:dyDescent="0.25">
      <c r="A33" s="11">
        <v>46318</v>
      </c>
      <c r="B33" t="s">
        <v>73</v>
      </c>
      <c r="C33" s="5" t="s">
        <v>144</v>
      </c>
      <c r="D33" t="s">
        <v>12</v>
      </c>
      <c r="E33" t="s">
        <v>16</v>
      </c>
      <c r="F33" t="s">
        <v>83</v>
      </c>
      <c r="G33" t="s">
        <v>134</v>
      </c>
      <c r="H33" t="s">
        <v>11</v>
      </c>
      <c r="I33" t="str">
        <f>_xlfn.XLOOKUP(Tabla1[[#This Row],[Dependencia]],Tabla2[Dependencia],Tabla2[Clasificación],"XXX",0)</f>
        <v>Alcaldías</v>
      </c>
      <c r="J33" t="str">
        <f>_xlfn.XLOOKUP(Tabla1[[#This Row],[Dependencia]],Tabla3[Dependencia],Tabla3[Nivel],"Otros",0)</f>
        <v>Otros</v>
      </c>
    </row>
    <row r="34" spans="1:10" ht="30" x14ac:dyDescent="0.25">
      <c r="A34" s="11">
        <v>46318</v>
      </c>
      <c r="B34" t="s">
        <v>73</v>
      </c>
      <c r="C34" s="5" t="s">
        <v>145</v>
      </c>
      <c r="D34" t="s">
        <v>12</v>
      </c>
      <c r="E34" t="s">
        <v>21</v>
      </c>
      <c r="F34" t="s">
        <v>2</v>
      </c>
      <c r="G34" t="s">
        <v>84</v>
      </c>
      <c r="H34" t="s">
        <v>11</v>
      </c>
      <c r="I34" t="str">
        <f>_xlfn.XLOOKUP(Tabla1[[#This Row],[Dependencia]],Tabla2[Dependencia],Tabla2[Clasificación],"XXX",0)</f>
        <v>Gobierno del estado</v>
      </c>
      <c r="J34" t="str">
        <f>_xlfn.XLOOKUP(Tabla1[[#This Row],[Dependencia]],Tabla3[Dependencia],Tabla3[Nivel],"Otros",0)</f>
        <v>Gabinete</v>
      </c>
    </row>
    <row r="35" spans="1:10" ht="45" x14ac:dyDescent="0.25">
      <c r="A35" s="11">
        <v>46318</v>
      </c>
      <c r="B35" t="s">
        <v>73</v>
      </c>
      <c r="C35" s="5" t="s">
        <v>146</v>
      </c>
      <c r="D35" t="s">
        <v>12</v>
      </c>
      <c r="E35" t="s">
        <v>18</v>
      </c>
      <c r="F35" t="s">
        <v>18</v>
      </c>
      <c r="G35" t="s">
        <v>124</v>
      </c>
      <c r="H35" t="s">
        <v>11</v>
      </c>
      <c r="I35" t="str">
        <f>_xlfn.XLOOKUP(Tabla1[[#This Row],[Dependencia]],Tabla2[Dependencia],Tabla2[Clasificación],"XXX",0)</f>
        <v>Partidos</v>
      </c>
      <c r="J35" t="str">
        <f>_xlfn.XLOOKUP(Tabla1[[#This Row],[Dependencia]],Tabla3[Dependencia],Tabla3[Nivel],"Otros",0)</f>
        <v>Otros</v>
      </c>
    </row>
    <row r="36" spans="1:10" ht="30" x14ac:dyDescent="0.25">
      <c r="A36" s="11">
        <v>46318</v>
      </c>
      <c r="B36" t="s">
        <v>73</v>
      </c>
      <c r="C36" s="5" t="s">
        <v>147</v>
      </c>
      <c r="D36" t="s">
        <v>12</v>
      </c>
      <c r="E36" t="s">
        <v>24</v>
      </c>
      <c r="F36" t="s">
        <v>24</v>
      </c>
      <c r="G36" t="s">
        <v>95</v>
      </c>
      <c r="H36" t="s">
        <v>11</v>
      </c>
      <c r="I36" t="str">
        <f>_xlfn.XLOOKUP(Tabla1[[#This Row],[Dependencia]],Tabla2[Dependencia],Tabla2[Clasificación],"XXX",0)</f>
        <v>Gobierno del estado</v>
      </c>
      <c r="J36" t="str">
        <f>_xlfn.XLOOKUP(Tabla1[[#This Row],[Dependencia]],Tabla3[Dependencia],Tabla3[Nivel],"Otros",0)</f>
        <v>Gobernador</v>
      </c>
    </row>
    <row r="37" spans="1:10" ht="30" x14ac:dyDescent="0.25">
      <c r="A37" s="11">
        <v>46318</v>
      </c>
      <c r="B37" t="s">
        <v>76</v>
      </c>
      <c r="C37" s="5" t="s">
        <v>148</v>
      </c>
      <c r="D37" t="s">
        <v>13</v>
      </c>
      <c r="E37" t="s">
        <v>17</v>
      </c>
      <c r="F37" t="s">
        <v>2</v>
      </c>
      <c r="G37" t="s">
        <v>84</v>
      </c>
      <c r="H37" t="s">
        <v>11</v>
      </c>
      <c r="I37" t="str">
        <f>_xlfn.XLOOKUP(Tabla1[[#This Row],[Dependencia]],Tabla2[Dependencia],Tabla2[Clasificación],"XXX",0)</f>
        <v>Gobierno del estado</v>
      </c>
      <c r="J37" t="str">
        <f>_xlfn.XLOOKUP(Tabla1[[#This Row],[Dependencia]],Tabla3[Dependencia],Tabla3[Nivel],"Otros",0)</f>
        <v>Gabinete</v>
      </c>
    </row>
    <row r="38" spans="1:10" x14ac:dyDescent="0.25">
      <c r="A38" s="11">
        <v>46318</v>
      </c>
      <c r="B38" t="s">
        <v>76</v>
      </c>
      <c r="C38" s="5" t="s">
        <v>149</v>
      </c>
      <c r="D38" t="s">
        <v>12</v>
      </c>
      <c r="E38" t="s">
        <v>14</v>
      </c>
      <c r="F38" t="s">
        <v>14</v>
      </c>
      <c r="G38" t="s">
        <v>150</v>
      </c>
      <c r="H38" t="s">
        <v>72</v>
      </c>
      <c r="I38" t="str">
        <f>_xlfn.XLOOKUP(Tabla1[[#This Row],[Dependencia]],Tabla2[Dependencia],Tabla2[Clasificación],"XXX",0)</f>
        <v>Presidencia de la República</v>
      </c>
      <c r="J38" t="str">
        <f>_xlfn.XLOOKUP(Tabla1[[#This Row],[Dependencia]],Tabla3[Dependencia],Tabla3[Nivel],"Otros",0)</f>
        <v>Otros</v>
      </c>
    </row>
    <row r="39" spans="1:10" x14ac:dyDescent="0.25">
      <c r="A39" s="11">
        <v>46318</v>
      </c>
      <c r="B39" t="s">
        <v>76</v>
      </c>
      <c r="C39" s="5" t="s">
        <v>151</v>
      </c>
      <c r="D39" t="s">
        <v>12</v>
      </c>
      <c r="E39" t="s">
        <v>10</v>
      </c>
      <c r="F39" t="s">
        <v>10</v>
      </c>
      <c r="G39" t="s">
        <v>70</v>
      </c>
      <c r="H39" t="s">
        <v>11</v>
      </c>
      <c r="I39" t="str">
        <f>_xlfn.XLOOKUP(Tabla1[[#This Row],[Dependencia]],Tabla2[Dependencia],Tabla2[Clasificación],"XXX",0)</f>
        <v>Otros</v>
      </c>
      <c r="J39" t="str">
        <f>_xlfn.XLOOKUP(Tabla1[[#This Row],[Dependencia]],Tabla3[Dependencia],Tabla3[Nivel],"Otros",0)</f>
        <v>Otros</v>
      </c>
    </row>
    <row r="40" spans="1:10" x14ac:dyDescent="0.25">
      <c r="A40" s="11">
        <v>46318</v>
      </c>
      <c r="B40" t="s">
        <v>76</v>
      </c>
      <c r="C40" s="5" t="s">
        <v>152</v>
      </c>
      <c r="D40" t="s">
        <v>12</v>
      </c>
      <c r="E40" t="s">
        <v>21</v>
      </c>
      <c r="F40" t="s">
        <v>2</v>
      </c>
      <c r="G40" t="s">
        <v>84</v>
      </c>
      <c r="H40" t="s">
        <v>11</v>
      </c>
      <c r="I40" t="str">
        <f>_xlfn.XLOOKUP(Tabla1[[#This Row],[Dependencia]],Tabla2[Dependencia],Tabla2[Clasificación],"XXX",0)</f>
        <v>Gobierno del estado</v>
      </c>
      <c r="J40" t="str">
        <f>_xlfn.XLOOKUP(Tabla1[[#This Row],[Dependencia]],Tabla3[Dependencia],Tabla3[Nivel],"Otros",0)</f>
        <v>Gabinete</v>
      </c>
    </row>
    <row r="41" spans="1:10" ht="30" x14ac:dyDescent="0.25">
      <c r="A41" s="11">
        <v>46318</v>
      </c>
      <c r="B41" t="s">
        <v>76</v>
      </c>
      <c r="C41" s="5" t="s">
        <v>153</v>
      </c>
      <c r="D41" t="s">
        <v>12</v>
      </c>
      <c r="E41" t="s">
        <v>10</v>
      </c>
      <c r="F41" t="s">
        <v>10</v>
      </c>
      <c r="G41" t="s">
        <v>142</v>
      </c>
      <c r="H41" t="s">
        <v>11</v>
      </c>
      <c r="I41" t="str">
        <f>_xlfn.XLOOKUP(Tabla1[[#This Row],[Dependencia]],Tabla2[Dependencia],Tabla2[Clasificación],"XXX",0)</f>
        <v>Otros</v>
      </c>
      <c r="J41" t="str">
        <f>_xlfn.XLOOKUP(Tabla1[[#This Row],[Dependencia]],Tabla3[Dependencia],Tabla3[Nivel],"Otros",0)</f>
        <v>Otros</v>
      </c>
    </row>
    <row r="42" spans="1:10" ht="30" x14ac:dyDescent="0.25">
      <c r="A42" s="11">
        <v>46318</v>
      </c>
      <c r="B42" t="s">
        <v>89</v>
      </c>
      <c r="C42" s="5" t="s">
        <v>154</v>
      </c>
      <c r="D42" t="s">
        <v>13</v>
      </c>
      <c r="E42" t="s">
        <v>21</v>
      </c>
      <c r="F42" t="s">
        <v>2</v>
      </c>
      <c r="G42" t="s">
        <v>84</v>
      </c>
      <c r="H42" t="s">
        <v>11</v>
      </c>
      <c r="I42" t="str">
        <f>_xlfn.XLOOKUP(Tabla1[[#This Row],[Dependencia]],Tabla2[Dependencia],Tabla2[Clasificación],"XXX",0)</f>
        <v>Gobierno del estado</v>
      </c>
      <c r="J42" t="str">
        <f>_xlfn.XLOOKUP(Tabla1[[#This Row],[Dependencia]],Tabla3[Dependencia],Tabla3[Nivel],"Otros",0)</f>
        <v>Gabinete</v>
      </c>
    </row>
    <row r="43" spans="1:10" x14ac:dyDescent="0.25">
      <c r="A43" s="11">
        <v>46318</v>
      </c>
      <c r="B43" t="s">
        <v>89</v>
      </c>
      <c r="C43" s="5" t="s">
        <v>155</v>
      </c>
      <c r="D43" t="s">
        <v>12</v>
      </c>
      <c r="E43" t="s">
        <v>54</v>
      </c>
      <c r="F43" t="s">
        <v>2</v>
      </c>
      <c r="G43" t="s">
        <v>84</v>
      </c>
      <c r="H43" t="s">
        <v>72</v>
      </c>
      <c r="I43" t="str">
        <f>_xlfn.XLOOKUP(Tabla1[[#This Row],[Dependencia]],Tabla2[Dependencia],Tabla2[Clasificación],"XXX",0)</f>
        <v>Gobierno del estado</v>
      </c>
      <c r="J43" t="str">
        <f>_xlfn.XLOOKUP(Tabla1[[#This Row],[Dependencia]],Tabla3[Dependencia],Tabla3[Nivel],"Otros",0)</f>
        <v>Gabinete</v>
      </c>
    </row>
    <row r="44" spans="1:10" x14ac:dyDescent="0.25">
      <c r="A44" s="11">
        <v>46318</v>
      </c>
      <c r="B44" t="s">
        <v>89</v>
      </c>
      <c r="C44" s="5" t="s">
        <v>156</v>
      </c>
      <c r="D44" t="s">
        <v>9</v>
      </c>
      <c r="E44" t="s">
        <v>18</v>
      </c>
      <c r="F44" t="s">
        <v>18</v>
      </c>
      <c r="G44" t="s">
        <v>98</v>
      </c>
      <c r="H44" t="s">
        <v>11</v>
      </c>
      <c r="I44" t="str">
        <f>_xlfn.XLOOKUP(Tabla1[[#This Row],[Dependencia]],Tabla2[Dependencia],Tabla2[Clasificación],"XXX",0)</f>
        <v>Partidos</v>
      </c>
      <c r="J44" t="str">
        <f>_xlfn.XLOOKUP(Tabla1[[#This Row],[Dependencia]],Tabla3[Dependencia],Tabla3[Nivel],"Otros",0)</f>
        <v>Otros</v>
      </c>
    </row>
    <row r="45" spans="1:10" ht="30" x14ac:dyDescent="0.25">
      <c r="A45" s="11">
        <v>46318</v>
      </c>
      <c r="B45" t="s">
        <v>89</v>
      </c>
      <c r="C45" s="5" t="s">
        <v>157</v>
      </c>
      <c r="D45" t="s">
        <v>12</v>
      </c>
      <c r="E45" t="s">
        <v>17</v>
      </c>
      <c r="F45" t="s">
        <v>2</v>
      </c>
      <c r="G45" t="s">
        <v>84</v>
      </c>
      <c r="H45" t="s">
        <v>11</v>
      </c>
      <c r="I45" t="str">
        <f>_xlfn.XLOOKUP(Tabla1[[#This Row],[Dependencia]],Tabla2[Dependencia],Tabla2[Clasificación],"XXX",0)</f>
        <v>Gobierno del estado</v>
      </c>
      <c r="J45" t="str">
        <f>_xlfn.XLOOKUP(Tabla1[[#This Row],[Dependencia]],Tabla3[Dependencia],Tabla3[Nivel],"Otros",0)</f>
        <v>Gabinete</v>
      </c>
    </row>
    <row r="46" spans="1:10" x14ac:dyDescent="0.25">
      <c r="A46" s="11">
        <v>46318</v>
      </c>
      <c r="B46" t="s">
        <v>89</v>
      </c>
      <c r="C46" s="5" t="s">
        <v>158</v>
      </c>
      <c r="D46" t="s">
        <v>12</v>
      </c>
      <c r="E46" t="s">
        <v>17</v>
      </c>
      <c r="F46" t="s">
        <v>2</v>
      </c>
      <c r="G46" t="s">
        <v>84</v>
      </c>
      <c r="H46" t="s">
        <v>11</v>
      </c>
      <c r="I46" t="str">
        <f>_xlfn.XLOOKUP(Tabla1[[#This Row],[Dependencia]],Tabla2[Dependencia],Tabla2[Clasificación],"XXX",0)</f>
        <v>Gobierno del estado</v>
      </c>
      <c r="J46" t="str">
        <f>_xlfn.XLOOKUP(Tabla1[[#This Row],[Dependencia]],Tabla3[Dependencia],Tabla3[Nivel],"Otros",0)</f>
        <v>Gabinete</v>
      </c>
    </row>
    <row r="47" spans="1:10" ht="30" x14ac:dyDescent="0.25">
      <c r="A47" s="11">
        <v>46318</v>
      </c>
      <c r="B47" t="s">
        <v>89</v>
      </c>
      <c r="C47" s="5" t="s">
        <v>159</v>
      </c>
      <c r="D47" t="s">
        <v>12</v>
      </c>
      <c r="E47" t="s">
        <v>16</v>
      </c>
      <c r="F47" t="s">
        <v>83</v>
      </c>
      <c r="G47" t="s">
        <v>134</v>
      </c>
      <c r="H47" t="s">
        <v>11</v>
      </c>
      <c r="I47" t="str">
        <f>_xlfn.XLOOKUP(Tabla1[[#This Row],[Dependencia]],Tabla2[Dependencia],Tabla2[Clasificación],"XXX",0)</f>
        <v>Alcaldías</v>
      </c>
      <c r="J47" t="str">
        <f>_xlfn.XLOOKUP(Tabla1[[#This Row],[Dependencia]],Tabla3[Dependencia],Tabla3[Nivel],"Otros",0)</f>
        <v>Otros</v>
      </c>
    </row>
    <row r="48" spans="1:10" ht="30" x14ac:dyDescent="0.25">
      <c r="A48" s="11">
        <v>46318</v>
      </c>
      <c r="B48" t="s">
        <v>80</v>
      </c>
      <c r="C48" s="5" t="s">
        <v>160</v>
      </c>
      <c r="D48" t="s">
        <v>81</v>
      </c>
      <c r="E48" t="s">
        <v>16</v>
      </c>
      <c r="F48" t="s">
        <v>83</v>
      </c>
      <c r="G48" t="s">
        <v>134</v>
      </c>
      <c r="H48" t="s">
        <v>11</v>
      </c>
      <c r="I48" t="str">
        <f>_xlfn.XLOOKUP(Tabla1[[#This Row],[Dependencia]],Tabla2[Dependencia],Tabla2[Clasificación],"XXX",0)</f>
        <v>Alcaldías</v>
      </c>
      <c r="J48" t="str">
        <f>_xlfn.XLOOKUP(Tabla1[[#This Row],[Dependencia]],Tabla3[Dependencia],Tabla3[Nivel],"Otros",0)</f>
        <v>Otros</v>
      </c>
    </row>
    <row r="49" spans="1:10" ht="30" x14ac:dyDescent="0.25">
      <c r="A49" s="11">
        <v>46318</v>
      </c>
      <c r="B49" t="s">
        <v>80</v>
      </c>
      <c r="C49" s="5" t="s">
        <v>161</v>
      </c>
      <c r="D49" t="s">
        <v>12</v>
      </c>
      <c r="E49" t="s">
        <v>56</v>
      </c>
      <c r="F49" t="s">
        <v>56</v>
      </c>
      <c r="G49" t="s">
        <v>162</v>
      </c>
      <c r="H49" t="s">
        <v>11</v>
      </c>
      <c r="I49" t="str">
        <f>_xlfn.XLOOKUP(Tabla1[[#This Row],[Dependencia]],Tabla2[Dependencia],Tabla2[Clasificación],"XXX",0)</f>
        <v>Gobierno del estado</v>
      </c>
      <c r="J49" t="str">
        <f>_xlfn.XLOOKUP(Tabla1[[#This Row],[Dependencia]],Tabla3[Dependencia],Tabla3[Nivel],"Otros",0)</f>
        <v>Gabinete</v>
      </c>
    </row>
    <row r="50" spans="1:10" ht="30" x14ac:dyDescent="0.25">
      <c r="A50" s="11">
        <v>46318</v>
      </c>
      <c r="B50" t="s">
        <v>80</v>
      </c>
      <c r="C50" s="5" t="s">
        <v>163</v>
      </c>
      <c r="D50" t="s">
        <v>13</v>
      </c>
      <c r="E50" t="s">
        <v>24</v>
      </c>
      <c r="F50" t="s">
        <v>24</v>
      </c>
      <c r="G50" t="s">
        <v>95</v>
      </c>
      <c r="H50" t="s">
        <v>72</v>
      </c>
      <c r="I50" t="str">
        <f>_xlfn.XLOOKUP(Tabla1[[#This Row],[Dependencia]],Tabla2[Dependencia],Tabla2[Clasificación],"XXX",0)</f>
        <v>Gobierno del estado</v>
      </c>
      <c r="J50" t="str">
        <f>_xlfn.XLOOKUP(Tabla1[[#This Row],[Dependencia]],Tabla3[Dependencia],Tabla3[Nivel],"Otros",0)</f>
        <v>Gobernador</v>
      </c>
    </row>
    <row r="51" spans="1:10" ht="30" x14ac:dyDescent="0.25">
      <c r="A51" s="11">
        <v>46318</v>
      </c>
      <c r="B51" t="s">
        <v>80</v>
      </c>
      <c r="C51" s="5" t="s">
        <v>164</v>
      </c>
      <c r="D51" t="s">
        <v>12</v>
      </c>
      <c r="E51" t="s">
        <v>17</v>
      </c>
      <c r="F51" t="s">
        <v>2</v>
      </c>
      <c r="G51" t="s">
        <v>84</v>
      </c>
      <c r="H51" t="s">
        <v>72</v>
      </c>
      <c r="I51" t="str">
        <f>_xlfn.XLOOKUP(Tabla1[[#This Row],[Dependencia]],Tabla2[Dependencia],Tabla2[Clasificación],"XXX",0)</f>
        <v>Gobierno del estado</v>
      </c>
      <c r="J51" t="str">
        <f>_xlfn.XLOOKUP(Tabla1[[#This Row],[Dependencia]],Tabla3[Dependencia],Tabla3[Nivel],"Otros",0)</f>
        <v>Gabinete</v>
      </c>
    </row>
    <row r="52" spans="1:10" x14ac:dyDescent="0.25">
      <c r="A52" s="11">
        <v>46318</v>
      </c>
      <c r="B52" t="s">
        <v>80</v>
      </c>
      <c r="C52" s="5" t="s">
        <v>165</v>
      </c>
      <c r="D52" t="s">
        <v>12</v>
      </c>
      <c r="E52" t="s">
        <v>10</v>
      </c>
      <c r="F52" t="s">
        <v>10</v>
      </c>
      <c r="G52" t="s">
        <v>70</v>
      </c>
      <c r="H52" t="s">
        <v>11</v>
      </c>
      <c r="I52" t="str">
        <f>_xlfn.XLOOKUP(Tabla1[[#This Row],[Dependencia]],Tabla2[Dependencia],Tabla2[Clasificación],"XXX",0)</f>
        <v>Otros</v>
      </c>
      <c r="J52" t="str">
        <f>_xlfn.XLOOKUP(Tabla1[[#This Row],[Dependencia]],Tabla3[Dependencia],Tabla3[Nivel],"Otros",0)</f>
        <v>Otros</v>
      </c>
    </row>
    <row r="53" spans="1:10" ht="30" x14ac:dyDescent="0.25">
      <c r="A53" s="11">
        <v>46318</v>
      </c>
      <c r="B53" t="s">
        <v>80</v>
      </c>
      <c r="C53" s="5" t="s">
        <v>166</v>
      </c>
      <c r="D53" t="s">
        <v>12</v>
      </c>
      <c r="E53" t="s">
        <v>21</v>
      </c>
      <c r="F53" t="s">
        <v>2</v>
      </c>
      <c r="G53" t="s">
        <v>84</v>
      </c>
      <c r="H53" t="s">
        <v>72</v>
      </c>
      <c r="I53" t="str">
        <f>_xlfn.XLOOKUP(Tabla1[[#This Row],[Dependencia]],Tabla2[Dependencia],Tabla2[Clasificación],"XXX",0)</f>
        <v>Gobierno del estado</v>
      </c>
      <c r="J53" t="str">
        <f>_xlfn.XLOOKUP(Tabla1[[#This Row],[Dependencia]],Tabla3[Dependencia],Tabla3[Nivel],"Otros",0)</f>
        <v>Gabinete</v>
      </c>
    </row>
    <row r="54" spans="1:10" ht="30" x14ac:dyDescent="0.25">
      <c r="A54" s="11">
        <v>46318</v>
      </c>
      <c r="B54" t="s">
        <v>80</v>
      </c>
      <c r="C54" s="5" t="s">
        <v>167</v>
      </c>
      <c r="D54" t="s">
        <v>12</v>
      </c>
      <c r="E54" t="s">
        <v>16</v>
      </c>
      <c r="F54" t="s">
        <v>16</v>
      </c>
      <c r="G54" t="s">
        <v>168</v>
      </c>
      <c r="H54" t="s">
        <v>11</v>
      </c>
      <c r="I54" t="str">
        <f>_xlfn.XLOOKUP(Tabla1[[#This Row],[Dependencia]],Tabla2[Dependencia],Tabla2[Clasificación],"XXX",0)</f>
        <v>Alcaldías</v>
      </c>
      <c r="J54" t="str">
        <f>_xlfn.XLOOKUP(Tabla1[[#This Row],[Dependencia]],Tabla3[Dependencia],Tabla3[Nivel],"Otros",0)</f>
        <v>Otros</v>
      </c>
    </row>
    <row r="55" spans="1:10" ht="30" x14ac:dyDescent="0.25">
      <c r="A55" s="11">
        <v>46318</v>
      </c>
      <c r="B55" t="s">
        <v>80</v>
      </c>
      <c r="C55" s="5" t="s">
        <v>169</v>
      </c>
      <c r="D55" t="s">
        <v>12</v>
      </c>
      <c r="E55" t="s">
        <v>40</v>
      </c>
      <c r="F55" t="s">
        <v>40</v>
      </c>
      <c r="G55" t="s">
        <v>170</v>
      </c>
      <c r="H55" t="s">
        <v>11</v>
      </c>
      <c r="I55" t="str">
        <f>_xlfn.XLOOKUP(Tabla1[[#This Row],[Dependencia]],Tabla2[Dependencia],Tabla2[Clasificación],"XXX",0)</f>
        <v>Otros</v>
      </c>
      <c r="J55" t="str">
        <f>_xlfn.XLOOKUP(Tabla1[[#This Row],[Dependencia]],Tabla3[Dependencia],Tabla3[Nivel],"Otros",0)</f>
        <v>Otros</v>
      </c>
    </row>
    <row r="56" spans="1:10" ht="30" x14ac:dyDescent="0.25">
      <c r="A56" s="11">
        <v>46318</v>
      </c>
      <c r="B56" t="s">
        <v>80</v>
      </c>
      <c r="C56" s="5" t="s">
        <v>171</v>
      </c>
      <c r="D56" t="s">
        <v>12</v>
      </c>
      <c r="E56" t="s">
        <v>97</v>
      </c>
      <c r="F56" t="s">
        <v>2</v>
      </c>
      <c r="G56" t="s">
        <v>84</v>
      </c>
      <c r="H56" t="s">
        <v>72</v>
      </c>
      <c r="I56" t="str">
        <f>_xlfn.XLOOKUP(Tabla1[[#This Row],[Dependencia]],Tabla2[Dependencia],Tabla2[Clasificación],"XXX",0)</f>
        <v>Gobierno del estado</v>
      </c>
      <c r="J56" t="str">
        <f>_xlfn.XLOOKUP(Tabla1[[#This Row],[Dependencia]],Tabla3[Dependencia],Tabla3[Nivel],"Otros",0)</f>
        <v>Gabinete</v>
      </c>
    </row>
    <row r="57" spans="1:10" ht="30" x14ac:dyDescent="0.25">
      <c r="A57" s="11">
        <v>46318</v>
      </c>
      <c r="B57" t="s">
        <v>80</v>
      </c>
      <c r="C57" s="5" t="s">
        <v>172</v>
      </c>
      <c r="D57" t="s">
        <v>12</v>
      </c>
      <c r="E57" t="s">
        <v>16</v>
      </c>
      <c r="F57" t="s">
        <v>99</v>
      </c>
      <c r="G57" t="s">
        <v>173</v>
      </c>
      <c r="H57" t="s">
        <v>11</v>
      </c>
      <c r="I57" t="str">
        <f>_xlfn.XLOOKUP(Tabla1[[#This Row],[Dependencia]],Tabla2[Dependencia],Tabla2[Clasificación],"XXX",0)</f>
        <v>Alcaldías</v>
      </c>
      <c r="J57" t="str">
        <f>_xlfn.XLOOKUP(Tabla1[[#This Row],[Dependencia]],Tabla3[Dependencia],Tabla3[Nivel],"Otros",0)</f>
        <v>Otros</v>
      </c>
    </row>
    <row r="58" spans="1:10" ht="30" x14ac:dyDescent="0.25">
      <c r="A58" s="11">
        <v>46318</v>
      </c>
      <c r="B58" t="s">
        <v>80</v>
      </c>
      <c r="C58" s="5" t="s">
        <v>174</v>
      </c>
      <c r="D58" t="s">
        <v>12</v>
      </c>
      <c r="E58" t="s">
        <v>24</v>
      </c>
      <c r="F58" t="s">
        <v>24</v>
      </c>
      <c r="G58" t="s">
        <v>175</v>
      </c>
      <c r="H58" t="s">
        <v>11</v>
      </c>
      <c r="I58" t="str">
        <f>_xlfn.XLOOKUP(Tabla1[[#This Row],[Dependencia]],Tabla2[Dependencia],Tabla2[Clasificación],"XXX",0)</f>
        <v>Gobierno del estado</v>
      </c>
      <c r="J58" t="str">
        <f>_xlfn.XLOOKUP(Tabla1[[#This Row],[Dependencia]],Tabla3[Dependencia],Tabla3[Nivel],"Otros",0)</f>
        <v>Gobernador</v>
      </c>
    </row>
    <row r="59" spans="1:10" x14ac:dyDescent="0.25">
      <c r="A59" s="11">
        <v>46318</v>
      </c>
      <c r="B59" t="s">
        <v>80</v>
      </c>
      <c r="C59" s="5" t="s">
        <v>176</v>
      </c>
      <c r="D59" t="s">
        <v>78</v>
      </c>
      <c r="E59" t="s">
        <v>10</v>
      </c>
      <c r="F59" t="s">
        <v>10</v>
      </c>
      <c r="G59" t="s">
        <v>177</v>
      </c>
      <c r="H59" t="s">
        <v>11</v>
      </c>
      <c r="I59" t="str">
        <f>_xlfn.XLOOKUP(Tabla1[[#This Row],[Dependencia]],Tabla2[Dependencia],Tabla2[Clasificación],"XXX",0)</f>
        <v>Otros</v>
      </c>
      <c r="J59" t="str">
        <f>_xlfn.XLOOKUP(Tabla1[[#This Row],[Dependencia]],Tabla3[Dependencia],Tabla3[Nivel],"Otros",0)</f>
        <v>Otros</v>
      </c>
    </row>
    <row r="60" spans="1:10" ht="30" x14ac:dyDescent="0.25">
      <c r="A60" s="11">
        <v>46318</v>
      </c>
      <c r="B60" t="s">
        <v>90</v>
      </c>
      <c r="C60" s="5" t="s">
        <v>163</v>
      </c>
      <c r="D60" t="s">
        <v>13</v>
      </c>
      <c r="E60" t="s">
        <v>24</v>
      </c>
      <c r="F60" t="s">
        <v>24</v>
      </c>
      <c r="G60" t="s">
        <v>95</v>
      </c>
      <c r="H60" t="s">
        <v>72</v>
      </c>
      <c r="I60" t="str">
        <f>_xlfn.XLOOKUP(Tabla1[[#This Row],[Dependencia]],Tabla2[Dependencia],Tabla2[Clasificación],"XXX",0)</f>
        <v>Gobierno del estado</v>
      </c>
      <c r="J60" t="str">
        <f>_xlfn.XLOOKUP(Tabla1[[#This Row],[Dependencia]],Tabla3[Dependencia],Tabla3[Nivel],"Otros",0)</f>
        <v>Gobernador</v>
      </c>
    </row>
    <row r="61" spans="1:10" ht="30" x14ac:dyDescent="0.25">
      <c r="A61" s="11">
        <v>46318</v>
      </c>
      <c r="B61" t="s">
        <v>90</v>
      </c>
      <c r="C61" s="5" t="s">
        <v>178</v>
      </c>
      <c r="D61" t="s">
        <v>12</v>
      </c>
      <c r="E61" t="s">
        <v>10</v>
      </c>
      <c r="F61" t="s">
        <v>10</v>
      </c>
      <c r="G61" t="s">
        <v>179</v>
      </c>
      <c r="H61" t="s">
        <v>11</v>
      </c>
      <c r="I61" t="str">
        <f>_xlfn.XLOOKUP(Tabla1[[#This Row],[Dependencia]],Tabla2[Dependencia],Tabla2[Clasificación],"XXX",0)</f>
        <v>Otros</v>
      </c>
      <c r="J61" t="str">
        <f>_xlfn.XLOOKUP(Tabla1[[#This Row],[Dependencia]],Tabla3[Dependencia],Tabla3[Nivel],"Otros",0)</f>
        <v>Otros</v>
      </c>
    </row>
    <row r="62" spans="1:10" ht="30" x14ac:dyDescent="0.25">
      <c r="A62" s="11">
        <v>46318</v>
      </c>
      <c r="B62" t="s">
        <v>90</v>
      </c>
      <c r="C62" s="5" t="s">
        <v>180</v>
      </c>
      <c r="D62" t="s">
        <v>12</v>
      </c>
      <c r="E62" t="s">
        <v>24</v>
      </c>
      <c r="F62" t="s">
        <v>24</v>
      </c>
      <c r="G62" t="s">
        <v>175</v>
      </c>
      <c r="H62" t="s">
        <v>72</v>
      </c>
      <c r="I62" t="str">
        <f>_xlfn.XLOOKUP(Tabla1[[#This Row],[Dependencia]],Tabla2[Dependencia],Tabla2[Clasificación],"XXX",0)</f>
        <v>Gobierno del estado</v>
      </c>
      <c r="J62" t="str">
        <f>_xlfn.XLOOKUP(Tabla1[[#This Row],[Dependencia]],Tabla3[Dependencia],Tabla3[Nivel],"Otros",0)</f>
        <v>Gobernador</v>
      </c>
    </row>
    <row r="63" spans="1:10" ht="30" x14ac:dyDescent="0.25">
      <c r="A63" s="11">
        <v>46318</v>
      </c>
      <c r="B63" t="s">
        <v>90</v>
      </c>
      <c r="C63" s="5" t="s">
        <v>164</v>
      </c>
      <c r="D63" t="s">
        <v>12</v>
      </c>
      <c r="E63" t="s">
        <v>17</v>
      </c>
      <c r="F63" t="s">
        <v>2</v>
      </c>
      <c r="G63" t="s">
        <v>84</v>
      </c>
      <c r="H63" t="s">
        <v>11</v>
      </c>
      <c r="I63" t="str">
        <f>_xlfn.XLOOKUP(Tabla1[[#This Row],[Dependencia]],Tabla2[Dependencia],Tabla2[Clasificación],"XXX",0)</f>
        <v>Gobierno del estado</v>
      </c>
      <c r="J63" t="str">
        <f>_xlfn.XLOOKUP(Tabla1[[#This Row],[Dependencia]],Tabla3[Dependencia],Tabla3[Nivel],"Otros",0)</f>
        <v>Gabinete</v>
      </c>
    </row>
    <row r="64" spans="1:10" ht="30" x14ac:dyDescent="0.25">
      <c r="A64" s="11">
        <v>46318</v>
      </c>
      <c r="B64" t="s">
        <v>90</v>
      </c>
      <c r="C64" s="5" t="s">
        <v>166</v>
      </c>
      <c r="D64" t="s">
        <v>12</v>
      </c>
      <c r="E64" t="s">
        <v>21</v>
      </c>
      <c r="F64" t="s">
        <v>2</v>
      </c>
      <c r="G64" t="s">
        <v>84</v>
      </c>
      <c r="H64" t="s">
        <v>72</v>
      </c>
      <c r="I64" t="str">
        <f>_xlfn.XLOOKUP(Tabla1[[#This Row],[Dependencia]],Tabla2[Dependencia],Tabla2[Clasificación],"XXX",0)</f>
        <v>Gobierno del estado</v>
      </c>
      <c r="J64" t="str">
        <f>_xlfn.XLOOKUP(Tabla1[[#This Row],[Dependencia]],Tabla3[Dependencia],Tabla3[Nivel],"Otros",0)</f>
        <v>Gabinete</v>
      </c>
    </row>
    <row r="65" spans="1:10" x14ac:dyDescent="0.25">
      <c r="A65" s="11">
        <v>46318</v>
      </c>
      <c r="B65" t="s">
        <v>90</v>
      </c>
      <c r="C65" s="5" t="s">
        <v>181</v>
      </c>
      <c r="D65" t="s">
        <v>78</v>
      </c>
      <c r="E65" t="s">
        <v>15</v>
      </c>
      <c r="F65" t="s">
        <v>15</v>
      </c>
      <c r="G65" t="s">
        <v>182</v>
      </c>
      <c r="H65" t="s">
        <v>11</v>
      </c>
      <c r="I65" t="str">
        <f>_xlfn.XLOOKUP(Tabla1[[#This Row],[Dependencia]],Tabla2[Dependencia],Tabla2[Clasificación],"XXX",0)</f>
        <v>Gobierno del estado</v>
      </c>
      <c r="J65" t="str">
        <f>_xlfn.XLOOKUP(Tabla1[[#This Row],[Dependencia]],Tabla3[Dependencia],Tabla3[Nivel],"Otros",0)</f>
        <v>Gabinete</v>
      </c>
    </row>
    <row r="66" spans="1:10" x14ac:dyDescent="0.25">
      <c r="A66" s="11">
        <v>46318</v>
      </c>
      <c r="B66" t="s">
        <v>90</v>
      </c>
      <c r="C66" s="5" t="s">
        <v>92</v>
      </c>
      <c r="D66" t="s">
        <v>78</v>
      </c>
      <c r="E66" t="s">
        <v>16</v>
      </c>
      <c r="F66" t="s">
        <v>16</v>
      </c>
      <c r="G66" t="s">
        <v>82</v>
      </c>
      <c r="H66" t="s">
        <v>11</v>
      </c>
      <c r="I66" t="str">
        <f>_xlfn.XLOOKUP(Tabla1[[#This Row],[Dependencia]],Tabla2[Dependencia],Tabla2[Clasificación],"XXX",0)</f>
        <v>Alcaldías</v>
      </c>
      <c r="J66" t="str">
        <f>_xlfn.XLOOKUP(Tabla1[[#This Row],[Dependencia]],Tabla3[Dependencia],Tabla3[Nivel],"Otros",0)</f>
        <v>Otros</v>
      </c>
    </row>
  </sheetData>
  <conditionalFormatting sqref="I2:I66">
    <cfRule type="expression" dxfId="1" priority="1">
      <formula>$I2="XXX"</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9"/>
  <sheetViews>
    <sheetView workbookViewId="0">
      <selection activeCell="B48" sqref="B48"/>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67</v>
      </c>
      <c r="E3" t="s">
        <v>66</v>
      </c>
    </row>
    <row r="4" spans="1:5" x14ac:dyDescent="0.25">
      <c r="A4" t="s">
        <v>19</v>
      </c>
      <c r="B4" t="s">
        <v>32</v>
      </c>
      <c r="D4" s="8" t="s">
        <v>34</v>
      </c>
      <c r="E4" t="s">
        <v>66</v>
      </c>
    </row>
    <row r="5" spans="1:5" x14ac:dyDescent="0.25">
      <c r="A5" t="s">
        <v>60</v>
      </c>
      <c r="B5" t="s">
        <v>10</v>
      </c>
      <c r="D5" s="9" t="s">
        <v>28</v>
      </c>
      <c r="E5" t="s">
        <v>66</v>
      </c>
    </row>
    <row r="6" spans="1:5" x14ac:dyDescent="0.25">
      <c r="A6" t="s">
        <v>67</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row r="49" spans="1:2" x14ac:dyDescent="0.25">
      <c r="A49" t="s">
        <v>75</v>
      </c>
      <c r="B49" t="s">
        <v>44</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Hoja3</vt: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2026-10-23T15:58:00Z</dcterms:modified>
</cp:coreProperties>
</file>