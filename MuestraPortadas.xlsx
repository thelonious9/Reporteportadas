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C7954F3D-F662-4725-8AF2-32A5018A21DC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I2" i="1"/>
  <c r="J2" i="1"/>
</calcChain>
</file>

<file path=xl/sharedStrings.xml><?xml version="1.0" encoding="utf-8"?>
<sst xmlns="http://schemas.openxmlformats.org/spreadsheetml/2006/main" count="615" uniqueCount="206">
  <si>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</si>
  <si>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</si>
  <si>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</si>
  <si>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</si>
  <si>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</si>
  <si>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</si>
  <si>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</si>
  <si>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</si>
  <si>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</si>
  <si>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</si>
  <si>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</si>
  <si>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</si>
  <si>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</si>
  <si>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</si>
  <si>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</si>
  <si>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</si>
  <si>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</si>
  <si>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</si>
  <si>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</si>
  <si>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</si>
  <si>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</si>
  <si>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</si>
  <si>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</si>
  <si>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</si>
  <si>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</si>
  <si>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</si>
  <si>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</si>
  <si>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</si>
  <si>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</si>
  <si>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</si>
  <si>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</si>
  <si>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</si>
  <si>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</si>
  <si>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</si>
  <si>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</si>
  <si>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</si>
  <si>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</si>
  <si>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</si>
  <si>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</si>
  <si>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</si>
  <si>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</si>
  <si>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</si>
  <si>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</si>
  <si>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</si>
  <si>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</si>
  <si>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</si>
  <si>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</si>
  <si>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</si>
  <si>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</si>
  <si>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</si>
  <si>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</si>
  <si>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</si>
  <si>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</si>
  <si>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</si>
  <si>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</si>
  <si>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</si>
  <si>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</si>
  <si>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</si>
  <si>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</si>
  <si>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</si>
  <si>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</si>
  <si>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</si>
  <si>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</si>
  <si>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</si>
  <si>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</si>
  <si>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</si>
  <si>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</si>
  <si>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</si>
  <si>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Síntesis</t>
  </si>
  <si>
    <t>Nivel</t>
  </si>
  <si>
    <t>Gabinete</t>
  </si>
  <si>
    <t>Milenio Hidalgo</t>
  </si>
  <si>
    <t>Plaza Juárez</t>
  </si>
  <si>
    <t>El Sol de Hidalgo</t>
  </si>
  <si>
    <t>Effetá</t>
  </si>
  <si>
    <t>Positiva</t>
  </si>
  <si>
    <t>La Jornada Hidalgo</t>
  </si>
  <si>
    <t>Deportes</t>
  </si>
  <si>
    <t>Gusano barrenador</t>
  </si>
  <si>
    <t>Negativa</t>
  </si>
  <si>
    <t>Alcalde</t>
  </si>
  <si>
    <t>Zunoticia</t>
  </si>
  <si>
    <t>Marfeca</t>
  </si>
  <si>
    <t>Pachuca Brilla</t>
  </si>
  <si>
    <t>Publicidad</t>
  </si>
  <si>
    <t>Usa el puente peatonal</t>
  </si>
  <si>
    <t>Publicidad gubernamental</t>
  </si>
  <si>
    <t>Sitmah</t>
  </si>
  <si>
    <t>Ola de calor</t>
  </si>
  <si>
    <t>Ampliación Tuzobús</t>
  </si>
  <si>
    <t>Sipdus</t>
  </si>
  <si>
    <t>Huracán Priscilla</t>
  </si>
  <si>
    <t>Criterio</t>
  </si>
  <si>
    <t>Abasto De Medicamentos</t>
  </si>
  <si>
    <t>CEAA</t>
  </si>
  <si>
    <t>Sentencia Feminicida</t>
  </si>
  <si>
    <t>Ruta de la salud</t>
  </si>
  <si>
    <t>Cintillo</t>
  </si>
  <si>
    <t>Apoyo Al Agro</t>
  </si>
  <si>
    <t>Estiman disminución de niñez hacia 2030</t>
  </si>
  <si>
    <t>Coespo</t>
  </si>
  <si>
    <t>Envejecimiento poblacional</t>
  </si>
  <si>
    <t>Reemplazan infraestructura hidráulica</t>
  </si>
  <si>
    <t>Caasim</t>
  </si>
  <si>
    <t>Infraestructura Hidráulica</t>
  </si>
  <si>
    <t>Dejan ataúdes vacíos en panteón municipal</t>
  </si>
  <si>
    <t>Panteón Municipal</t>
  </si>
  <si>
    <t>Anuncian a convocados para el Mundial</t>
  </si>
  <si>
    <t>Un siglo de historia entre voces y recaudo</t>
  </si>
  <si>
    <t>Conmemoración Aniversario</t>
  </si>
  <si>
    <t>Buscan exhortar a SEPH y SSPH por amenazas en escuelas</t>
  </si>
  <si>
    <t>Amenazas en escuela</t>
  </si>
  <si>
    <t>Tradición gastronómica</t>
  </si>
  <si>
    <t>Festival Gastronómico</t>
  </si>
  <si>
    <t>Presidenta anuncia envío de medicinas</t>
  </si>
  <si>
    <t>Ciclovía complementaria a tren AIFA</t>
  </si>
  <si>
    <t>Tren AIFA</t>
  </si>
  <si>
    <t>Continúan incendios en el Mezquital</t>
  </si>
  <si>
    <t>Incendios forestales</t>
  </si>
  <si>
    <t>Los Tuzos, con jerarquía justa</t>
  </si>
  <si>
    <t>Psg gana, pero no liquida al Bayern</t>
  </si>
  <si>
    <t>Suman 13 casos de tortura en lo que va del año</t>
  </si>
  <si>
    <t>Tortura</t>
  </si>
  <si>
    <t>Cruzan la avenida por paso peatonal</t>
  </si>
  <si>
    <t>Puentes Peatonales Dañados</t>
  </si>
  <si>
    <t>Modificaron cartografía electoral en 7 municipios</t>
  </si>
  <si>
    <t>Redistritación</t>
  </si>
  <si>
    <t>Buscan sancionar encubrimiento de crímenes graves</t>
  </si>
  <si>
    <t>GLPAN</t>
  </si>
  <si>
    <t>Iniciativa</t>
  </si>
  <si>
    <t>Hallan restos óseos y de un jaguar en Huapalcalco</t>
  </si>
  <si>
    <t>INAH</t>
  </si>
  <si>
    <t>Vestigios Arqueológicos</t>
  </si>
  <si>
    <t>Incertidumbre en el Tuzobús ante cambio de operación</t>
  </si>
  <si>
    <t>Concesiones Tuzobús</t>
  </si>
  <si>
    <t>Semana nacional de vacunación, hasta mayo: CSP</t>
  </si>
  <si>
    <t>Vacunación</t>
  </si>
  <si>
    <t>Denuncia ante CSP por  desabasto de medicinas  resuelve crisis en 3 días</t>
  </si>
  <si>
    <t>Renuncia de Jáuregui no  termina el caso  Chihuahua-CIA</t>
  </si>
  <si>
    <t>Temas internacionales</t>
  </si>
  <si>
    <t>Creo que al interior del activismo LGBTIQNB+ debe darse una reflexión profunda: nuestra apuesta por una  vida libre de violencia no debería ser la creación de más delitos o penas que, luego, se nos pueden revertir”.</t>
  </si>
  <si>
    <t>Pese a alta capacidad, el estado apenas trata sus aguas residuales</t>
  </si>
  <si>
    <t>Aguas residuales</t>
  </si>
  <si>
    <t>Denuncian poco el robo de autopartes</t>
  </si>
  <si>
    <t>Incidencia Delictiva</t>
  </si>
  <si>
    <t>Para reconstrucción falta por ejercer $1,372 millones</t>
  </si>
  <si>
    <t>Fiebre futbolera</t>
  </si>
  <si>
    <t>Mundial De Futbol</t>
  </si>
  <si>
    <t>Ariadna Montiel tiene un pie en Morena y miss Lety la releva en Bienestar</t>
  </si>
  <si>
    <t>Cambios En El Gabinete</t>
  </si>
  <si>
    <t>Pachuca prioriza inversión en obra con incremento en la recaudación</t>
  </si>
  <si>
    <t>Recaudación</t>
  </si>
  <si>
    <t>Zelenski le muestra al mundo cómo vivir la libertad frente a EU</t>
  </si>
  <si>
    <t>La FGR abre dos carpetas de investigación en Chihuahua</t>
  </si>
  <si>
    <t>Llegarán a Hidalgo 1.5 millones de piezas con ""Rutas de la Salud""</t>
  </si>
  <si>
    <t>Entrega Jorge Reyes Cuenta Pública 2025 ante el Congreso de Hidalgo</t>
  </si>
  <si>
    <t>Cuenta pública</t>
  </si>
  <si>
    <t>Fortalece Hidalgo su proyección turística en el Tianguis Turístico México 2026</t>
  </si>
  <si>
    <t>Promoción turística</t>
  </si>
  <si>
    <t>Dictan sentencia de 43 años y nueve meses contra feminicida de Lilian</t>
  </si>
  <si>
    <t>PCM advierte que el Mercado municipal es una bomba de tiempo</t>
  </si>
  <si>
    <t>Rehabilitación De Mercados</t>
  </si>
  <si>
    <t>Realizan sesión de clausura del primer cabildo infantil</t>
  </si>
  <si>
    <t>Cabildo infantil</t>
  </si>
  <si>
    <t>Con más de 2 mdp fortalecen al campo hidalguense</t>
  </si>
  <si>
    <t>Omaxal comunidad Tochan realizó el segundo festival</t>
  </si>
  <si>
    <t>Festival Cultural</t>
  </si>
  <si>
    <t>En total abandono el cementerio de Jaltocán</t>
  </si>
  <si>
    <t>Aquetzpalco y Fandango Musical alcanzan acuerdo</t>
  </si>
  <si>
    <t>Retención</t>
  </si>
  <si>
    <t>"Si van a reelegirse, renuncien"</t>
  </si>
  <si>
    <t>Sucesión alcaldía</t>
  </si>
  <si>
    <t>Tuzobús requerirá hasta 280 choferes</t>
  </si>
  <si>
    <t>Jorge Reyes presenta CUenta Pública 2025</t>
  </si>
  <si>
    <t>En Hidalgo, Sheinbaum lanza ruta urgente de medicamentos</t>
  </si>
  <si>
    <t>Alertan por onda de calor en Hidalgo, podría superar los 45°C</t>
  </si>
  <si>
    <t>PC</t>
  </si>
  <si>
    <t>Jorge Reyes entrega la cuenta pública 2025</t>
  </si>
  <si>
    <t>Sin educación no hay transformación</t>
  </si>
  <si>
    <t>Impulso A La Educación</t>
  </si>
  <si>
    <t>En Pachuca, avanza la actualización del Programa Sectorial de la Segobh</t>
  </si>
  <si>
    <t>Actualización de programa sectorial</t>
  </si>
  <si>
    <t>Ofertan más de 150 vacantes en Jornada del Empleo en Tlahuelilpan</t>
  </si>
  <si>
    <t>Feria De Empleo</t>
  </si>
  <si>
    <t>Refuerzan acciones informativas sobre el gusano barrenador en Tlaxcoapan</t>
  </si>
  <si>
    <t>Más de 300 sabores de helado este fin de semana en Festival de Tula</t>
  </si>
  <si>
    <t>Zitlaly Zúñiga pide a Contraloría auditoría a su propia administración</t>
  </si>
  <si>
    <t>Auditorías</t>
  </si>
  <si>
    <t>ALejandro Alcántara propone fortalecer la Ley antidiscrimnación</t>
  </si>
  <si>
    <t>Prevén temperaturas de más de 45 grados en Hidalgo</t>
  </si>
  <si>
    <t>Moderniza Caasim infraestructura hidráulica en planta</t>
  </si>
  <si>
    <t>Jorge Reyes entrega la cuenta pública 2025 de Pachuca ante el Congreso</t>
  </si>
  <si>
    <t>Cuenta Pública</t>
  </si>
  <si>
    <t>Policía estatal asegura a implicados a robos en casa habitación en zona metropolitana</t>
  </si>
  <si>
    <t>Combate a la delincuencia</t>
  </si>
  <si>
    <t>Arquera Ivana Palacios da al estado tres medallas en Olimpiada Nacional</t>
  </si>
  <si>
    <t>ot</t>
  </si>
  <si>
    <t>Gregjosh salón de eventos</t>
  </si>
  <si>
    <t>Integrarán el sistema estatal anticorrupción</t>
  </si>
  <si>
    <t>Sistema Anticorrupción</t>
  </si>
  <si>
    <t>Nulo apoyo gubernamental afecta al Festival Equinoccio</t>
  </si>
  <si>
    <t>La corrupción es el cáncer de las sociedades, lo mismo que la criminalidad sin límites que casi siempre van de la mano... son sin duda los grandes males de nuestro país</t>
  </si>
  <si>
    <t>Editorial</t>
  </si>
  <si>
    <t>Corrupción</t>
  </si>
  <si>
    <t>Anuncian primeros 12 jugadores convocados al mundial</t>
  </si>
  <si>
    <t>México apuesta por producir más y sustituir importaciones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</si>
</sst>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6" totalsRowShown="0" headerRowDxfId="5" headerRowBorderDxfId="4">
  <autoFilter ref="A1:J6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6"/>
  <sheetViews>
    <sheetView tabSelected="1" topLeftCell="A54" workbookViewId="0">
      <selection activeCell="A66" sqref="A66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69</v>
      </c>
    </row>
    <row r="2" spans="1:10" x14ac:dyDescent="0.35">
      <c r="A2" s="5">
        <v>46141</v>
      </c>
      <c r="B2" t="s">
        <v>73</v>
      </c>
      <c r="C2" s="6" t="s">
        <v>99</v>
      </c>
      <c r="D2" t="s">
        <v>13</v>
      </c>
      <c r="E2" t="s">
        <v>23</v>
      </c>
      <c r="F2" t="s">
        <v>100</v>
      </c>
      <c r="G2" t="s">
        <v>101</v>
      </c>
      <c r="H2" t="s">
        <v>11</v>
      </c>
      <c r="I2" t="str">
        <f>_xlfn.XLOOKUP(Tabla1[[#This Row],[Dependencia]],Tabla2[Dependencia],Tabla2[Clasificación],"No indexado")</f>
        <v>Gobierno del estado</v>
      </c>
      <c r="J2" t="str">
        <f>_xlfn.XLOOKUP(Tabla1[[#This Row],[Dependencia]],Tabla3[Dependencia],Tabla3[Nivel],"otros",0)</f>
        <v>Gabinete</v>
      </c>
    </row>
    <row r="3" spans="1:10" x14ac:dyDescent="0.35">
      <c r="A3" s="5">
        <v>46141</v>
      </c>
      <c r="B3" t="s">
        <v>73</v>
      </c>
      <c r="C3" s="6" t="s">
        <v>102</v>
      </c>
      <c r="D3" t="s">
        <v>12</v>
      </c>
      <c r="E3" t="s">
        <v>90</v>
      </c>
      <c r="F3" t="s">
        <v>103</v>
      </c>
      <c r="G3" t="s">
        <v>104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5">
        <v>46141</v>
      </c>
      <c r="B4" t="s">
        <v>73</v>
      </c>
      <c r="C4" s="6" t="s">
        <v>105</v>
      </c>
      <c r="D4" t="s">
        <v>12</v>
      </c>
      <c r="E4" t="s">
        <v>16</v>
      </c>
      <c r="F4" t="s">
        <v>16</v>
      </c>
      <c r="G4" t="s">
        <v>106</v>
      </c>
      <c r="H4" t="s">
        <v>79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46141</v>
      </c>
      <c r="B5" t="s">
        <v>73</v>
      </c>
      <c r="C5" s="6" t="s">
        <v>107</v>
      </c>
      <c r="D5" t="s">
        <v>12</v>
      </c>
      <c r="E5" t="s">
        <v>10</v>
      </c>
      <c r="F5" t="s">
        <v>10</v>
      </c>
      <c r="G5" t="s">
        <v>77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46141</v>
      </c>
      <c r="B6" t="s">
        <v>73</v>
      </c>
      <c r="C6" s="6" t="s">
        <v>108</v>
      </c>
      <c r="D6" t="s">
        <v>9</v>
      </c>
      <c r="E6" t="s">
        <v>16</v>
      </c>
      <c r="F6" t="s">
        <v>16</v>
      </c>
      <c r="G6" t="s">
        <v>109</v>
      </c>
      <c r="H6" t="s">
        <v>11</v>
      </c>
      <c r="I6" t="str">
        <f>_xlfn.XLOOKUP(Tabla1[[#This Row],[Dependencia]],Tabla2[Dependencia],Tabla2[Clasificación],"No indexado")</f>
        <v>Alcaldías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46141</v>
      </c>
      <c r="B7" t="s">
        <v>67</v>
      </c>
      <c r="C7" s="6" t="s">
        <v>110</v>
      </c>
      <c r="D7" t="s">
        <v>13</v>
      </c>
      <c r="E7" t="s">
        <v>34</v>
      </c>
      <c r="F7" t="s">
        <v>34</v>
      </c>
      <c r="G7" t="s">
        <v>111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x14ac:dyDescent="0.35">
      <c r="A8" s="5">
        <v>46141</v>
      </c>
      <c r="B8" t="s">
        <v>67</v>
      </c>
      <c r="C8" s="6" t="s">
        <v>112</v>
      </c>
      <c r="D8" t="s">
        <v>9</v>
      </c>
      <c r="E8" t="s">
        <v>16</v>
      </c>
      <c r="F8" t="s">
        <v>16</v>
      </c>
      <c r="G8" t="s">
        <v>113</v>
      </c>
      <c r="H8" t="s">
        <v>11</v>
      </c>
      <c r="I8" t="str">
        <f>_xlfn.XLOOKUP(Tabla1[[#This Row],[Dependencia]],Tabla2[Dependencia],Tabla2[Clasificación],"No indexado")</f>
        <v>Alcaldías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46141</v>
      </c>
      <c r="B9" t="s">
        <v>67</v>
      </c>
      <c r="C9" s="6" t="s">
        <v>114</v>
      </c>
      <c r="D9" t="s">
        <v>12</v>
      </c>
      <c r="E9" t="s">
        <v>14</v>
      </c>
      <c r="F9" t="s">
        <v>14</v>
      </c>
      <c r="G9" t="s">
        <v>93</v>
      </c>
      <c r="H9" t="s">
        <v>11</v>
      </c>
      <c r="I9" t="str">
        <f>_xlfn.XLOOKUP(Tabla1[[#This Row],[Dependencia]],Tabla2[Dependencia],Tabla2[Clasificación],"No indexado")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46141</v>
      </c>
      <c r="B10" t="s">
        <v>67</v>
      </c>
      <c r="C10" s="6" t="s">
        <v>115</v>
      </c>
      <c r="D10" t="s">
        <v>12</v>
      </c>
      <c r="E10" t="s">
        <v>16</v>
      </c>
      <c r="F10" t="s">
        <v>16</v>
      </c>
      <c r="G10" t="s">
        <v>116</v>
      </c>
      <c r="H10" t="s">
        <v>11</v>
      </c>
      <c r="I10" t="str">
        <f>_xlfn.XLOOKUP(Tabla1[[#This Row],[Dependencia]],Tabla2[Dependencia],Tabla2[Clasificación],"No indexado")</f>
        <v>Alcaldías</v>
      </c>
      <c r="J10" t="str">
        <f>_xlfn.XLOOKUP(Tabla1[[#This Row],[Dependencia]],Tabla3[Dependencia],Tabla3[Nivel],"otros",0)</f>
        <v>otros</v>
      </c>
    </row>
    <row r="11" spans="1:10" x14ac:dyDescent="0.35">
      <c r="A11" s="5">
        <v>46141</v>
      </c>
      <c r="B11" t="s">
        <v>67</v>
      </c>
      <c r="C11" s="6" t="s">
        <v>117</v>
      </c>
      <c r="D11" t="s">
        <v>12</v>
      </c>
      <c r="E11" t="s">
        <v>20</v>
      </c>
      <c r="F11" t="s">
        <v>20</v>
      </c>
      <c r="G11" t="s">
        <v>118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5">
        <v>46141</v>
      </c>
      <c r="B12" t="s">
        <v>92</v>
      </c>
      <c r="C12" s="6" t="s">
        <v>119</v>
      </c>
      <c r="D12" t="s">
        <v>12</v>
      </c>
      <c r="E12" t="s">
        <v>10</v>
      </c>
      <c r="F12" t="s">
        <v>10</v>
      </c>
      <c r="G12" t="s">
        <v>77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46141</v>
      </c>
      <c r="B13" t="s">
        <v>92</v>
      </c>
      <c r="C13" s="6" t="s">
        <v>120</v>
      </c>
      <c r="D13" t="s">
        <v>12</v>
      </c>
      <c r="E13" t="s">
        <v>10</v>
      </c>
      <c r="F13" t="s">
        <v>10</v>
      </c>
      <c r="G13" t="s">
        <v>77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35">
      <c r="A14" s="5">
        <v>46141</v>
      </c>
      <c r="B14" t="s">
        <v>92</v>
      </c>
      <c r="C14" s="6" t="s">
        <v>121</v>
      </c>
      <c r="D14" t="s">
        <v>12</v>
      </c>
      <c r="E14" t="s">
        <v>17</v>
      </c>
      <c r="F14" t="s">
        <v>17</v>
      </c>
      <c r="G14" t="s">
        <v>122</v>
      </c>
      <c r="H14" t="s">
        <v>79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5">
        <v>46141</v>
      </c>
      <c r="B15" t="s">
        <v>92</v>
      </c>
      <c r="C15" s="6" t="s">
        <v>123</v>
      </c>
      <c r="D15" t="s">
        <v>12</v>
      </c>
      <c r="E15" t="s">
        <v>10</v>
      </c>
      <c r="F15" t="s">
        <v>10</v>
      </c>
      <c r="G15" t="s">
        <v>124</v>
      </c>
      <c r="H15" t="s">
        <v>11</v>
      </c>
      <c r="I15" t="str">
        <f>_xlfn.XLOOKUP(Tabla1[[#This Row],[Dependencia]],Tabla2[Dependencia],Tabla2[Clasificación],"No indexado")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46141</v>
      </c>
      <c r="B16" t="s">
        <v>92</v>
      </c>
      <c r="C16" s="6" t="s">
        <v>125</v>
      </c>
      <c r="D16" t="s">
        <v>12</v>
      </c>
      <c r="E16" t="s">
        <v>10</v>
      </c>
      <c r="F16" t="s">
        <v>10</v>
      </c>
      <c r="G16" t="s">
        <v>126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46141</v>
      </c>
      <c r="B17" t="s">
        <v>92</v>
      </c>
      <c r="C17" s="6" t="s">
        <v>127</v>
      </c>
      <c r="D17" t="s">
        <v>12</v>
      </c>
      <c r="E17" t="s">
        <v>34</v>
      </c>
      <c r="F17" t="s">
        <v>128</v>
      </c>
      <c r="G17" t="s">
        <v>129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46141</v>
      </c>
      <c r="B18" t="s">
        <v>76</v>
      </c>
      <c r="C18" s="6" t="s">
        <v>130</v>
      </c>
      <c r="D18" t="s">
        <v>9</v>
      </c>
      <c r="E18" t="s">
        <v>14</v>
      </c>
      <c r="F18" t="s">
        <v>131</v>
      </c>
      <c r="G18" t="s">
        <v>132</v>
      </c>
      <c r="H18" t="s">
        <v>11</v>
      </c>
      <c r="I18" t="str">
        <f>_xlfn.XLOOKUP(Tabla1[[#This Row],[Dependencia]],Tabla2[Dependencia],Tabla2[Clasificación],"No indexado")</f>
        <v>Presidencia de la República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46141</v>
      </c>
      <c r="B19" t="s">
        <v>76</v>
      </c>
      <c r="C19" s="6" t="s">
        <v>133</v>
      </c>
      <c r="D19" t="s">
        <v>12</v>
      </c>
      <c r="E19" t="s">
        <v>27</v>
      </c>
      <c r="F19" t="s">
        <v>87</v>
      </c>
      <c r="G19" t="s">
        <v>134</v>
      </c>
      <c r="H19" t="s">
        <v>79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46141</v>
      </c>
      <c r="B20" t="s">
        <v>76</v>
      </c>
      <c r="C20" s="6" t="s">
        <v>135</v>
      </c>
      <c r="D20" t="s">
        <v>12</v>
      </c>
      <c r="E20" t="s">
        <v>14</v>
      </c>
      <c r="F20" t="s">
        <v>14</v>
      </c>
      <c r="G20" t="s">
        <v>136</v>
      </c>
      <c r="H20" t="s">
        <v>11</v>
      </c>
      <c r="I20" t="str">
        <f>_xlfn.XLOOKUP(Tabla1[[#This Row],[Dependencia]],Tabla2[Dependencia],Tabla2[Clasificación],"No indexado")</f>
        <v>Presidencia de la República</v>
      </c>
      <c r="J20" t="str">
        <f>_xlfn.XLOOKUP(Tabla1[[#This Row],[Dependencia]],Tabla3[Dependencia],Tabla3[Nivel],"otros",0)</f>
        <v>otros</v>
      </c>
    </row>
    <row r="21" spans="1:10" ht="29" x14ac:dyDescent="0.35">
      <c r="A21" s="5">
        <v>46141</v>
      </c>
      <c r="B21" t="s">
        <v>76</v>
      </c>
      <c r="C21" s="6" t="s">
        <v>137</v>
      </c>
      <c r="D21" t="s">
        <v>12</v>
      </c>
      <c r="E21" t="s">
        <v>14</v>
      </c>
      <c r="F21" t="s">
        <v>14</v>
      </c>
      <c r="G21" t="s">
        <v>93</v>
      </c>
      <c r="H21" t="s">
        <v>75</v>
      </c>
      <c r="I21" t="str">
        <f>_xlfn.XLOOKUP(Tabla1[[#This Row],[Dependencia]],Tabla2[Dependencia],Tabla2[Clasificación],"No indexado")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46141</v>
      </c>
      <c r="B22" t="s">
        <v>76</v>
      </c>
      <c r="C22" s="6" t="s">
        <v>138</v>
      </c>
      <c r="D22" t="s">
        <v>12</v>
      </c>
      <c r="E22" t="s">
        <v>14</v>
      </c>
      <c r="F22" t="s">
        <v>14</v>
      </c>
      <c r="G22" t="s">
        <v>139</v>
      </c>
      <c r="H22" t="s">
        <v>11</v>
      </c>
      <c r="I22" t="str">
        <f>_xlfn.XLOOKUP(Tabla1[[#This Row],[Dependencia]],Tabla2[Dependencia],Tabla2[Clasificación],"No indexado")</f>
        <v>Presidencia de la República</v>
      </c>
      <c r="J22" t="str">
        <f>_xlfn.XLOOKUP(Tabla1[[#This Row],[Dependencia]],Tabla3[Dependencia],Tabla3[Nivel],"otros",0)</f>
        <v>otros</v>
      </c>
    </row>
    <row r="23" spans="1:10" ht="58" x14ac:dyDescent="0.35">
      <c r="A23" s="5">
        <v>46141</v>
      </c>
      <c r="B23" t="s">
        <v>76</v>
      </c>
      <c r="C23" s="6" t="s">
        <v>140</v>
      </c>
      <c r="D23" t="s">
        <v>12</v>
      </c>
      <c r="E23" t="s">
        <v>10</v>
      </c>
      <c r="F23" t="s">
        <v>10</v>
      </c>
      <c r="G23" t="s">
        <v>66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ht="29" x14ac:dyDescent="0.35">
      <c r="A24" s="5">
        <v>46141</v>
      </c>
      <c r="B24" t="s">
        <v>71</v>
      </c>
      <c r="C24" s="6" t="s">
        <v>141</v>
      </c>
      <c r="D24" t="s">
        <v>13</v>
      </c>
      <c r="E24" t="s">
        <v>90</v>
      </c>
      <c r="F24" t="s">
        <v>94</v>
      </c>
      <c r="G24" t="s">
        <v>142</v>
      </c>
      <c r="H24" t="s">
        <v>79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5">
        <v>46141</v>
      </c>
      <c r="B25" t="s">
        <v>71</v>
      </c>
      <c r="C25" s="6" t="s">
        <v>143</v>
      </c>
      <c r="D25" t="s">
        <v>12</v>
      </c>
      <c r="E25" t="s">
        <v>17</v>
      </c>
      <c r="F25" t="s">
        <v>17</v>
      </c>
      <c r="G25" t="s">
        <v>144</v>
      </c>
      <c r="H25" t="s">
        <v>11</v>
      </c>
      <c r="I25" t="str">
        <f>_xlfn.XLOOKUP(Tabla1[[#This Row],[Dependencia]],Tabla2[Dependencia],Tabla2[Clasificación],"No indexado")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35">
      <c r="A26" s="5">
        <v>46141</v>
      </c>
      <c r="B26" t="s">
        <v>71</v>
      </c>
      <c r="C26" s="6" t="s">
        <v>145</v>
      </c>
      <c r="D26" t="s">
        <v>12</v>
      </c>
      <c r="E26" t="s">
        <v>90</v>
      </c>
      <c r="F26" t="s">
        <v>90</v>
      </c>
      <c r="G26" t="s">
        <v>91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35">
      <c r="A27" s="5">
        <v>46141</v>
      </c>
      <c r="B27" t="s">
        <v>71</v>
      </c>
      <c r="C27" s="6" t="s">
        <v>146</v>
      </c>
      <c r="D27" t="s">
        <v>9</v>
      </c>
      <c r="E27" t="s">
        <v>10</v>
      </c>
      <c r="F27" t="s">
        <v>10</v>
      </c>
      <c r="G27" t="s">
        <v>147</v>
      </c>
      <c r="H27" t="s">
        <v>11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ht="29" x14ac:dyDescent="0.35">
      <c r="A28" s="5">
        <v>46141</v>
      </c>
      <c r="B28" t="s">
        <v>71</v>
      </c>
      <c r="C28" s="6" t="s">
        <v>148</v>
      </c>
      <c r="D28" t="s">
        <v>12</v>
      </c>
      <c r="E28" t="s">
        <v>14</v>
      </c>
      <c r="F28" t="s">
        <v>14</v>
      </c>
      <c r="G28" t="s">
        <v>149</v>
      </c>
      <c r="H28" t="s">
        <v>11</v>
      </c>
      <c r="I28" t="str">
        <f>_xlfn.XLOOKUP(Tabla1[[#This Row],[Dependencia]],Tabla2[Dependencia],Tabla2[Clasificación],"No indexado")</f>
        <v>Presidencia de la República</v>
      </c>
      <c r="J28" t="str">
        <f>_xlfn.XLOOKUP(Tabla1[[#This Row],[Dependencia]],Tabla3[Dependencia],Tabla3[Nivel],"otros",0)</f>
        <v>otros</v>
      </c>
    </row>
    <row r="29" spans="1:10" ht="29" x14ac:dyDescent="0.35">
      <c r="A29" s="5">
        <v>46141</v>
      </c>
      <c r="B29" t="s">
        <v>71</v>
      </c>
      <c r="C29" s="6" t="s">
        <v>150</v>
      </c>
      <c r="D29" t="s">
        <v>12</v>
      </c>
      <c r="E29" t="s">
        <v>16</v>
      </c>
      <c r="F29" t="s">
        <v>16</v>
      </c>
      <c r="G29" t="s">
        <v>151</v>
      </c>
      <c r="H29" t="s">
        <v>11</v>
      </c>
      <c r="I29" t="str">
        <f>_xlfn.XLOOKUP(Tabla1[[#This Row],[Dependencia]],Tabla2[Dependencia],Tabla2[Clasificación],"No indexado")</f>
        <v>Alcaldías</v>
      </c>
      <c r="J29" t="str">
        <f>_xlfn.XLOOKUP(Tabla1[[#This Row],[Dependencia]],Tabla3[Dependencia],Tabla3[Nivel],"otros",0)</f>
        <v>otros</v>
      </c>
    </row>
    <row r="30" spans="1:10" x14ac:dyDescent="0.35">
      <c r="A30" s="5">
        <v>46141</v>
      </c>
      <c r="B30" t="s">
        <v>71</v>
      </c>
      <c r="C30" s="6" t="s">
        <v>152</v>
      </c>
      <c r="D30" t="s">
        <v>12</v>
      </c>
      <c r="E30" t="s">
        <v>10</v>
      </c>
      <c r="F30" t="s">
        <v>10</v>
      </c>
      <c r="G30" t="s">
        <v>139</v>
      </c>
      <c r="H30" t="s">
        <v>11</v>
      </c>
      <c r="I30" t="str">
        <f>_xlfn.XLOOKUP(Tabla1[[#This Row],[Dependencia]],Tabla2[Dependencia],Tabla2[Clasificación],"No indexado")</f>
        <v>Otros</v>
      </c>
      <c r="J30" t="str">
        <f>_xlfn.XLOOKUP(Tabla1[[#This Row],[Dependencia]],Tabla3[Dependencia],Tabla3[Nivel],"otros",0)</f>
        <v>otros</v>
      </c>
    </row>
    <row r="31" spans="1:10" x14ac:dyDescent="0.35">
      <c r="A31" s="5">
        <v>46141</v>
      </c>
      <c r="B31" t="s">
        <v>71</v>
      </c>
      <c r="C31" s="6" t="s">
        <v>153</v>
      </c>
      <c r="D31" t="s">
        <v>12</v>
      </c>
      <c r="E31" t="s">
        <v>14</v>
      </c>
      <c r="F31" t="s">
        <v>14</v>
      </c>
      <c r="G31" t="s">
        <v>139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29" x14ac:dyDescent="0.35">
      <c r="A32" s="5">
        <v>46141</v>
      </c>
      <c r="B32" t="s">
        <v>68</v>
      </c>
      <c r="C32" s="6" t="s">
        <v>154</v>
      </c>
      <c r="D32" t="s">
        <v>13</v>
      </c>
      <c r="E32" t="s">
        <v>14</v>
      </c>
      <c r="F32" t="s">
        <v>14</v>
      </c>
      <c r="G32" t="s">
        <v>96</v>
      </c>
      <c r="H32" t="s">
        <v>11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ht="29" x14ac:dyDescent="0.35">
      <c r="A33" s="5">
        <v>46141</v>
      </c>
      <c r="B33" t="s">
        <v>68</v>
      </c>
      <c r="C33" s="6" t="s">
        <v>155</v>
      </c>
      <c r="D33" t="s">
        <v>12</v>
      </c>
      <c r="E33" t="s">
        <v>16</v>
      </c>
      <c r="F33" t="s">
        <v>80</v>
      </c>
      <c r="G33" t="s">
        <v>156</v>
      </c>
      <c r="H33" t="s">
        <v>11</v>
      </c>
      <c r="I33" t="str">
        <f>_xlfn.XLOOKUP(Tabla1[[#This Row],[Dependencia]],Tabla2[Dependencia],Tabla2[Clasificación],"No indexado")</f>
        <v>Alcaldías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46141</v>
      </c>
      <c r="B34" t="s">
        <v>68</v>
      </c>
      <c r="C34" s="6" t="s">
        <v>157</v>
      </c>
      <c r="D34" t="s">
        <v>12</v>
      </c>
      <c r="E34" t="s">
        <v>29</v>
      </c>
      <c r="F34" t="s">
        <v>29</v>
      </c>
      <c r="G34" t="s">
        <v>158</v>
      </c>
      <c r="H34" t="s">
        <v>11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5">
        <v>46141</v>
      </c>
      <c r="B35" t="s">
        <v>68</v>
      </c>
      <c r="C35" s="6" t="s">
        <v>159</v>
      </c>
      <c r="D35" t="s">
        <v>12</v>
      </c>
      <c r="E35" t="s">
        <v>17</v>
      </c>
      <c r="F35" t="s">
        <v>17</v>
      </c>
      <c r="G35" t="s">
        <v>95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5">
        <v>46141</v>
      </c>
      <c r="B36" t="s">
        <v>81</v>
      </c>
      <c r="C36" s="6" t="s">
        <v>160</v>
      </c>
      <c r="D36" t="s">
        <v>13</v>
      </c>
      <c r="E36" t="s">
        <v>10</v>
      </c>
      <c r="F36" t="s">
        <v>10</v>
      </c>
      <c r="G36" t="s">
        <v>161</v>
      </c>
      <c r="H36" t="s">
        <v>79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35">
      <c r="A37" s="5">
        <v>46141</v>
      </c>
      <c r="B37" t="s">
        <v>81</v>
      </c>
      <c r="C37" s="6" t="s">
        <v>162</v>
      </c>
      <c r="D37" t="s">
        <v>12</v>
      </c>
      <c r="E37" t="s">
        <v>16</v>
      </c>
      <c r="F37" t="s">
        <v>16</v>
      </c>
      <c r="G37" t="s">
        <v>163</v>
      </c>
      <c r="H37" t="s">
        <v>11</v>
      </c>
      <c r="I37" t="str">
        <f>_xlfn.XLOOKUP(Tabla1[[#This Row],[Dependencia]],Tabla2[Dependencia],Tabla2[Clasificación],"No indexado")</f>
        <v>Alcaldías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46141</v>
      </c>
      <c r="B38" t="s">
        <v>81</v>
      </c>
      <c r="C38" s="6" t="s">
        <v>164</v>
      </c>
      <c r="D38" t="s">
        <v>12</v>
      </c>
      <c r="E38" t="s">
        <v>54</v>
      </c>
      <c r="F38" t="s">
        <v>2</v>
      </c>
      <c r="G38" t="s">
        <v>98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35">
      <c r="A39" s="5">
        <v>46141</v>
      </c>
      <c r="B39" t="s">
        <v>81</v>
      </c>
      <c r="C39" s="6" t="s">
        <v>165</v>
      </c>
      <c r="D39" t="s">
        <v>12</v>
      </c>
      <c r="E39" t="s">
        <v>10</v>
      </c>
      <c r="F39" t="s">
        <v>10</v>
      </c>
      <c r="G39" t="s">
        <v>166</v>
      </c>
      <c r="H39" t="s">
        <v>11</v>
      </c>
      <c r="I39" t="str">
        <f>_xlfn.XLOOKUP(Tabla1[[#This Row],[Dependencia]],Tabla2[Dependencia],Tabla2[Clasificación],"No indexado")</f>
        <v>Otros</v>
      </c>
      <c r="J39" t="str">
        <f>_xlfn.XLOOKUP(Tabla1[[#This Row],[Dependencia]],Tabla3[Dependencia],Tabla3[Nivel],"otros",0)</f>
        <v>otros</v>
      </c>
    </row>
    <row r="40" spans="1:10" x14ac:dyDescent="0.35">
      <c r="A40" s="5">
        <v>46141</v>
      </c>
      <c r="B40" t="s">
        <v>81</v>
      </c>
      <c r="C40" s="6" t="s">
        <v>167</v>
      </c>
      <c r="D40" t="s">
        <v>12</v>
      </c>
      <c r="E40" t="s">
        <v>16</v>
      </c>
      <c r="F40" t="s">
        <v>16</v>
      </c>
      <c r="G40" t="s">
        <v>106</v>
      </c>
      <c r="H40" t="s">
        <v>79</v>
      </c>
      <c r="I40" t="str">
        <f>_xlfn.XLOOKUP(Tabla1[[#This Row],[Dependencia]],Tabla2[Dependencia],Tabla2[Clasificación],"No indexado")</f>
        <v>Alcaldías</v>
      </c>
      <c r="J40" t="str">
        <f>_xlfn.XLOOKUP(Tabla1[[#This Row],[Dependencia]],Tabla3[Dependencia],Tabla3[Nivel],"otros",0)</f>
        <v>otros</v>
      </c>
    </row>
    <row r="41" spans="1:10" x14ac:dyDescent="0.35">
      <c r="A41" s="5">
        <v>46141</v>
      </c>
      <c r="B41" t="s">
        <v>81</v>
      </c>
      <c r="C41" s="6" t="s">
        <v>168</v>
      </c>
      <c r="D41" t="s">
        <v>12</v>
      </c>
      <c r="E41" t="s">
        <v>23</v>
      </c>
      <c r="F41" t="s">
        <v>23</v>
      </c>
      <c r="G41" t="s">
        <v>169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5">
        <v>46141</v>
      </c>
      <c r="B42" t="s">
        <v>74</v>
      </c>
      <c r="C42" s="6" t="s">
        <v>170</v>
      </c>
      <c r="D42" t="s">
        <v>13</v>
      </c>
      <c r="E42" t="s">
        <v>18</v>
      </c>
      <c r="F42" t="s">
        <v>18</v>
      </c>
      <c r="G42" t="s">
        <v>171</v>
      </c>
      <c r="H42" t="s">
        <v>11</v>
      </c>
      <c r="I42" t="str">
        <f>_xlfn.XLOOKUP(Tabla1[[#This Row],[Dependencia]],Tabla2[Dependencia],Tabla2[Clasificación],"No indexado")</f>
        <v>Partidos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46141</v>
      </c>
      <c r="B43" t="s">
        <v>74</v>
      </c>
      <c r="C43" s="6" t="s">
        <v>172</v>
      </c>
      <c r="D43" t="s">
        <v>9</v>
      </c>
      <c r="E43" t="s">
        <v>21</v>
      </c>
      <c r="F43" t="s">
        <v>21</v>
      </c>
      <c r="G43" t="s">
        <v>89</v>
      </c>
      <c r="H43" t="s">
        <v>11</v>
      </c>
      <c r="I43" t="str">
        <f>_xlfn.XLOOKUP(Tabla1[[#This Row],[Dependencia]],Tabla2[Dependencia],Tabla2[Clasificación],"No indexado")</f>
        <v>Gobierno del estado</v>
      </c>
      <c r="J43" t="str">
        <f>_xlfn.XLOOKUP(Tabla1[[#This Row],[Dependencia]],Tabla3[Dependencia],Tabla3[Nivel],"otros",0)</f>
        <v>Gabinete</v>
      </c>
    </row>
    <row r="44" spans="1:10" x14ac:dyDescent="0.35">
      <c r="A44" s="5">
        <v>46141</v>
      </c>
      <c r="B44" t="s">
        <v>74</v>
      </c>
      <c r="C44" s="6" t="s">
        <v>173</v>
      </c>
      <c r="D44" t="s">
        <v>12</v>
      </c>
      <c r="E44" t="s">
        <v>16</v>
      </c>
      <c r="F44" t="s">
        <v>80</v>
      </c>
      <c r="G44" t="s">
        <v>156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46141</v>
      </c>
      <c r="B45" t="s">
        <v>74</v>
      </c>
      <c r="C45" s="6" t="s">
        <v>174</v>
      </c>
      <c r="D45" t="s">
        <v>12</v>
      </c>
      <c r="E45" t="s">
        <v>14</v>
      </c>
      <c r="F45" t="s">
        <v>14</v>
      </c>
      <c r="G45" t="s">
        <v>96</v>
      </c>
      <c r="H45" t="s">
        <v>11</v>
      </c>
      <c r="I45" t="str">
        <f>_xlfn.XLOOKUP(Tabla1[[#This Row],[Dependencia]],Tabla2[Dependencia],Tabla2[Clasificación],"No indexado")</f>
        <v>Presidencia de la República</v>
      </c>
      <c r="J45" t="str">
        <f>_xlfn.XLOOKUP(Tabla1[[#This Row],[Dependencia]],Tabla3[Dependencia],Tabla3[Nivel],"otros",0)</f>
        <v>otros</v>
      </c>
    </row>
    <row r="46" spans="1:10" x14ac:dyDescent="0.35">
      <c r="A46" s="5">
        <v>46141</v>
      </c>
      <c r="B46" t="s">
        <v>82</v>
      </c>
      <c r="C46" s="6" t="s">
        <v>175</v>
      </c>
      <c r="D46" t="s">
        <v>97</v>
      </c>
      <c r="E46" t="s">
        <v>23</v>
      </c>
      <c r="F46" t="s">
        <v>176</v>
      </c>
      <c r="G46" t="s">
        <v>88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35">
      <c r="A47" s="5">
        <v>46141</v>
      </c>
      <c r="B47" t="s">
        <v>82</v>
      </c>
      <c r="C47" s="6" t="s">
        <v>177</v>
      </c>
      <c r="D47" t="s">
        <v>12</v>
      </c>
      <c r="E47" t="s">
        <v>16</v>
      </c>
      <c r="F47" t="s">
        <v>80</v>
      </c>
      <c r="G47" t="s">
        <v>156</v>
      </c>
      <c r="H47" t="s">
        <v>11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x14ac:dyDescent="0.35">
      <c r="A48" s="5">
        <v>46141</v>
      </c>
      <c r="B48" t="s">
        <v>82</v>
      </c>
      <c r="C48" s="6" t="s">
        <v>178</v>
      </c>
      <c r="D48" t="s">
        <v>12</v>
      </c>
      <c r="E48" t="s">
        <v>26</v>
      </c>
      <c r="F48" t="s">
        <v>2</v>
      </c>
      <c r="G48" t="s">
        <v>179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5">
        <v>46141</v>
      </c>
      <c r="B49" t="s">
        <v>82</v>
      </c>
      <c r="C49" s="6" t="s">
        <v>180</v>
      </c>
      <c r="D49" t="s">
        <v>13</v>
      </c>
      <c r="E49" t="s">
        <v>23</v>
      </c>
      <c r="F49" t="s">
        <v>2</v>
      </c>
      <c r="G49" t="s">
        <v>181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29" x14ac:dyDescent="0.35">
      <c r="A50" s="5">
        <v>46141</v>
      </c>
      <c r="B50" t="s">
        <v>82</v>
      </c>
      <c r="C50" s="6" t="s">
        <v>182</v>
      </c>
      <c r="D50" t="s">
        <v>12</v>
      </c>
      <c r="E50" t="s">
        <v>57</v>
      </c>
      <c r="F50" t="s">
        <v>2</v>
      </c>
      <c r="G50" t="s">
        <v>183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ht="29" x14ac:dyDescent="0.35">
      <c r="A51" s="5">
        <v>46141</v>
      </c>
      <c r="B51" t="s">
        <v>82</v>
      </c>
      <c r="C51" s="6" t="s">
        <v>184</v>
      </c>
      <c r="D51" t="s">
        <v>12</v>
      </c>
      <c r="E51" t="s">
        <v>16</v>
      </c>
      <c r="F51" t="s">
        <v>16</v>
      </c>
      <c r="G51" t="s">
        <v>78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46141</v>
      </c>
      <c r="B52" t="s">
        <v>82</v>
      </c>
      <c r="C52" s="6" t="s">
        <v>185</v>
      </c>
      <c r="D52" t="s">
        <v>12</v>
      </c>
      <c r="E52" t="s">
        <v>16</v>
      </c>
      <c r="F52" t="s">
        <v>16</v>
      </c>
      <c r="G52" t="s">
        <v>113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29" x14ac:dyDescent="0.35">
      <c r="A53" s="5">
        <v>46141</v>
      </c>
      <c r="B53" t="s">
        <v>82</v>
      </c>
      <c r="C53" s="6" t="s">
        <v>186</v>
      </c>
      <c r="D53" t="s">
        <v>12</v>
      </c>
      <c r="E53" t="s">
        <v>16</v>
      </c>
      <c r="F53" t="s">
        <v>16</v>
      </c>
      <c r="G53" t="s">
        <v>187</v>
      </c>
      <c r="H53" t="s">
        <v>11</v>
      </c>
      <c r="I53" t="str">
        <f>_xlfn.XLOOKUP(Tabla1[[#This Row],[Dependencia]],Tabla2[Dependencia],Tabla2[Clasificación],"No indexado")</f>
        <v>Alcaldías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46141</v>
      </c>
      <c r="B54" t="s">
        <v>82</v>
      </c>
      <c r="C54" s="6" t="s">
        <v>188</v>
      </c>
      <c r="D54" t="s">
        <v>12</v>
      </c>
      <c r="E54" t="s">
        <v>34</v>
      </c>
      <c r="F54" t="s">
        <v>34</v>
      </c>
      <c r="G54" t="s">
        <v>129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46141</v>
      </c>
      <c r="B55" t="s">
        <v>83</v>
      </c>
      <c r="C55" s="6" t="s">
        <v>189</v>
      </c>
      <c r="D55" t="s">
        <v>13</v>
      </c>
      <c r="E55" t="s">
        <v>23</v>
      </c>
      <c r="F55" t="s">
        <v>176</v>
      </c>
      <c r="G55" t="s">
        <v>88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46141</v>
      </c>
      <c r="B56" t="s">
        <v>83</v>
      </c>
      <c r="C56" s="6" t="s">
        <v>190</v>
      </c>
      <c r="D56" t="s">
        <v>12</v>
      </c>
      <c r="E56" t="s">
        <v>90</v>
      </c>
      <c r="F56" t="s">
        <v>103</v>
      </c>
      <c r="G56" t="s">
        <v>104</v>
      </c>
      <c r="H56" t="s">
        <v>75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29" x14ac:dyDescent="0.35">
      <c r="A57" s="5">
        <v>46141</v>
      </c>
      <c r="B57" t="s">
        <v>83</v>
      </c>
      <c r="C57" s="6" t="s">
        <v>191</v>
      </c>
      <c r="D57" t="s">
        <v>12</v>
      </c>
      <c r="E57" t="s">
        <v>16</v>
      </c>
      <c r="F57" t="s">
        <v>80</v>
      </c>
      <c r="G57" t="s">
        <v>192</v>
      </c>
      <c r="H57" t="s">
        <v>11</v>
      </c>
      <c r="I57" t="str">
        <f>_xlfn.XLOOKUP(Tabla1[[#This Row],[Dependencia]],Tabla2[Dependencia],Tabla2[Clasificación],"No indexado")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5">
        <v>46141</v>
      </c>
      <c r="B58" t="s">
        <v>83</v>
      </c>
      <c r="C58" s="6" t="s">
        <v>193</v>
      </c>
      <c r="D58" t="s">
        <v>12</v>
      </c>
      <c r="E58" t="s">
        <v>22</v>
      </c>
      <c r="F58" t="s">
        <v>22</v>
      </c>
      <c r="G58" t="s">
        <v>194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29" x14ac:dyDescent="0.35">
      <c r="A59" s="5">
        <v>46141</v>
      </c>
      <c r="B59" t="s">
        <v>83</v>
      </c>
      <c r="C59" s="6" t="s">
        <v>195</v>
      </c>
      <c r="D59" t="s">
        <v>12</v>
      </c>
      <c r="E59" t="s">
        <v>196</v>
      </c>
      <c r="F59" t="s">
        <v>10</v>
      </c>
      <c r="G59" t="s">
        <v>77</v>
      </c>
      <c r="H59" t="s">
        <v>11</v>
      </c>
      <c r="I59" t="str">
        <f>_xlfn.XLOOKUP(Tabla1[[#This Row],[Dependencia]],Tabla2[Dependencia],Tabla2[Clasificación],"No indexado")</f>
        <v>No indexado</v>
      </c>
      <c r="J59" t="str">
        <f>_xlfn.XLOOKUP(Tabla1[[#This Row],[Dependencia]],Tabla3[Dependencia],Tabla3[Nivel],"otros",0)</f>
        <v>otros</v>
      </c>
    </row>
    <row r="60" spans="1:10" x14ac:dyDescent="0.35">
      <c r="A60" s="5">
        <v>46141</v>
      </c>
      <c r="B60" t="s">
        <v>83</v>
      </c>
      <c r="C60" s="6" t="s">
        <v>85</v>
      </c>
      <c r="D60" t="s">
        <v>84</v>
      </c>
      <c r="E60" t="s">
        <v>16</v>
      </c>
      <c r="F60" t="s">
        <v>16</v>
      </c>
      <c r="G60" t="s">
        <v>86</v>
      </c>
      <c r="H60" t="s">
        <v>11</v>
      </c>
      <c r="I60" t="str">
        <f>_xlfn.XLOOKUP(Tabla1[[#This Row],[Dependencia]],Tabla2[Dependencia],Tabla2[Clasificación],"No indexado")</f>
        <v>Alcaldías</v>
      </c>
      <c r="J60" t="str">
        <f>_xlfn.XLOOKUP(Tabla1[[#This Row],[Dependencia]],Tabla3[Dependencia],Tabla3[Nivel],"otros",0)</f>
        <v>otros</v>
      </c>
    </row>
    <row r="61" spans="1:10" x14ac:dyDescent="0.35">
      <c r="A61" s="5">
        <v>46141</v>
      </c>
      <c r="B61" t="s">
        <v>83</v>
      </c>
      <c r="C61" s="6" t="s">
        <v>197</v>
      </c>
      <c r="D61" t="s">
        <v>84</v>
      </c>
      <c r="E61" t="s">
        <v>10</v>
      </c>
      <c r="F61" t="s">
        <v>10</v>
      </c>
      <c r="G61" t="s">
        <v>84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x14ac:dyDescent="0.35">
      <c r="A62" s="5">
        <v>46141</v>
      </c>
      <c r="B62" t="s">
        <v>72</v>
      </c>
      <c r="C62" s="6" t="s">
        <v>198</v>
      </c>
      <c r="D62" t="s">
        <v>13</v>
      </c>
      <c r="E62" t="s">
        <v>34</v>
      </c>
      <c r="F62" t="s">
        <v>34</v>
      </c>
      <c r="G62" t="s">
        <v>199</v>
      </c>
      <c r="H62" t="s">
        <v>11</v>
      </c>
      <c r="I62" t="str">
        <f>_xlfn.XLOOKUP(Tabla1[[#This Row],[Dependencia]],Tabla2[Dependencia],Tabla2[Clasificación],"No indexado")</f>
        <v>Otros</v>
      </c>
      <c r="J62" t="str">
        <f>_xlfn.XLOOKUP(Tabla1[[#This Row],[Dependencia]],Tabla3[Dependencia],Tabla3[Nivel],"otros",0)</f>
        <v>otros</v>
      </c>
    </row>
    <row r="63" spans="1:10" x14ac:dyDescent="0.35">
      <c r="A63" s="5">
        <v>46141</v>
      </c>
      <c r="B63" t="s">
        <v>72</v>
      </c>
      <c r="C63" s="6" t="s">
        <v>200</v>
      </c>
      <c r="D63" t="s">
        <v>12</v>
      </c>
      <c r="E63" t="s">
        <v>16</v>
      </c>
      <c r="F63" t="s">
        <v>16</v>
      </c>
      <c r="G63" t="s">
        <v>166</v>
      </c>
      <c r="H63" t="s">
        <v>79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ht="43.5" x14ac:dyDescent="0.35">
      <c r="A64" s="5">
        <v>46141</v>
      </c>
      <c r="B64" t="s">
        <v>72</v>
      </c>
      <c r="C64" s="6" t="s">
        <v>201</v>
      </c>
      <c r="D64" t="s">
        <v>202</v>
      </c>
      <c r="E64" t="s">
        <v>10</v>
      </c>
      <c r="F64" t="s">
        <v>10</v>
      </c>
      <c r="G64" t="s">
        <v>203</v>
      </c>
      <c r="H64" t="s">
        <v>11</v>
      </c>
      <c r="I64" t="str">
        <f>_xlfn.XLOOKUP(Tabla1[[#This Row],[Dependencia]],Tabla2[Dependencia],Tabla2[Clasificación],"No indexado")</f>
        <v>Otros</v>
      </c>
      <c r="J64" t="str">
        <f>_xlfn.XLOOKUP(Tabla1[[#This Row],[Dependencia]],Tabla3[Dependencia],Tabla3[Nivel],"otros",0)</f>
        <v>otros</v>
      </c>
    </row>
    <row r="65" spans="1:10" x14ac:dyDescent="0.35">
      <c r="A65" s="5">
        <v>46141</v>
      </c>
      <c r="B65" t="s">
        <v>72</v>
      </c>
      <c r="C65" s="6" t="s">
        <v>204</v>
      </c>
      <c r="D65" t="s">
        <v>12</v>
      </c>
      <c r="E65" t="s">
        <v>10</v>
      </c>
      <c r="F65" t="s">
        <v>10</v>
      </c>
      <c r="G65" t="s">
        <v>147</v>
      </c>
      <c r="H65" t="s">
        <v>11</v>
      </c>
      <c r="I65" t="str">
        <f>_xlfn.XLOOKUP(Tabla1[[#This Row],[Dependencia]],Tabla2[Dependencia],Tabla2[Clasificación],"No indexado")</f>
        <v>Otros</v>
      </c>
      <c r="J65" t="str">
        <f>_xlfn.XLOOKUP(Tabla1[[#This Row],[Dependencia]],Tabla3[Dependencia],Tabla3[Nivel],"otros",0)</f>
        <v>otros</v>
      </c>
    </row>
    <row r="66" spans="1:10" x14ac:dyDescent="0.35">
      <c r="A66" s="5">
        <v>46141</v>
      </c>
      <c r="B66" t="s">
        <v>72</v>
      </c>
      <c r="C66" s="6" t="s">
        <v>205</v>
      </c>
      <c r="D66" t="s">
        <v>12</v>
      </c>
      <c r="E66" t="s">
        <v>14</v>
      </c>
      <c r="F66" t="s">
        <v>14</v>
      </c>
      <c r="G66" t="s">
        <v>139</v>
      </c>
      <c r="H66" t="s">
        <v>11</v>
      </c>
      <c r="I66" t="str">
        <f>_xlfn.XLOOKUP(Tabla1[[#This Row],[Dependencia]],Tabla2[Dependencia],Tabla2[Clasificación],"No indexado")</f>
        <v>Presidencia de la República</v>
      </c>
      <c r="J6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69</v>
      </c>
    </row>
    <row r="2" spans="1:5" x14ac:dyDescent="0.35">
      <c r="A2" t="s">
        <v>62</v>
      </c>
      <c r="B2" t="s">
        <v>63</v>
      </c>
      <c r="D2" s="10" t="s">
        <v>19</v>
      </c>
      <c r="E2" t="s">
        <v>70</v>
      </c>
    </row>
    <row r="3" spans="1:5" x14ac:dyDescent="0.35">
      <c r="A3" t="s">
        <v>16</v>
      </c>
      <c r="B3" t="s">
        <v>31</v>
      </c>
      <c r="D3" s="9" t="s">
        <v>33</v>
      </c>
      <c r="E3" t="s">
        <v>70</v>
      </c>
    </row>
    <row r="4" spans="1:5" x14ac:dyDescent="0.35">
      <c r="A4" t="s">
        <v>19</v>
      </c>
      <c r="B4" t="s">
        <v>32</v>
      </c>
      <c r="D4" s="9" t="s">
        <v>35</v>
      </c>
      <c r="E4" t="s">
        <v>70</v>
      </c>
    </row>
    <row r="5" spans="1:5" x14ac:dyDescent="0.35">
      <c r="A5" t="s">
        <v>61</v>
      </c>
      <c r="B5" t="s">
        <v>10</v>
      </c>
      <c r="D5" s="10" t="s">
        <v>28</v>
      </c>
      <c r="E5" t="s">
        <v>70</v>
      </c>
    </row>
    <row r="6" spans="1:5" x14ac:dyDescent="0.35">
      <c r="A6" t="s">
        <v>33</v>
      </c>
      <c r="B6" t="s">
        <v>32</v>
      </c>
      <c r="D6" s="10" t="s">
        <v>36</v>
      </c>
      <c r="E6" t="s">
        <v>70</v>
      </c>
    </row>
    <row r="7" spans="1:5" x14ac:dyDescent="0.35">
      <c r="A7" t="s">
        <v>34</v>
      </c>
      <c r="B7" t="s">
        <v>10</v>
      </c>
      <c r="D7" s="9" t="s">
        <v>37</v>
      </c>
      <c r="E7" t="s">
        <v>70</v>
      </c>
    </row>
    <row r="8" spans="1:5" x14ac:dyDescent="0.35">
      <c r="A8" t="s">
        <v>35</v>
      </c>
      <c r="B8" t="s">
        <v>32</v>
      </c>
      <c r="D8" s="9" t="s">
        <v>37</v>
      </c>
      <c r="E8" t="s">
        <v>70</v>
      </c>
    </row>
    <row r="9" spans="1:5" x14ac:dyDescent="0.35">
      <c r="A9" t="s">
        <v>28</v>
      </c>
      <c r="B9" t="s">
        <v>32</v>
      </c>
      <c r="D9" s="9" t="s">
        <v>38</v>
      </c>
      <c r="E9" t="s">
        <v>70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70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70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70</v>
      </c>
    </row>
    <row r="14" spans="1:5" x14ac:dyDescent="0.35">
      <c r="A14" t="s">
        <v>64</v>
      </c>
      <c r="B14" t="s">
        <v>45</v>
      </c>
      <c r="D14" s="9" t="s">
        <v>21</v>
      </c>
      <c r="E14" t="s">
        <v>70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70</v>
      </c>
    </row>
    <row r="16" spans="1:5" x14ac:dyDescent="0.35">
      <c r="A16" t="s">
        <v>24</v>
      </c>
      <c r="B16" t="s">
        <v>32</v>
      </c>
      <c r="D16" s="9" t="s">
        <v>48</v>
      </c>
      <c r="E16" t="s">
        <v>70</v>
      </c>
    </row>
    <row r="17" spans="1:5" x14ac:dyDescent="0.35">
      <c r="A17" t="s">
        <v>39</v>
      </c>
      <c r="B17" t="s">
        <v>32</v>
      </c>
      <c r="D17" s="9" t="s">
        <v>54</v>
      </c>
      <c r="E17" t="s">
        <v>70</v>
      </c>
    </row>
    <row r="18" spans="1:5" x14ac:dyDescent="0.35">
      <c r="A18" t="s">
        <v>40</v>
      </c>
      <c r="B18" t="s">
        <v>32</v>
      </c>
      <c r="D18" s="9" t="s">
        <v>55</v>
      </c>
      <c r="E18" t="s">
        <v>70</v>
      </c>
    </row>
    <row r="19" spans="1:5" x14ac:dyDescent="0.35">
      <c r="A19" t="s">
        <v>41</v>
      </c>
      <c r="B19" t="s">
        <v>10</v>
      </c>
      <c r="D19" s="9" t="s">
        <v>23</v>
      </c>
      <c r="E19" t="s">
        <v>70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70</v>
      </c>
    </row>
    <row r="21" spans="1:5" x14ac:dyDescent="0.35">
      <c r="A21" t="s">
        <v>44</v>
      </c>
      <c r="B21" t="s">
        <v>45</v>
      </c>
      <c r="D21" s="9" t="s">
        <v>27</v>
      </c>
      <c r="E21" t="s">
        <v>70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70</v>
      </c>
    </row>
    <row r="23" spans="1:5" x14ac:dyDescent="0.35">
      <c r="A23" t="s">
        <v>21</v>
      </c>
      <c r="B23" t="s">
        <v>32</v>
      </c>
      <c r="D23" s="9" t="s">
        <v>56</v>
      </c>
      <c r="E23" t="s">
        <v>70</v>
      </c>
    </row>
    <row r="24" spans="1:5" x14ac:dyDescent="0.35">
      <c r="A24" t="s">
        <v>10</v>
      </c>
      <c r="B24" t="s">
        <v>10</v>
      </c>
      <c r="D24" s="9" t="s">
        <v>15</v>
      </c>
      <c r="E24" t="s">
        <v>70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70</v>
      </c>
    </row>
    <row r="26" spans="1:5" x14ac:dyDescent="0.35">
      <c r="A26" t="s">
        <v>47</v>
      </c>
      <c r="B26" t="s">
        <v>45</v>
      </c>
      <c r="D26" s="9" t="s">
        <v>57</v>
      </c>
      <c r="E26" t="s">
        <v>70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70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2026-04-29T20:53:07Z</dcterms:modified>
</cp:coreProperties>
</file>