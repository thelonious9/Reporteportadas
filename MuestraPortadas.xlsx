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53AD4B36-7F4C-4B7C-A212-52E81B9E72F5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</calcChain>
</file>

<file path=xl/sharedStrings.xml><?xml version="1.0" encoding="utf-8"?>
<sst xmlns="http://schemas.openxmlformats.org/spreadsheetml/2006/main" count="575" uniqueCount="188">
  <si>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</si>
  <si>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</si>
  <si>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</si>
  <si>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</si>
  <si>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</si>
  <si>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</si>
  <si>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</si>
  <si>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</si>
  <si>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</si>
  <si>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</si>
  <si>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</si>
  <si>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</si>
  <si>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</si>
  <si>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</si>
  <si>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</si>
  <si>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</si>
  <si>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</si>
  <si>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</si>
  <si>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</si>
  <si>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</si>
  <si>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</si>
  <si>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</si>
  <si>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</si>
  <si>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</si>
  <si>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</si>
  <si>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</si>
  <si>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</si>
  <si>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</si>
  <si>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</si>
  <si>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</si>
  <si>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</si>
  <si>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</si>
  <si>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</si>
  <si>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</si>
  <si>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</si>
  <si>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</si>
  <si>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</si>
  <si>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</si>
  <si>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</si>
  <si>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</si>
  <si>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</si>
  <si>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</si>
  <si>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</si>
  <si>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</si>
  <si>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</si>
  <si>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</si>
  <si>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</si>
  <si>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</si>
  <si>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</si>
  <si>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</si>
  <si>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</si>
  <si>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</si>
  <si>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</si>
  <si>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</si>
  <si>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</si>
  <si>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</si>
  <si>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</si>
  <si>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</si>
  <si>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</si>
  <si>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</si>
  <si>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</si>
  <si>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</si>
  <si>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</si>
  <si>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</si>
  <si>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</si>
  <si>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</si>
  <si>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</si>
  <si>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</si>
  <si>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</si>
  <si>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</si>
  <si>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</si>
  <si>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</si>
  <si>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</si>
  <si>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</si>
  <si>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</si>
  <si>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Milenio Hidalgo</t>
  </si>
  <si>
    <t>PAZ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</si>
  <si>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</si>
  <si>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</si>
  <si>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</si>
  <si>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</si>
  <si>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</si>
  <si>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</si>
  <si>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</si>
  <si>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Prevención cáncer de mama</t>
  </si>
  <si>
    <t>Policía municipal</t>
  </si>
  <si>
    <t>Afectaciones Por Lluvias</t>
  </si>
  <si>
    <t>Temas internacionales</t>
  </si>
  <si>
    <t>Bachillerato Nacional</t>
  </si>
  <si>
    <t>Cruz Azul</t>
  </si>
  <si>
    <t>Reforma De Ley</t>
  </si>
  <si>
    <t>Eficiencia terminal</t>
  </si>
  <si>
    <t>Rescate Animal</t>
  </si>
  <si>
    <t>Pachuca Brilla</t>
  </si>
  <si>
    <t>Detención</t>
  </si>
  <si>
    <t>Tradición que sorprende</t>
  </si>
  <si>
    <t>Feria Pachuca</t>
  </si>
  <si>
    <t>Recuerda: la detección temprana salva vidas</t>
  </si>
  <si>
    <t>Inhide</t>
  </si>
  <si>
    <t>Paranacionales Conade</t>
  </si>
  <si>
    <t>Economía mejorará con cementera</t>
  </si>
  <si>
    <t>Bajan los reportes de desaparición</t>
  </si>
  <si>
    <t>Personas desaparecidas</t>
  </si>
  <si>
    <t>Celebran 15 años de fundación de Morena</t>
  </si>
  <si>
    <t>Conmemoración Aniversario</t>
  </si>
  <si>
    <t>Pantallas causan daños irreversibles a la vista</t>
  </si>
  <si>
    <t>Prevención De Enfermedades</t>
  </si>
  <si>
    <t>Molestia en usuarios del Monte de Piedad</t>
  </si>
  <si>
    <t>Paro laboral</t>
  </si>
  <si>
    <t>Recuperan el paso tras dos días incomunicadas</t>
  </si>
  <si>
    <t>Atención Afectaciones Por Lluvias</t>
  </si>
  <si>
    <t>Apoyan descuentos en licencias de negocios</t>
  </si>
  <si>
    <t>Lluvias llenaron 4 de las 7 presas en la entidad</t>
  </si>
  <si>
    <t>Conagua</t>
  </si>
  <si>
    <t>Monitoreo De Presas</t>
  </si>
  <si>
    <t>Clausuran gimnasio tras muerte de réferi</t>
  </si>
  <si>
    <t>Clausura De Establecimiento</t>
  </si>
  <si>
    <t>Espacios históricos, en el olvido</t>
  </si>
  <si>
    <t>Conservación del Patrimonio Cultural</t>
  </si>
  <si>
    <t>Buscan aún a 5 desaparecidos por la vaguada</t>
  </si>
  <si>
    <t>Huracán Priscilla</t>
  </si>
  <si>
    <t>Luego de la tragedia llega la reconstrucción</t>
  </si>
  <si>
    <t>Apuesta por mentalidad</t>
  </si>
  <si>
    <t>Aumentan cosecha en Paralimpiada Nacional</t>
  </si>
  <si>
    <t>Avanza reconstrucción y reubicación de escuelas</t>
  </si>
  <si>
    <t>En espera de recursos federales, a un año de la vaguada monzónica</t>
  </si>
  <si>
    <t>Eficiencia educativa coloca al estado en top 10 nacional</t>
  </si>
  <si>
    <t>Un avance de 30% en rezago reporta PGJEH</t>
  </si>
  <si>
    <t>Rezago de carpetas de investigación</t>
  </si>
  <si>
    <t>Apuestan en el Congreso por seguridad y salud: Velázquez; no descartó participar en el proceso electoral de 2027</t>
  </si>
  <si>
    <t>Junta de Gobierno</t>
  </si>
  <si>
    <t>La tragedia no doblegó a habitantes de Tianguistengo</t>
  </si>
  <si>
    <t>Julio Menchaca ve más salidas de su equipo</t>
  </si>
  <si>
    <t>Congreso da luz verde a la comparecencia del oficial mayor</t>
  </si>
  <si>
    <t>Comparecencias</t>
  </si>
  <si>
    <t>Familias de la Otomí-Tepehua dejan sus casas ante un nuevo temporal</t>
  </si>
  <si>
    <t>Rusia descarta riesgo epidemiológico tras muerte de mujer por peste</t>
  </si>
  <si>
    <t>Festeja Morena 15 años en el Auditorio Nacional</t>
  </si>
  <si>
    <t>Fotonota</t>
  </si>
  <si>
    <t>(A Gerardo Sosa) le acaban de revocar la vinculación en el juicio por defraudación  fiscal, uno de los que se le siguen (…); pero con todo y sus virtudes para librar  situaciones difíciles y mantenerse como grupo de permanencia, ahora, a través  del PT, parece que no cristalizará su obsesión: gobernar Hidalgo”.</t>
  </si>
  <si>
    <t>Grupo Universidad</t>
  </si>
  <si>
    <t>Refuerzan detección oportuna del cáncer de mama con 4 mil mastografías</t>
  </si>
  <si>
    <t>IMSS</t>
  </si>
  <si>
    <t>Urgen acciones contra mosco Culex ligado a proliferación de lirio en Endhó</t>
  </si>
  <si>
    <t>Fumigación mosco Culex</t>
  </si>
  <si>
    <t>Suman a oficial mayor a las comparecencias ante diputados locales</t>
  </si>
  <si>
    <t>Arrestan a ""El Hijo de Fishman"" por presunto homicidio culposo</t>
  </si>
  <si>
    <t>Detienen a ""El Hijo de Fishman"" por muerte de ""El Búho""</t>
  </si>
  <si>
    <t>Oficial Mayor comparecerá ante la 66 Legislatura</t>
  </si>
  <si>
    <t>El drama de la vida se dibujó  ayer en Pachuca, en un ring  donde un luchador quitó la  vida al réferi y a la altura de  un puente del Río de  las Avenidas desde  donde se aventó una  persona…</t>
  </si>
  <si>
    <t>Editorial</t>
  </si>
  <si>
    <t>Se tiró del puente vehicular de Viaducto Río Avenidas y murió</t>
  </si>
  <si>
    <t>Suicidio</t>
  </si>
  <si>
    <t>Se adelanta la disputa electoral: IEEH ya tiene 31 quejas</t>
  </si>
  <si>
    <t>¿Tu CURP dice que estás desaparecido?</t>
  </si>
  <si>
    <t>CBPEH</t>
  </si>
  <si>
    <t>Detienen al Hijo de Fishman en Hidalgo</t>
  </si>
  <si>
    <t>Tragedia en Pachuca</t>
  </si>
  <si>
    <t>Tlanalapa se queda sin Ley de Ingresos 2027</t>
  </si>
  <si>
    <t>Ley De Ingresos</t>
  </si>
  <si>
    <t>Baja participación</t>
  </si>
  <si>
    <t>Consulta Indígena</t>
  </si>
  <si>
    <t>Analizan ampliar horario del Tuzobús ante mayor demanda</t>
  </si>
  <si>
    <t>Sitmah</t>
  </si>
  <si>
    <t>Ampliación de turno</t>
  </si>
  <si>
    <t>Cruz Azul reactiva al 100% planta de Tula: Menchaca</t>
  </si>
  <si>
    <t>Colocan primera piedra de nuevo Bachillerato Nacional en Tezontepec de Aldama, invertirán 20.4 mdp</t>
  </si>
  <si>
    <t>Jorge Reyes fortalece la presencia municipal en Bugambilias a través de colonia x colonia</t>
  </si>
  <si>
    <t>Alcalde</t>
  </si>
  <si>
    <t>Atención a la ciudadanía</t>
  </si>
  <si>
    <t>Más de 30 buscan coordinaciones distritales de Morena en Hidalgo</t>
  </si>
  <si>
    <t>Referee hidalguense pierde la vida tras ""martinete"" en Mineral de la Reforma</t>
  </si>
  <si>
    <t>Homicidios</t>
  </si>
  <si>
    <t>Said Vargas asegura que permanecerá al frente de la Sección 15 hasta junio de 2027</t>
  </si>
  <si>
    <t>Oficial Mayor de Hidalgo comparecerá ante Congreso</t>
  </si>
  <si>
    <t>Interviene Policía de Pachuca ante reporte de presunta venta de droga</t>
  </si>
  <si>
    <t>Combate Al Narcomenudeo</t>
  </si>
  <si>
    <t>Resguarda Seguridad Pública de Pachuca a perrita</t>
  </si>
  <si>
    <t>Ajacuba supera las 150 vacunas antirrábicas aplicadas</t>
  </si>
  <si>
    <t>Vacunación Antirrábica</t>
  </si>
  <si>
    <t>Octubre, mes de la prevención de cáncer de mama</t>
  </si>
  <si>
    <t>Investigan la muerte de réferi El Búho en la 11 de julio; detienen a El Hijo de Fishman</t>
  </si>
  <si>
    <t>Automovilista agrede a inspectores de transporte en Pachuca</t>
  </si>
  <si>
    <t>Agresión a funcionario público</t>
  </si>
  <si>
    <t>Natividad Castrejón coloca primera piedra de Bachillerato Nacional en Tezontepec</t>
  </si>
  <si>
    <t>Jorge Reyese fortalece la presencia municipal a través de Colonia x Colonia</t>
  </si>
  <si>
    <t>Abarrotan Panteón Rococó y Moy Bobadilla la feria de San Francisco</t>
  </si>
  <si>
    <t>OEEH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</si>
</sst>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0" totalsRowShown="0" headerRowDxfId="5" headerRowBorderDxfId="4">
  <autoFilter ref="A1:J60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0"/>
  <sheetViews>
    <sheetView tabSelected="1" topLeftCell="A38" workbookViewId="0">
      <selection activeCell="J60" sqref="J6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46303</v>
      </c>
      <c r="B2" t="s">
        <v>81</v>
      </c>
      <c r="C2" s="5" t="s">
        <v>100</v>
      </c>
      <c r="D2" t="s">
        <v>12</v>
      </c>
      <c r="E2" t="s">
        <v>10</v>
      </c>
      <c r="F2" t="s">
        <v>10</v>
      </c>
      <c r="G2" t="s">
        <v>89</v>
      </c>
      <c r="H2" t="s">
        <v>72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46303</v>
      </c>
      <c r="B3" t="s">
        <v>81</v>
      </c>
      <c r="C3" s="5" t="s">
        <v>101</v>
      </c>
      <c r="D3" t="s">
        <v>9</v>
      </c>
      <c r="E3" t="s">
        <v>23</v>
      </c>
      <c r="F3" t="s">
        <v>2</v>
      </c>
      <c r="G3" t="s">
        <v>102</v>
      </c>
      <c r="H3" t="s">
        <v>72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46303</v>
      </c>
      <c r="B4" t="s">
        <v>81</v>
      </c>
      <c r="C4" s="5" t="s">
        <v>103</v>
      </c>
      <c r="D4" t="s">
        <v>12</v>
      </c>
      <c r="E4" t="s">
        <v>18</v>
      </c>
      <c r="F4" t="s">
        <v>18</v>
      </c>
      <c r="G4" t="s">
        <v>104</v>
      </c>
      <c r="H4" t="s">
        <v>11</v>
      </c>
      <c r="I4" t="str">
        <f>_xlfn.XLOOKUP(Tabla1[[#This Row],[Dependencia]],Tabla2[Dependencia],Tabla2[Clasificación],"XXX",0)</f>
        <v>Partidos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46303</v>
      </c>
      <c r="B5" t="s">
        <v>81</v>
      </c>
      <c r="C5" s="5" t="s">
        <v>105</v>
      </c>
      <c r="D5" t="s">
        <v>12</v>
      </c>
      <c r="E5" t="s">
        <v>10</v>
      </c>
      <c r="F5" t="s">
        <v>10</v>
      </c>
      <c r="G5" t="s">
        <v>106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46303</v>
      </c>
      <c r="B6" t="s">
        <v>81</v>
      </c>
      <c r="C6" s="5" t="s">
        <v>107</v>
      </c>
      <c r="D6" t="s">
        <v>13</v>
      </c>
      <c r="E6" t="s">
        <v>14</v>
      </c>
      <c r="F6" t="s">
        <v>14</v>
      </c>
      <c r="G6" t="s">
        <v>108</v>
      </c>
      <c r="H6" t="s">
        <v>68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46303</v>
      </c>
      <c r="B7" t="s">
        <v>81</v>
      </c>
      <c r="C7" s="5" t="s">
        <v>109</v>
      </c>
      <c r="D7" t="s">
        <v>12</v>
      </c>
      <c r="E7" t="s">
        <v>16</v>
      </c>
      <c r="F7" t="s">
        <v>16</v>
      </c>
      <c r="G7" t="s">
        <v>110</v>
      </c>
      <c r="H7" t="s">
        <v>72</v>
      </c>
      <c r="I7" t="str">
        <f>_xlfn.XLOOKUP(Tabla1[[#This Row],[Dependencia]],Tabla2[Dependencia],Tabla2[Clasificación],"XXX",0)</f>
        <v>Alcaldías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46303</v>
      </c>
      <c r="B8" t="s">
        <v>81</v>
      </c>
      <c r="C8" s="5" t="s">
        <v>111</v>
      </c>
      <c r="D8" t="s">
        <v>12</v>
      </c>
      <c r="E8" t="s">
        <v>33</v>
      </c>
      <c r="F8" t="s">
        <v>33</v>
      </c>
      <c r="G8" t="s">
        <v>90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46303</v>
      </c>
      <c r="B9" t="s">
        <v>69</v>
      </c>
      <c r="C9" s="5" t="s">
        <v>112</v>
      </c>
      <c r="D9" t="s">
        <v>12</v>
      </c>
      <c r="E9" t="s">
        <v>14</v>
      </c>
      <c r="F9" t="s">
        <v>113</v>
      </c>
      <c r="G9" t="s">
        <v>114</v>
      </c>
      <c r="H9" t="s">
        <v>11</v>
      </c>
      <c r="I9" t="str">
        <f>_xlfn.XLOOKUP(Tabla1[[#This Row],[Dependencia]],Tabla2[Dependencia],Tabla2[Clasificación],"XXX",0)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46303</v>
      </c>
      <c r="B10" t="s">
        <v>69</v>
      </c>
      <c r="C10" s="5" t="s">
        <v>115</v>
      </c>
      <c r="D10" t="s">
        <v>9</v>
      </c>
      <c r="E10" t="s">
        <v>16</v>
      </c>
      <c r="F10" t="s">
        <v>16</v>
      </c>
      <c r="G10" t="s">
        <v>116</v>
      </c>
      <c r="H10" t="s">
        <v>11</v>
      </c>
      <c r="I10" t="str">
        <f>_xlfn.XLOOKUP(Tabla1[[#This Row],[Dependencia]],Tabla2[Dependencia],Tabla2[Clasificación],"XXX",0)</f>
        <v>Alcaldías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46303</v>
      </c>
      <c r="B11" t="s">
        <v>69</v>
      </c>
      <c r="C11" s="5" t="s">
        <v>117</v>
      </c>
      <c r="D11" t="s">
        <v>12</v>
      </c>
      <c r="E11" t="s">
        <v>16</v>
      </c>
      <c r="F11" t="s">
        <v>16</v>
      </c>
      <c r="G11" t="s">
        <v>118</v>
      </c>
      <c r="H11" t="s">
        <v>68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46303</v>
      </c>
      <c r="B12" t="s">
        <v>69</v>
      </c>
      <c r="C12" s="5" t="s">
        <v>119</v>
      </c>
      <c r="D12" t="s">
        <v>12</v>
      </c>
      <c r="E12" t="s">
        <v>23</v>
      </c>
      <c r="F12" t="s">
        <v>2</v>
      </c>
      <c r="G12" t="s">
        <v>120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46303</v>
      </c>
      <c r="B13" t="s">
        <v>69</v>
      </c>
      <c r="C13" s="5" t="s">
        <v>121</v>
      </c>
      <c r="D13" t="s">
        <v>12</v>
      </c>
      <c r="E13" t="s">
        <v>16</v>
      </c>
      <c r="F13" t="s">
        <v>16</v>
      </c>
      <c r="G13" t="s">
        <v>110</v>
      </c>
      <c r="H13" t="s">
        <v>11</v>
      </c>
      <c r="I13" t="str">
        <f>_xlfn.XLOOKUP(Tabla1[[#This Row],[Dependencia]],Tabla2[Dependencia],Tabla2[Clasificación],"XXX",0)</f>
        <v>Alcaldías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46303</v>
      </c>
      <c r="B14" t="s">
        <v>71</v>
      </c>
      <c r="C14" s="5" t="s">
        <v>122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46303</v>
      </c>
      <c r="B15" t="s">
        <v>71</v>
      </c>
      <c r="C15" s="5" t="s">
        <v>123</v>
      </c>
      <c r="D15" t="s">
        <v>12</v>
      </c>
      <c r="E15" t="s">
        <v>26</v>
      </c>
      <c r="F15" t="s">
        <v>98</v>
      </c>
      <c r="G15" t="s">
        <v>99</v>
      </c>
      <c r="H15" t="s">
        <v>72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1">
        <v>46303</v>
      </c>
      <c r="B16" t="s">
        <v>71</v>
      </c>
      <c r="C16" s="5" t="s">
        <v>124</v>
      </c>
      <c r="D16" t="s">
        <v>12</v>
      </c>
      <c r="E16" t="s">
        <v>26</v>
      </c>
      <c r="F16" t="s">
        <v>2</v>
      </c>
      <c r="G16" t="s">
        <v>120</v>
      </c>
      <c r="H16" t="s">
        <v>72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46303</v>
      </c>
      <c r="B17" t="s">
        <v>71</v>
      </c>
      <c r="C17" s="5" t="s">
        <v>125</v>
      </c>
      <c r="D17" t="s">
        <v>13</v>
      </c>
      <c r="E17" t="s">
        <v>14</v>
      </c>
      <c r="F17" t="s">
        <v>14</v>
      </c>
      <c r="G17" t="s">
        <v>120</v>
      </c>
      <c r="H17" t="s">
        <v>68</v>
      </c>
      <c r="I17" t="str">
        <f>_xlfn.XLOOKUP(Tabla1[[#This Row],[Dependencia]],Tabla2[Dependencia],Tabla2[Clasificación],"XXX",0)</f>
        <v>Presidencia de la República</v>
      </c>
      <c r="J17" t="str">
        <f>_xlfn.XLOOKUP(Tabla1[[#This Row],[Dependencia]],Tabla3[Dependencia],Tabla3[Nivel],"Otros",0)</f>
        <v>Otros</v>
      </c>
    </row>
    <row r="18" spans="1:10" ht="30" x14ac:dyDescent="0.25">
      <c r="A18" s="11">
        <v>46303</v>
      </c>
      <c r="B18" t="s">
        <v>75</v>
      </c>
      <c r="C18" s="5" t="s">
        <v>126</v>
      </c>
      <c r="D18" t="s">
        <v>13</v>
      </c>
      <c r="E18" t="s">
        <v>26</v>
      </c>
      <c r="F18" t="s">
        <v>2</v>
      </c>
      <c r="G18" t="s">
        <v>91</v>
      </c>
      <c r="H18" t="s">
        <v>72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11">
        <v>46303</v>
      </c>
      <c r="B19" t="s">
        <v>75</v>
      </c>
      <c r="C19" s="5" t="s">
        <v>127</v>
      </c>
      <c r="D19" t="s">
        <v>12</v>
      </c>
      <c r="E19" t="s">
        <v>17</v>
      </c>
      <c r="F19" t="s">
        <v>17</v>
      </c>
      <c r="G19" t="s">
        <v>128</v>
      </c>
      <c r="H19" t="s">
        <v>72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45" x14ac:dyDescent="0.25">
      <c r="A20" s="11">
        <v>46303</v>
      </c>
      <c r="B20" t="s">
        <v>75</v>
      </c>
      <c r="C20" s="5" t="s">
        <v>129</v>
      </c>
      <c r="D20" t="s">
        <v>12</v>
      </c>
      <c r="E20" t="s">
        <v>33</v>
      </c>
      <c r="F20" t="s">
        <v>130</v>
      </c>
      <c r="G20" t="s">
        <v>42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46303</v>
      </c>
      <c r="B21" t="s">
        <v>75</v>
      </c>
      <c r="C21" s="5" t="s">
        <v>131</v>
      </c>
      <c r="D21" t="s">
        <v>12</v>
      </c>
      <c r="E21" t="s">
        <v>10</v>
      </c>
      <c r="F21" t="s">
        <v>10</v>
      </c>
      <c r="G21" t="s">
        <v>120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46303</v>
      </c>
      <c r="B22" t="s">
        <v>75</v>
      </c>
      <c r="C22" s="5" t="s">
        <v>132</v>
      </c>
      <c r="D22" t="s">
        <v>12</v>
      </c>
      <c r="E22" t="s">
        <v>24</v>
      </c>
      <c r="F22" t="s">
        <v>24</v>
      </c>
      <c r="G22" t="s">
        <v>61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Gobernador</v>
      </c>
    </row>
    <row r="23" spans="1:10" ht="30" x14ac:dyDescent="0.25">
      <c r="A23" s="11">
        <v>46303</v>
      </c>
      <c r="B23" t="s">
        <v>79</v>
      </c>
      <c r="C23" s="5" t="s">
        <v>133</v>
      </c>
      <c r="D23" t="s">
        <v>12</v>
      </c>
      <c r="E23" t="s">
        <v>21</v>
      </c>
      <c r="F23" t="s">
        <v>21</v>
      </c>
      <c r="G23" t="s">
        <v>134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ht="30" x14ac:dyDescent="0.25">
      <c r="A24" s="11">
        <v>46303</v>
      </c>
      <c r="B24" t="s">
        <v>79</v>
      </c>
      <c r="C24" s="5" t="s">
        <v>135</v>
      </c>
      <c r="D24" t="s">
        <v>13</v>
      </c>
      <c r="E24" t="s">
        <v>10</v>
      </c>
      <c r="F24" t="s">
        <v>10</v>
      </c>
      <c r="G24" t="s">
        <v>86</v>
      </c>
      <c r="H24" t="s">
        <v>68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46303</v>
      </c>
      <c r="B25" t="s">
        <v>79</v>
      </c>
      <c r="C25" s="5" t="s">
        <v>136</v>
      </c>
      <c r="D25" t="s">
        <v>12</v>
      </c>
      <c r="E25" t="s">
        <v>10</v>
      </c>
      <c r="F25" t="s">
        <v>10</v>
      </c>
      <c r="G25" t="s">
        <v>87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46303</v>
      </c>
      <c r="B26" t="s">
        <v>79</v>
      </c>
      <c r="C26" s="5" t="s">
        <v>137</v>
      </c>
      <c r="D26" t="s">
        <v>138</v>
      </c>
      <c r="E26" t="s">
        <v>18</v>
      </c>
      <c r="F26" t="s">
        <v>18</v>
      </c>
      <c r="G26" t="s">
        <v>104</v>
      </c>
      <c r="H26" t="s">
        <v>11</v>
      </c>
      <c r="I26" t="str">
        <f>_xlfn.XLOOKUP(Tabla1[[#This Row],[Dependencia]],Tabla2[Dependencia],Tabla2[Clasificación],"XXX",0)</f>
        <v>Partidos</v>
      </c>
      <c r="J26" t="str">
        <f>_xlfn.XLOOKUP(Tabla1[[#This Row],[Dependencia]],Tabla3[Dependencia],Tabla3[Nivel],"Otros",0)</f>
        <v>Otros</v>
      </c>
    </row>
    <row r="27" spans="1:10" ht="90" x14ac:dyDescent="0.25">
      <c r="A27" s="11">
        <v>46303</v>
      </c>
      <c r="B27" t="s">
        <v>79</v>
      </c>
      <c r="C27" s="5" t="s">
        <v>139</v>
      </c>
      <c r="D27" t="s">
        <v>12</v>
      </c>
      <c r="E27" t="s">
        <v>51</v>
      </c>
      <c r="F27" t="s">
        <v>51</v>
      </c>
      <c r="G27" t="s">
        <v>140</v>
      </c>
      <c r="H27" t="s">
        <v>68</v>
      </c>
      <c r="I27" t="str">
        <f>_xlfn.XLOOKUP(Tabla1[[#This Row],[Dependencia]],Tabla2[Dependencia],Tabla2[Clasificación],"XXX",0)</f>
        <v>Partidos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46303</v>
      </c>
      <c r="B28" t="s">
        <v>74</v>
      </c>
      <c r="C28" s="5" t="s">
        <v>141</v>
      </c>
      <c r="D28" t="s">
        <v>13</v>
      </c>
      <c r="E28" t="s">
        <v>14</v>
      </c>
      <c r="F28" t="s">
        <v>142</v>
      </c>
      <c r="G28" t="s">
        <v>84</v>
      </c>
      <c r="H28" t="s">
        <v>11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46303</v>
      </c>
      <c r="B29" t="s">
        <v>74</v>
      </c>
      <c r="C29" s="5" t="s">
        <v>143</v>
      </c>
      <c r="D29" t="s">
        <v>12</v>
      </c>
      <c r="E29" t="s">
        <v>33</v>
      </c>
      <c r="F29" t="s">
        <v>33</v>
      </c>
      <c r="G29" t="s">
        <v>144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46303</v>
      </c>
      <c r="B30" t="s">
        <v>74</v>
      </c>
      <c r="C30" s="5" t="s">
        <v>145</v>
      </c>
      <c r="D30" t="s">
        <v>12</v>
      </c>
      <c r="E30" t="s">
        <v>21</v>
      </c>
      <c r="F30" t="s">
        <v>2</v>
      </c>
      <c r="G30" t="s">
        <v>134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11">
        <v>46303</v>
      </c>
      <c r="B31" t="s">
        <v>74</v>
      </c>
      <c r="C31" s="5" t="s">
        <v>146</v>
      </c>
      <c r="D31" t="s">
        <v>12</v>
      </c>
      <c r="E31" t="s">
        <v>16</v>
      </c>
      <c r="F31" t="s">
        <v>85</v>
      </c>
      <c r="G31" t="s">
        <v>94</v>
      </c>
      <c r="H31" t="s">
        <v>11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46303</v>
      </c>
      <c r="B32" t="s">
        <v>77</v>
      </c>
      <c r="C32" s="5" t="s">
        <v>147</v>
      </c>
      <c r="D32" t="s">
        <v>13</v>
      </c>
      <c r="E32" t="s">
        <v>16</v>
      </c>
      <c r="F32" t="s">
        <v>85</v>
      </c>
      <c r="G32" t="s">
        <v>94</v>
      </c>
      <c r="H32" t="s">
        <v>11</v>
      </c>
      <c r="I32" t="str">
        <f>_xlfn.XLOOKUP(Tabla1[[#This Row],[Dependencia]],Tabla2[Dependencia],Tabla2[Clasificación],"XXX",0)</f>
        <v>Alcaldías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46303</v>
      </c>
      <c r="B33" t="s">
        <v>77</v>
      </c>
      <c r="C33" s="5" t="s">
        <v>148</v>
      </c>
      <c r="D33" t="s">
        <v>12</v>
      </c>
      <c r="E33" t="s">
        <v>21</v>
      </c>
      <c r="F33" t="s">
        <v>2</v>
      </c>
      <c r="G33" t="s">
        <v>134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60" x14ac:dyDescent="0.25">
      <c r="A34" s="11">
        <v>46303</v>
      </c>
      <c r="B34" t="s">
        <v>77</v>
      </c>
      <c r="C34" s="5" t="s">
        <v>149</v>
      </c>
      <c r="D34" t="s">
        <v>150</v>
      </c>
      <c r="E34" t="s">
        <v>10</v>
      </c>
      <c r="F34" t="s">
        <v>10</v>
      </c>
      <c r="G34" t="s">
        <v>78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46303</v>
      </c>
      <c r="B35" t="s">
        <v>77</v>
      </c>
      <c r="C35" s="5" t="s">
        <v>151</v>
      </c>
      <c r="D35" t="s">
        <v>12</v>
      </c>
      <c r="E35" t="s">
        <v>16</v>
      </c>
      <c r="F35" t="s">
        <v>16</v>
      </c>
      <c r="G35" t="s">
        <v>152</v>
      </c>
      <c r="H35" t="s">
        <v>11</v>
      </c>
      <c r="I35" t="str">
        <f>_xlfn.XLOOKUP(Tabla1[[#This Row],[Dependencia]],Tabla2[Dependencia],Tabla2[Clasificación],"XXX",0)</f>
        <v>Alcaldías</v>
      </c>
      <c r="J35" t="str">
        <f>_xlfn.XLOOKUP(Tabla1[[#This Row],[Dependencia]],Tabla3[Dependencia],Tabla3[Nivel],"Otros",0)</f>
        <v>Otros</v>
      </c>
    </row>
    <row r="36" spans="1:10" x14ac:dyDescent="0.25">
      <c r="A36" s="11">
        <v>46303</v>
      </c>
      <c r="B36" t="s">
        <v>73</v>
      </c>
      <c r="C36" s="5" t="s">
        <v>153</v>
      </c>
      <c r="D36" t="s">
        <v>13</v>
      </c>
      <c r="E36" t="s">
        <v>40</v>
      </c>
      <c r="F36" t="s">
        <v>40</v>
      </c>
      <c r="G36" t="s">
        <v>42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11">
        <v>46303</v>
      </c>
      <c r="B37" t="s">
        <v>73</v>
      </c>
      <c r="C37" s="5" t="s">
        <v>154</v>
      </c>
      <c r="D37" t="s">
        <v>12</v>
      </c>
      <c r="E37" t="s">
        <v>23</v>
      </c>
      <c r="F37" t="s">
        <v>155</v>
      </c>
      <c r="G37" t="s">
        <v>102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25">
      <c r="A38" s="11">
        <v>46303</v>
      </c>
      <c r="B38" t="s">
        <v>73</v>
      </c>
      <c r="C38" s="5" t="s">
        <v>156</v>
      </c>
      <c r="D38" t="s">
        <v>9</v>
      </c>
      <c r="E38" t="s">
        <v>16</v>
      </c>
      <c r="F38" t="s">
        <v>85</v>
      </c>
      <c r="G38" t="s">
        <v>94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x14ac:dyDescent="0.25">
      <c r="A39" s="11">
        <v>46303</v>
      </c>
      <c r="B39" t="s">
        <v>73</v>
      </c>
      <c r="C39" s="5" t="s">
        <v>157</v>
      </c>
      <c r="D39" t="s">
        <v>12</v>
      </c>
      <c r="E39" t="s">
        <v>16</v>
      </c>
      <c r="F39" t="s">
        <v>85</v>
      </c>
      <c r="G39" t="s">
        <v>152</v>
      </c>
      <c r="H39" t="s">
        <v>11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x14ac:dyDescent="0.25">
      <c r="A40" s="11">
        <v>46303</v>
      </c>
      <c r="B40" t="s">
        <v>73</v>
      </c>
      <c r="C40" s="5" t="s">
        <v>158</v>
      </c>
      <c r="D40" t="s">
        <v>12</v>
      </c>
      <c r="E40" t="s">
        <v>16</v>
      </c>
      <c r="F40" t="s">
        <v>16</v>
      </c>
      <c r="G40" t="s">
        <v>159</v>
      </c>
      <c r="H40" t="s">
        <v>68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46303</v>
      </c>
      <c r="B41" t="s">
        <v>73</v>
      </c>
      <c r="C41" s="5" t="s">
        <v>160</v>
      </c>
      <c r="D41" t="s">
        <v>12</v>
      </c>
      <c r="E41" t="s">
        <v>40</v>
      </c>
      <c r="F41" t="s">
        <v>40</v>
      </c>
      <c r="G41" t="s">
        <v>161</v>
      </c>
      <c r="H41" t="s">
        <v>68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46303</v>
      </c>
      <c r="B42" t="s">
        <v>82</v>
      </c>
      <c r="C42" s="5" t="s">
        <v>162</v>
      </c>
      <c r="D42" t="s">
        <v>83</v>
      </c>
      <c r="E42" t="s">
        <v>27</v>
      </c>
      <c r="F42" t="s">
        <v>163</v>
      </c>
      <c r="G42" t="s">
        <v>164</v>
      </c>
      <c r="H42" t="s">
        <v>72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11">
        <v>46303</v>
      </c>
      <c r="B43" t="s">
        <v>82</v>
      </c>
      <c r="C43" s="5" t="s">
        <v>165</v>
      </c>
      <c r="D43" t="s">
        <v>12</v>
      </c>
      <c r="E43" t="s">
        <v>24</v>
      </c>
      <c r="F43" t="s">
        <v>24</v>
      </c>
      <c r="G43" t="s">
        <v>89</v>
      </c>
      <c r="H43" t="s">
        <v>72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Gobernador</v>
      </c>
    </row>
    <row r="44" spans="1:10" ht="30" x14ac:dyDescent="0.25">
      <c r="A44" s="11">
        <v>46303</v>
      </c>
      <c r="B44" t="s">
        <v>82</v>
      </c>
      <c r="C44" s="5" t="s">
        <v>166</v>
      </c>
      <c r="D44" t="s">
        <v>13</v>
      </c>
      <c r="E44" t="s">
        <v>26</v>
      </c>
      <c r="F44" t="s">
        <v>2</v>
      </c>
      <c r="G44" t="s">
        <v>88</v>
      </c>
      <c r="H44" t="s">
        <v>72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11">
        <v>46303</v>
      </c>
      <c r="B45" t="s">
        <v>82</v>
      </c>
      <c r="C45" s="5" t="s">
        <v>167</v>
      </c>
      <c r="D45" t="s">
        <v>12</v>
      </c>
      <c r="E45" t="s">
        <v>16</v>
      </c>
      <c r="F45" t="s">
        <v>168</v>
      </c>
      <c r="G45" t="s">
        <v>169</v>
      </c>
      <c r="H45" t="s">
        <v>72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46303</v>
      </c>
      <c r="B46" t="s">
        <v>82</v>
      </c>
      <c r="C46" s="5" t="s">
        <v>170</v>
      </c>
      <c r="D46" t="s">
        <v>12</v>
      </c>
      <c r="E46" t="s">
        <v>18</v>
      </c>
      <c r="F46" t="s">
        <v>18</v>
      </c>
      <c r="G46" t="s">
        <v>61</v>
      </c>
      <c r="H46" t="s">
        <v>11</v>
      </c>
      <c r="I46" t="str">
        <f>_xlfn.XLOOKUP(Tabla1[[#This Row],[Dependencia]],Tabla2[Dependencia],Tabla2[Clasificación],"XXX",0)</f>
        <v>Partidos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46303</v>
      </c>
      <c r="B47" t="s">
        <v>82</v>
      </c>
      <c r="C47" s="5" t="s">
        <v>171</v>
      </c>
      <c r="D47" t="s">
        <v>12</v>
      </c>
      <c r="E47" t="s">
        <v>16</v>
      </c>
      <c r="F47" t="s">
        <v>85</v>
      </c>
      <c r="G47" t="s">
        <v>172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46303</v>
      </c>
      <c r="B48" t="s">
        <v>82</v>
      </c>
      <c r="C48" s="5" t="s">
        <v>173</v>
      </c>
      <c r="D48" t="s">
        <v>12</v>
      </c>
      <c r="E48" t="s">
        <v>10</v>
      </c>
      <c r="F48" t="s">
        <v>10</v>
      </c>
      <c r="G48" t="s">
        <v>78</v>
      </c>
      <c r="H48" t="s">
        <v>11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46303</v>
      </c>
      <c r="B49" t="s">
        <v>82</v>
      </c>
      <c r="C49" s="5" t="s">
        <v>174</v>
      </c>
      <c r="D49" t="s">
        <v>12</v>
      </c>
      <c r="E49" t="s">
        <v>21</v>
      </c>
      <c r="F49" t="s">
        <v>2</v>
      </c>
      <c r="G49" t="s">
        <v>134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11">
        <v>46303</v>
      </c>
      <c r="B50" t="s">
        <v>82</v>
      </c>
      <c r="C50" s="5" t="s">
        <v>175</v>
      </c>
      <c r="D50" t="s">
        <v>12</v>
      </c>
      <c r="E50" t="s">
        <v>16</v>
      </c>
      <c r="F50" t="s">
        <v>85</v>
      </c>
      <c r="G50" t="s">
        <v>176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46303</v>
      </c>
      <c r="B51" t="s">
        <v>82</v>
      </c>
      <c r="C51" s="5" t="s">
        <v>177</v>
      </c>
      <c r="D51" t="s">
        <v>12</v>
      </c>
      <c r="E51" t="s">
        <v>16</v>
      </c>
      <c r="F51" t="s">
        <v>85</v>
      </c>
      <c r="G51" t="s">
        <v>92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46303</v>
      </c>
      <c r="B52" t="s">
        <v>82</v>
      </c>
      <c r="C52" s="5" t="s">
        <v>178</v>
      </c>
      <c r="D52" t="s">
        <v>12</v>
      </c>
      <c r="E52" t="s">
        <v>16</v>
      </c>
      <c r="F52" t="s">
        <v>16</v>
      </c>
      <c r="G52" t="s">
        <v>179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x14ac:dyDescent="0.25">
      <c r="A53" s="11">
        <v>46303</v>
      </c>
      <c r="B53" t="s">
        <v>82</v>
      </c>
      <c r="C53" s="5" t="s">
        <v>180</v>
      </c>
      <c r="D53" t="s">
        <v>80</v>
      </c>
      <c r="E53" t="s">
        <v>16</v>
      </c>
      <c r="F53" t="s">
        <v>16</v>
      </c>
      <c r="G53" t="s">
        <v>84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46303</v>
      </c>
      <c r="B54" t="s">
        <v>93</v>
      </c>
      <c r="C54" s="5" t="s">
        <v>181</v>
      </c>
      <c r="D54" t="s">
        <v>13</v>
      </c>
      <c r="E54" t="s">
        <v>16</v>
      </c>
      <c r="F54" t="s">
        <v>85</v>
      </c>
      <c r="G54" t="s">
        <v>172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46303</v>
      </c>
      <c r="B55" t="s">
        <v>93</v>
      </c>
      <c r="C55" s="5" t="s">
        <v>182</v>
      </c>
      <c r="D55" t="s">
        <v>12</v>
      </c>
      <c r="E55" t="s">
        <v>27</v>
      </c>
      <c r="F55" t="s">
        <v>27</v>
      </c>
      <c r="G55" t="s">
        <v>183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46303</v>
      </c>
      <c r="B56" t="s">
        <v>93</v>
      </c>
      <c r="C56" s="5" t="s">
        <v>184</v>
      </c>
      <c r="D56" t="s">
        <v>12</v>
      </c>
      <c r="E56" t="s">
        <v>26</v>
      </c>
      <c r="F56" t="s">
        <v>2</v>
      </c>
      <c r="G56" t="s">
        <v>88</v>
      </c>
      <c r="H56" t="s">
        <v>72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11">
        <v>46303</v>
      </c>
      <c r="B57" t="s">
        <v>93</v>
      </c>
      <c r="C57" s="5" t="s">
        <v>185</v>
      </c>
      <c r="D57" t="s">
        <v>12</v>
      </c>
      <c r="E57" t="s">
        <v>16</v>
      </c>
      <c r="F57" t="s">
        <v>168</v>
      </c>
      <c r="G57" t="s">
        <v>169</v>
      </c>
      <c r="H57" t="s">
        <v>72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46303</v>
      </c>
      <c r="B58" t="s">
        <v>93</v>
      </c>
      <c r="C58" s="5" t="s">
        <v>186</v>
      </c>
      <c r="D58" t="s">
        <v>12</v>
      </c>
      <c r="E58" t="s">
        <v>29</v>
      </c>
      <c r="F58" t="s">
        <v>187</v>
      </c>
      <c r="G58" t="s">
        <v>96</v>
      </c>
      <c r="H58" t="s">
        <v>72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1">
        <v>46303</v>
      </c>
      <c r="B59" t="s">
        <v>93</v>
      </c>
      <c r="C59" s="5" t="s">
        <v>95</v>
      </c>
      <c r="D59" t="s">
        <v>80</v>
      </c>
      <c r="E59" t="s">
        <v>19</v>
      </c>
      <c r="F59" t="s">
        <v>19</v>
      </c>
      <c r="G59" t="s">
        <v>96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25">
      <c r="A60" s="11">
        <v>46303</v>
      </c>
      <c r="B60" t="s">
        <v>93</v>
      </c>
      <c r="C60" s="5" t="s">
        <v>97</v>
      </c>
      <c r="D60" t="s">
        <v>80</v>
      </c>
      <c r="E60" t="s">
        <v>16</v>
      </c>
      <c r="F60" t="s">
        <v>16</v>
      </c>
      <c r="G60" t="s">
        <v>84</v>
      </c>
      <c r="H60" t="s">
        <v>11</v>
      </c>
      <c r="I60" t="str">
        <f>_xlfn.XLOOKUP(Tabla1[[#This Row],[Dependencia]],Tabla2[Dependencia],Tabla2[Clasificación],"XXX",0)</f>
        <v>Alcaldías</v>
      </c>
      <c r="J6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76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2026-10-08T15:17:34Z</dcterms:modified>
</cp:coreProperties>
</file>