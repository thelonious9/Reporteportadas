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1ED9741C-4555-46D9-AD38-635B08FA2F49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I2" i="1"/>
  <c r="J2" i="1"/>
</calcChain>
</file>

<file path=xl/sharedStrings.xml><?xml version="1.0" encoding="utf-8"?>
<sst xmlns="http://schemas.openxmlformats.org/spreadsheetml/2006/main" count="573" uniqueCount="172">
  <si>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</si>
  <si>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</si>
  <si>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</si>
  <si>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</si>
  <si>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</si>
  <si>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</si>
  <si>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</si>
  <si>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</si>
  <si>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</si>
  <si>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</si>
  <si>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</si>
  <si>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</si>
  <si>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</si>
  <si>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</si>
  <si>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</si>
  <si>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</si>
  <si>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</si>
  <si>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</si>
  <si>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</si>
  <si>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</si>
  <si>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</si>
  <si>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</si>
  <si>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</si>
  <si>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</si>
  <si>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</si>
  <si>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</si>
  <si>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</si>
  <si>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</si>
  <si>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</si>
  <si>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</si>
  <si>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</si>
  <si>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</si>
  <si>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</si>
  <si>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</si>
  <si>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</si>
  <si>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</si>
  <si>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</si>
  <si>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</si>
  <si>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</si>
  <si>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</si>
  <si>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</si>
  <si>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</si>
  <si>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</si>
  <si>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</si>
  <si>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</si>
  <si>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</si>
  <si>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</si>
  <si>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</si>
  <si>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</si>
  <si>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</si>
  <si>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</si>
  <si>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</si>
  <si>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</si>
  <si>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</si>
  <si>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</si>
  <si>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</si>
  <si>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</si>
  <si>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</si>
  <si>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</si>
  <si>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</si>
  <si>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</si>
  <si>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</si>
  <si>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</si>
  <si>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</si>
  <si>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</si>
  <si>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</si>
  <si>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</si>
  <si>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</si>
  <si>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</si>
  <si>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</si>
  <si>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Zunoticia</t>
  </si>
  <si>
    <t>Síntesis</t>
  </si>
  <si>
    <t>La Jornada Hidalgo</t>
  </si>
  <si>
    <t>OCSAD</t>
  </si>
  <si>
    <t>Mundial De Futbol</t>
  </si>
  <si>
    <t>Effetá</t>
  </si>
  <si>
    <t>Criterio</t>
  </si>
  <si>
    <t>Publicidad</t>
  </si>
  <si>
    <t>El Universal Hidalgo</t>
  </si>
  <si>
    <t>Marfeca</t>
  </si>
  <si>
    <t>Relleno Sanitario</t>
  </si>
  <si>
    <t>Plaza Juárez</t>
  </si>
  <si>
    <t>Temas internacionales</t>
  </si>
  <si>
    <t>Negativa</t>
  </si>
  <si>
    <t>CBPEH</t>
  </si>
  <si>
    <t>Búsqueda de personas</t>
  </si>
  <si>
    <t>Pachuca Brilla</t>
  </si>
  <si>
    <t>Solicitud De Licencia</t>
  </si>
  <si>
    <t>Rehabilitación Vial</t>
  </si>
  <si>
    <t>ASEH</t>
  </si>
  <si>
    <t>Atropellamiento</t>
  </si>
  <si>
    <t>INAH</t>
  </si>
  <si>
    <t>Policía municipal</t>
  </si>
  <si>
    <t>Huracanes y ciclones</t>
  </si>
  <si>
    <t>Prevención De Riesgos</t>
  </si>
  <si>
    <t>Combate a la delincuencia</t>
  </si>
  <si>
    <t>México la rompe</t>
  </si>
  <si>
    <t>Auditoría avala manejo fiscal en Hidalgo con resultado de 2025</t>
  </si>
  <si>
    <t>Cuenta Pública</t>
  </si>
  <si>
    <t>Reporta SEPH 32 trabajadores con licencia sin goce de sueldo</t>
  </si>
  <si>
    <t>Preservan parte del antiguo Camino Real en Tepeji del Río</t>
  </si>
  <si>
    <t>Conservación del Patrimonio Cultural</t>
  </si>
  <si>
    <t>ASEH halla anomalías por $46.3 millones</t>
  </si>
  <si>
    <t>Irregularidades ASEH</t>
  </si>
  <si>
    <t>¡Y, sí!</t>
  </si>
  <si>
    <t>Sin observaciones, la Cuenta Pública 2025 del estado de Hidalgo</t>
  </si>
  <si>
    <t>Suman 18 túneles para traficar huachicol</t>
  </si>
  <si>
    <t>Gabinete de seguridad</t>
  </si>
  <si>
    <t>Huachitúnel</t>
  </si>
  <si>
    <t>El robo del balneario Dios Padre asciende a $9 millones</t>
  </si>
  <si>
    <t>Asalto a balneario</t>
  </si>
  <si>
    <t>En cinco años, suman 61 denuncias por aborto</t>
  </si>
  <si>
    <t>ILE</t>
  </si>
  <si>
    <t>Por robo de $9 millones, habrá diálogo con los de Dios Padre</t>
  </si>
  <si>
    <t>OBSERVA ASEH A ENTES MÁS DE $46 MILLONES</t>
  </si>
  <si>
    <t>Observaciones ASEH</t>
  </si>
  <si>
    <t>El Tri da el golpe</t>
  </si>
  <si>
    <t>Autoridades destruyen huachitúnel en Pachuca</t>
  </si>
  <si>
    <t>Celebran pachuqueños triunfo de México</t>
  </si>
  <si>
    <t>Hidalgo, sin señalamientos en la cuenta pública 2025</t>
  </si>
  <si>
    <t>Concentran municipios casi 70% de observaciones en 2025: ASEH</t>
  </si>
  <si>
    <t>Corte preserva nacionalidad por nacimiento y frena a Trump</t>
  </si>
  <si>
    <t>Detectan 18 estructuras en la entidad; serán derribadas</t>
  </si>
  <si>
    <t>Imbatible. Un 2-0 sin tacha desata festejos apoteósicos</t>
  </si>
  <si>
    <t>Prosiguen irregularidades en Tula; deberán aclarar destino de $17 millones</t>
  </si>
  <si>
    <t>Van cuatro huachitúneles inhabilitados; aún faltan 14</t>
  </si>
  <si>
    <t>El futuro del T-Mec está en manos de Trump</t>
  </si>
  <si>
    <t>México tiene noche redonda y Jiménez la firma con su garra hidalguense</t>
  </si>
  <si>
    <t>Ojalá que Adolfo y Marco Antonio regresen con vida. Ojalá que las autoridades esclarezcan los hechos y, ojalá, lo más pronto posible, la desaparición deje de ser una situación cotidiana en nuestra sociedad”.</t>
  </si>
  <si>
    <t>¡Y sí! México invicto y en octavos de final</t>
  </si>
  <si>
    <t>Emociona Selección Mexicana a la afición pachuqueña</t>
  </si>
  <si>
    <t>Destruyen túnel utilizado para robo de hidrocarburo en Pachuca</t>
  </si>
  <si>
    <t>Gobierno de Hidalgo sin observaciones por la ASF</t>
  </si>
  <si>
    <t>Robo en balneario Dios Padre supera los 9 mdp: PGJEH</t>
  </si>
  <si>
    <t>Obtiene Hidalgo resultados favorables sin observaciones de Auditoría Superior</t>
  </si>
  <si>
    <t>Cuenta pública</t>
  </si>
  <si>
    <t>Más de 17 millones de pesos para la secundaria 2 en Huejutla</t>
  </si>
  <si>
    <t>Infraestructura escolar</t>
  </si>
  <si>
    <t>Afición vibra en Plaza 21 de Mayo con triunfo del Tri</t>
  </si>
  <si>
    <t>Registro de líneas telefónicas se realizará de forma escalonada</t>
  </si>
  <si>
    <t>Registro de celulares</t>
  </si>
  <si>
    <t>Gobierno de Hidalgo refrenda coordinación con la Guardia Nacional</t>
  </si>
  <si>
    <t>Conmemoración Aniversario</t>
  </si>
  <si>
    <t>Hidalgo plantea plan prospectivo rumbo a 2040</t>
  </si>
  <si>
    <t>Plan 2040</t>
  </si>
  <si>
    <t>Gabinete de Seguridad localiza 18 túneless huachicoleros en Hidalgo</t>
  </si>
  <si>
    <t>Roban 9 millones al balneario Dios Padre</t>
  </si>
  <si>
    <t>iforma</t>
  </si>
  <si>
    <t>Sin observaciones, revisión de la ASF a Hidalgo</t>
  </si>
  <si>
    <t>Congreso entra a la polémica del relleno sanitario de Tula</t>
  </si>
  <si>
    <t>Video de persecución en Tizayuca contradice versión oficial</t>
  </si>
  <si>
    <t>México pasa a octavos, con goles de Quiñones Raúl JIménez</t>
  </si>
  <si>
    <t>Hidalgo obtiene resultados sin observaciones en la primera entrega de la Cuenta Pública 2025 de la ASF</t>
  </si>
  <si>
    <t>Van por destrucción de 18 huachitúneles detectados en Hidalgo</t>
  </si>
  <si>
    <t>Se gradúa la 16a generación de la Casa de la Mujer Hidalguense</t>
  </si>
  <si>
    <t>Graduación</t>
  </si>
  <si>
    <t>Gobierno de Hidalgo refrenda coordinación con la Guardia Nacional para fortalecer la paz y la seguridad</t>
  </si>
  <si>
    <t>Anuncian rehabilitación del Bulevar Refinería con una inversión de 13 mdp en Tula</t>
  </si>
  <si>
    <t>Policías de Pachuca auxilian a mujer en labor de parto</t>
  </si>
  <si>
    <t>Atención a la ciudadanía</t>
  </si>
  <si>
    <t>Víctor Velázquez confirma partido del Cruz Azul en Ciudad Deportiva</t>
  </si>
  <si>
    <t>Cruz Azul</t>
  </si>
  <si>
    <t>Identidad segura</t>
  </si>
  <si>
    <t>Robo de identidad</t>
  </si>
  <si>
    <t>Enloquecen pachuqueños con el triunfo del Tri</t>
  </si>
  <si>
    <t>SSPH captura a presunto generador de violencia vinculado a hechos de alto impacto</t>
  </si>
  <si>
    <t>Hidalgo, sin observaciones en la primera entrega de la Cuenta Pública 2025 de la ASF</t>
  </si>
  <si>
    <t>¡A octavos! México deja fuera a Ecuador y siguen soñando</t>
  </si>
  <si>
    <t>Ellos importan</t>
  </si>
  <si>
    <t>Maltrato animal</t>
  </si>
  <si>
    <t>¡Sí se pudo!</t>
  </si>
  <si>
    <t>La Auditoría superior de la Federación fiscalizó más de 6 mil 657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</si>
</sst>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0" totalsRowShown="0" headerRowDxfId="5" headerRowBorderDxfId="4">
  <autoFilter ref="A1:J60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0"/>
  <sheetViews>
    <sheetView tabSelected="1" workbookViewId="0">
      <selection activeCell="A2" sqref="A2:H60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25">
      <c r="A2" s="5">
        <v>46204</v>
      </c>
      <c r="B2" t="s">
        <v>68</v>
      </c>
      <c r="C2" s="6" t="s">
        <v>96</v>
      </c>
      <c r="D2" t="s">
        <v>13</v>
      </c>
      <c r="E2" t="s">
        <v>10</v>
      </c>
      <c r="F2" t="s">
        <v>10</v>
      </c>
      <c r="G2" t="s">
        <v>74</v>
      </c>
      <c r="H2" t="s">
        <v>69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ht="30" x14ac:dyDescent="0.25">
      <c r="A3" s="5">
        <v>46204</v>
      </c>
      <c r="B3" t="s">
        <v>68</v>
      </c>
      <c r="C3" s="6" t="s">
        <v>97</v>
      </c>
      <c r="D3" t="s">
        <v>12</v>
      </c>
      <c r="E3" t="s">
        <v>38</v>
      </c>
      <c r="F3" t="s">
        <v>38</v>
      </c>
      <c r="G3" t="s">
        <v>98</v>
      </c>
      <c r="H3" t="s">
        <v>69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ht="30" x14ac:dyDescent="0.25">
      <c r="A4" s="5">
        <v>46204</v>
      </c>
      <c r="B4" t="s">
        <v>68</v>
      </c>
      <c r="C4" s="6" t="s">
        <v>99</v>
      </c>
      <c r="D4" t="s">
        <v>12</v>
      </c>
      <c r="E4" t="s">
        <v>26</v>
      </c>
      <c r="F4" t="s">
        <v>26</v>
      </c>
      <c r="G4" t="s">
        <v>87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Gabinete</v>
      </c>
    </row>
    <row r="5" spans="1:10" ht="30" x14ac:dyDescent="0.25">
      <c r="A5" s="5">
        <v>46204</v>
      </c>
      <c r="B5" t="s">
        <v>68</v>
      </c>
      <c r="C5" s="6" t="s">
        <v>100</v>
      </c>
      <c r="D5" t="s">
        <v>12</v>
      </c>
      <c r="E5" t="s">
        <v>14</v>
      </c>
      <c r="F5" t="s">
        <v>91</v>
      </c>
      <c r="G5" t="s">
        <v>101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46204</v>
      </c>
      <c r="B6" t="s">
        <v>78</v>
      </c>
      <c r="C6" s="6" t="s">
        <v>102</v>
      </c>
      <c r="D6" t="s">
        <v>13</v>
      </c>
      <c r="E6" t="s">
        <v>33</v>
      </c>
      <c r="F6" t="s">
        <v>89</v>
      </c>
      <c r="G6" t="s">
        <v>103</v>
      </c>
      <c r="H6" t="s">
        <v>11</v>
      </c>
      <c r="I6" t="str">
        <f>_xlfn.XLOOKUP(Tabla1[[#This Row],[Dependencia]],Tabla2[Dependencia],Tabla2[Clasificación],"No indexado")</f>
        <v>Otros</v>
      </c>
      <c r="J6" t="str">
        <f>_xlfn.XLOOKUP(Tabla1[[#This Row],[Dependencia]],Tabla3[Dependencia],Tabla3[Nivel],"otros",0)</f>
        <v>otros</v>
      </c>
    </row>
    <row r="7" spans="1:10" x14ac:dyDescent="0.25">
      <c r="A7" s="5">
        <v>46204</v>
      </c>
      <c r="B7" t="s">
        <v>78</v>
      </c>
      <c r="C7" s="6" t="s">
        <v>104</v>
      </c>
      <c r="D7" t="s">
        <v>9</v>
      </c>
      <c r="E7" t="s">
        <v>10</v>
      </c>
      <c r="F7" t="s">
        <v>10</v>
      </c>
      <c r="G7" t="s">
        <v>74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30" x14ac:dyDescent="0.25">
      <c r="A8" s="5">
        <v>46204</v>
      </c>
      <c r="B8" t="s">
        <v>78</v>
      </c>
      <c r="C8" s="6" t="s">
        <v>105</v>
      </c>
      <c r="D8" t="s">
        <v>12</v>
      </c>
      <c r="E8" t="s">
        <v>38</v>
      </c>
      <c r="F8" t="s">
        <v>38</v>
      </c>
      <c r="G8" t="s">
        <v>98</v>
      </c>
      <c r="H8" t="s">
        <v>69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Gabinete</v>
      </c>
    </row>
    <row r="9" spans="1:10" x14ac:dyDescent="0.25">
      <c r="A9" s="5">
        <v>46204</v>
      </c>
      <c r="B9" t="s">
        <v>78</v>
      </c>
      <c r="C9" s="6" t="s">
        <v>106</v>
      </c>
      <c r="D9" t="s">
        <v>12</v>
      </c>
      <c r="E9" t="s">
        <v>107</v>
      </c>
      <c r="F9" t="s">
        <v>107</v>
      </c>
      <c r="G9" t="s">
        <v>108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ht="30" x14ac:dyDescent="0.25">
      <c r="A10" s="5">
        <v>46204</v>
      </c>
      <c r="B10" t="s">
        <v>78</v>
      </c>
      <c r="C10" s="6" t="s">
        <v>109</v>
      </c>
      <c r="D10" t="s">
        <v>12</v>
      </c>
      <c r="E10" t="s">
        <v>17</v>
      </c>
      <c r="F10" t="s">
        <v>17</v>
      </c>
      <c r="G10" t="s">
        <v>110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25">
      <c r="A11" s="5">
        <v>46204</v>
      </c>
      <c r="B11" t="s">
        <v>76</v>
      </c>
      <c r="C11" s="6" t="s">
        <v>111</v>
      </c>
      <c r="D11" t="s">
        <v>12</v>
      </c>
      <c r="E11" t="s">
        <v>17</v>
      </c>
      <c r="F11" t="s">
        <v>17</v>
      </c>
      <c r="G11" t="s">
        <v>112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ht="30" x14ac:dyDescent="0.25">
      <c r="A12" s="5">
        <v>46204</v>
      </c>
      <c r="B12" t="s">
        <v>76</v>
      </c>
      <c r="C12" s="6" t="s">
        <v>113</v>
      </c>
      <c r="D12" t="s">
        <v>12</v>
      </c>
      <c r="E12" t="s">
        <v>17</v>
      </c>
      <c r="F12" t="s">
        <v>2</v>
      </c>
      <c r="G12" t="s">
        <v>110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25">
      <c r="A13" s="5">
        <v>46204</v>
      </c>
      <c r="B13" t="s">
        <v>76</v>
      </c>
      <c r="C13" s="6" t="s">
        <v>114</v>
      </c>
      <c r="D13" t="s">
        <v>13</v>
      </c>
      <c r="E13" t="s">
        <v>33</v>
      </c>
      <c r="F13" t="s">
        <v>89</v>
      </c>
      <c r="G13" t="s">
        <v>115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x14ac:dyDescent="0.25">
      <c r="A14" s="5">
        <v>46204</v>
      </c>
      <c r="B14" t="s">
        <v>76</v>
      </c>
      <c r="C14" s="6" t="s">
        <v>116</v>
      </c>
      <c r="D14" t="s">
        <v>12</v>
      </c>
      <c r="E14" t="s">
        <v>10</v>
      </c>
      <c r="F14" t="s">
        <v>10</v>
      </c>
      <c r="G14" t="s">
        <v>74</v>
      </c>
      <c r="H14" t="s">
        <v>69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x14ac:dyDescent="0.25">
      <c r="A15" s="5">
        <v>46204</v>
      </c>
      <c r="B15" t="s">
        <v>76</v>
      </c>
      <c r="C15" s="6" t="s">
        <v>117</v>
      </c>
      <c r="D15" t="s">
        <v>12</v>
      </c>
      <c r="E15" t="s">
        <v>107</v>
      </c>
      <c r="F15" t="s">
        <v>107</v>
      </c>
      <c r="G15" t="s">
        <v>108</v>
      </c>
      <c r="H15" t="s">
        <v>69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46204</v>
      </c>
      <c r="B16" t="s">
        <v>76</v>
      </c>
      <c r="C16" s="6" t="s">
        <v>118</v>
      </c>
      <c r="D16" t="s">
        <v>12</v>
      </c>
      <c r="E16" t="s">
        <v>10</v>
      </c>
      <c r="F16" t="s">
        <v>10</v>
      </c>
      <c r="G16" t="s">
        <v>74</v>
      </c>
      <c r="H16" t="s">
        <v>69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25">
      <c r="A17" s="5">
        <v>46204</v>
      </c>
      <c r="B17" t="s">
        <v>76</v>
      </c>
      <c r="C17" s="6" t="s">
        <v>119</v>
      </c>
      <c r="D17" t="s">
        <v>12</v>
      </c>
      <c r="E17" t="s">
        <v>38</v>
      </c>
      <c r="F17" t="s">
        <v>38</v>
      </c>
      <c r="G17" t="s">
        <v>98</v>
      </c>
      <c r="H17" t="s">
        <v>69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ht="30" x14ac:dyDescent="0.25">
      <c r="A18" s="5">
        <v>46204</v>
      </c>
      <c r="B18" t="s">
        <v>67</v>
      </c>
      <c r="C18" s="6" t="s">
        <v>120</v>
      </c>
      <c r="D18" t="s">
        <v>13</v>
      </c>
      <c r="E18" t="s">
        <v>33</v>
      </c>
      <c r="F18" t="s">
        <v>89</v>
      </c>
      <c r="G18" t="s">
        <v>115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46204</v>
      </c>
      <c r="B19" t="s">
        <v>67</v>
      </c>
      <c r="C19" s="6" t="s">
        <v>121</v>
      </c>
      <c r="D19" t="s">
        <v>12</v>
      </c>
      <c r="E19" t="s">
        <v>10</v>
      </c>
      <c r="F19" t="s">
        <v>10</v>
      </c>
      <c r="G19" t="s">
        <v>82</v>
      </c>
      <c r="H19" t="s">
        <v>69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46204</v>
      </c>
      <c r="B20" t="s">
        <v>67</v>
      </c>
      <c r="C20" s="6" t="s">
        <v>122</v>
      </c>
      <c r="D20" t="s">
        <v>12</v>
      </c>
      <c r="E20" t="s">
        <v>107</v>
      </c>
      <c r="F20" t="s">
        <v>107</v>
      </c>
      <c r="G20" t="s">
        <v>108</v>
      </c>
      <c r="H20" t="s">
        <v>11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25">
      <c r="A21" s="5">
        <v>46204</v>
      </c>
      <c r="B21" t="s">
        <v>67</v>
      </c>
      <c r="C21" s="6" t="s">
        <v>123</v>
      </c>
      <c r="D21" t="s">
        <v>9</v>
      </c>
      <c r="E21" t="s">
        <v>10</v>
      </c>
      <c r="F21" t="s">
        <v>10</v>
      </c>
      <c r="G21" t="s">
        <v>74</v>
      </c>
      <c r="H21" t="s">
        <v>69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5">
        <v>46204</v>
      </c>
      <c r="B22" t="s">
        <v>72</v>
      </c>
      <c r="C22" s="6" t="s">
        <v>124</v>
      </c>
      <c r="D22" t="s">
        <v>13</v>
      </c>
      <c r="E22" t="s">
        <v>16</v>
      </c>
      <c r="F22" t="s">
        <v>16</v>
      </c>
      <c r="G22" t="s">
        <v>115</v>
      </c>
      <c r="H22" t="s">
        <v>83</v>
      </c>
      <c r="I22" t="str">
        <f>_xlfn.XLOOKUP(Tabla1[[#This Row],[Dependencia]],Tabla2[Dependencia],Tabla2[Clasificación],"No indexado")</f>
        <v>Alcaldías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46204</v>
      </c>
      <c r="B23" t="s">
        <v>72</v>
      </c>
      <c r="C23" s="6" t="s">
        <v>125</v>
      </c>
      <c r="D23" t="s">
        <v>12</v>
      </c>
      <c r="E23" t="s">
        <v>107</v>
      </c>
      <c r="F23" t="s">
        <v>107</v>
      </c>
      <c r="G23" t="s">
        <v>108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25">
      <c r="A24" s="5">
        <v>46204</v>
      </c>
      <c r="B24" t="s">
        <v>72</v>
      </c>
      <c r="C24" s="6" t="s">
        <v>126</v>
      </c>
      <c r="D24" t="s">
        <v>12</v>
      </c>
      <c r="E24" t="s">
        <v>14</v>
      </c>
      <c r="F24" t="s">
        <v>14</v>
      </c>
      <c r="G24" t="s">
        <v>82</v>
      </c>
      <c r="H24" t="s">
        <v>83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ht="30" x14ac:dyDescent="0.25">
      <c r="A25" s="5">
        <v>46204</v>
      </c>
      <c r="B25" t="s">
        <v>72</v>
      </c>
      <c r="C25" s="6" t="s">
        <v>127</v>
      </c>
      <c r="D25" t="s">
        <v>9</v>
      </c>
      <c r="E25" t="s">
        <v>10</v>
      </c>
      <c r="F25" t="s">
        <v>10</v>
      </c>
      <c r="G25" t="s">
        <v>74</v>
      </c>
      <c r="H25" t="s">
        <v>69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60" x14ac:dyDescent="0.25">
      <c r="A26" s="5">
        <v>46204</v>
      </c>
      <c r="B26" t="s">
        <v>72</v>
      </c>
      <c r="C26" s="6" t="s">
        <v>128</v>
      </c>
      <c r="D26" t="s">
        <v>12</v>
      </c>
      <c r="E26" t="s">
        <v>23</v>
      </c>
      <c r="F26" t="s">
        <v>84</v>
      </c>
      <c r="G26" t="s">
        <v>85</v>
      </c>
      <c r="H26" t="s">
        <v>11</v>
      </c>
      <c r="I26" t="str">
        <f>_xlfn.XLOOKUP(Tabla1[[#This Row],[Dependencia]],Tabla2[Dependencia],Tabla2[Clasificación],"No indexado")</f>
        <v>Gobierno del estado</v>
      </c>
      <c r="J26" t="str">
        <f>_xlfn.XLOOKUP(Tabla1[[#This Row],[Dependencia]],Tabla3[Dependencia],Tabla3[Nivel],"otros",0)</f>
        <v>Gabinete</v>
      </c>
    </row>
    <row r="27" spans="1:10" x14ac:dyDescent="0.25">
      <c r="A27" s="5">
        <v>46204</v>
      </c>
      <c r="B27" t="s">
        <v>71</v>
      </c>
      <c r="C27" s="6" t="s">
        <v>129</v>
      </c>
      <c r="D27" t="s">
        <v>13</v>
      </c>
      <c r="E27" t="s">
        <v>10</v>
      </c>
      <c r="F27" t="s">
        <v>10</v>
      </c>
      <c r="G27" t="s">
        <v>74</v>
      </c>
      <c r="H27" t="s">
        <v>69</v>
      </c>
      <c r="I27" t="str">
        <f>_xlfn.XLOOKUP(Tabla1[[#This Row],[Dependencia]],Tabla2[Dependencia],Tabla2[Clasificación],"No indexado")</f>
        <v>Otros</v>
      </c>
      <c r="J27" t="str">
        <f>_xlfn.XLOOKUP(Tabla1[[#This Row],[Dependencia]],Tabla3[Dependencia],Tabla3[Nivel],"otros",0)</f>
        <v>otros</v>
      </c>
    </row>
    <row r="28" spans="1:10" x14ac:dyDescent="0.25">
      <c r="A28" s="5">
        <v>46204</v>
      </c>
      <c r="B28" t="s">
        <v>71</v>
      </c>
      <c r="C28" s="6" t="s">
        <v>130</v>
      </c>
      <c r="D28" t="s">
        <v>12</v>
      </c>
      <c r="E28" t="s">
        <v>10</v>
      </c>
      <c r="F28" t="s">
        <v>10</v>
      </c>
      <c r="G28" t="s">
        <v>74</v>
      </c>
      <c r="H28" t="s">
        <v>69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46204</v>
      </c>
      <c r="B29" t="s">
        <v>71</v>
      </c>
      <c r="C29" s="6" t="s">
        <v>131</v>
      </c>
      <c r="D29" t="s">
        <v>12</v>
      </c>
      <c r="E29" t="s">
        <v>37</v>
      </c>
      <c r="F29" t="s">
        <v>37</v>
      </c>
      <c r="G29" t="s">
        <v>108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x14ac:dyDescent="0.25">
      <c r="A30" s="5">
        <v>46204</v>
      </c>
      <c r="B30" t="s">
        <v>71</v>
      </c>
      <c r="C30" s="6" t="s">
        <v>132</v>
      </c>
      <c r="D30" t="s">
        <v>12</v>
      </c>
      <c r="E30" t="s">
        <v>38</v>
      </c>
      <c r="F30" t="s">
        <v>38</v>
      </c>
      <c r="G30" t="s">
        <v>98</v>
      </c>
      <c r="H30" t="s">
        <v>69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x14ac:dyDescent="0.25">
      <c r="A31" s="5">
        <v>46204</v>
      </c>
      <c r="B31" t="s">
        <v>71</v>
      </c>
      <c r="C31" s="6" t="s">
        <v>133</v>
      </c>
      <c r="D31" t="s">
        <v>12</v>
      </c>
      <c r="E31" t="s">
        <v>17</v>
      </c>
      <c r="F31" t="s">
        <v>17</v>
      </c>
      <c r="G31" t="s">
        <v>110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5">
        <v>46204</v>
      </c>
      <c r="B32" t="s">
        <v>70</v>
      </c>
      <c r="C32" s="6" t="s">
        <v>134</v>
      </c>
      <c r="D32" t="s">
        <v>12</v>
      </c>
      <c r="E32" t="s">
        <v>38</v>
      </c>
      <c r="F32" t="s">
        <v>38</v>
      </c>
      <c r="G32" t="s">
        <v>135</v>
      </c>
      <c r="H32" t="s">
        <v>69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30" x14ac:dyDescent="0.25">
      <c r="A33" s="5">
        <v>46204</v>
      </c>
      <c r="B33" t="s">
        <v>70</v>
      </c>
      <c r="C33" s="6" t="s">
        <v>136</v>
      </c>
      <c r="D33" t="s">
        <v>12</v>
      </c>
      <c r="E33" t="s">
        <v>26</v>
      </c>
      <c r="F33" t="s">
        <v>26</v>
      </c>
      <c r="G33" t="s">
        <v>137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5">
        <v>46204</v>
      </c>
      <c r="B34" t="s">
        <v>70</v>
      </c>
      <c r="C34" s="6" t="s">
        <v>138</v>
      </c>
      <c r="D34" t="s">
        <v>13</v>
      </c>
      <c r="E34" t="s">
        <v>10</v>
      </c>
      <c r="F34" t="s">
        <v>10</v>
      </c>
      <c r="G34" t="s">
        <v>74</v>
      </c>
      <c r="H34" t="s">
        <v>69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ht="30" x14ac:dyDescent="0.25">
      <c r="A35" s="5">
        <v>46204</v>
      </c>
      <c r="B35" t="s">
        <v>70</v>
      </c>
      <c r="C35" s="6" t="s">
        <v>139</v>
      </c>
      <c r="D35" t="s">
        <v>12</v>
      </c>
      <c r="E35" t="s">
        <v>14</v>
      </c>
      <c r="F35" t="s">
        <v>14</v>
      </c>
      <c r="G35" t="s">
        <v>140</v>
      </c>
      <c r="H35" t="s">
        <v>11</v>
      </c>
      <c r="I35" t="str">
        <f>_xlfn.XLOOKUP(Tabla1[[#This Row],[Dependencia]],Tabla2[Dependencia],Tabla2[Clasificación],"No indexado")</f>
        <v>Presidencia de la República</v>
      </c>
      <c r="J35" t="str">
        <f>_xlfn.XLOOKUP(Tabla1[[#This Row],[Dependencia]],Tabla3[Dependencia],Tabla3[Nivel],"otros",0)</f>
        <v>otros</v>
      </c>
    </row>
    <row r="36" spans="1:10" ht="30" x14ac:dyDescent="0.25">
      <c r="A36" s="5">
        <v>46204</v>
      </c>
      <c r="B36" t="s">
        <v>70</v>
      </c>
      <c r="C36" s="6" t="s">
        <v>141</v>
      </c>
      <c r="D36" t="s">
        <v>12</v>
      </c>
      <c r="E36" t="s">
        <v>24</v>
      </c>
      <c r="F36" t="s">
        <v>24</v>
      </c>
      <c r="G36" t="s">
        <v>142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Gobernador</v>
      </c>
    </row>
    <row r="37" spans="1:10" x14ac:dyDescent="0.25">
      <c r="A37" s="5">
        <v>46204</v>
      </c>
      <c r="B37" t="s">
        <v>70</v>
      </c>
      <c r="C37" s="6" t="s">
        <v>143</v>
      </c>
      <c r="D37" t="s">
        <v>12</v>
      </c>
      <c r="E37" t="s">
        <v>47</v>
      </c>
      <c r="F37" t="s">
        <v>47</v>
      </c>
      <c r="G37" t="s">
        <v>144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30" x14ac:dyDescent="0.25">
      <c r="A38" s="5">
        <v>46204</v>
      </c>
      <c r="B38" t="s">
        <v>75</v>
      </c>
      <c r="C38" s="6" t="s">
        <v>145</v>
      </c>
      <c r="D38" t="s">
        <v>13</v>
      </c>
      <c r="E38" t="s">
        <v>37</v>
      </c>
      <c r="F38" t="s">
        <v>37</v>
      </c>
      <c r="G38" t="s">
        <v>108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25">
      <c r="A39" s="5">
        <v>46204</v>
      </c>
      <c r="B39" t="s">
        <v>75</v>
      </c>
      <c r="C39" s="6" t="s">
        <v>146</v>
      </c>
      <c r="D39" t="s">
        <v>9</v>
      </c>
      <c r="E39" t="s">
        <v>17</v>
      </c>
      <c r="F39" t="s">
        <v>17</v>
      </c>
      <c r="G39" t="s">
        <v>110</v>
      </c>
      <c r="H39" t="s">
        <v>147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25">
      <c r="A40" s="5">
        <v>46204</v>
      </c>
      <c r="B40" t="s">
        <v>75</v>
      </c>
      <c r="C40" s="6" t="s">
        <v>148</v>
      </c>
      <c r="D40" t="s">
        <v>12</v>
      </c>
      <c r="E40" t="s">
        <v>38</v>
      </c>
      <c r="F40" t="s">
        <v>38</v>
      </c>
      <c r="G40" t="s">
        <v>98</v>
      </c>
      <c r="H40" t="s">
        <v>69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ht="30" x14ac:dyDescent="0.25">
      <c r="A41" s="5">
        <v>46204</v>
      </c>
      <c r="B41" t="s">
        <v>75</v>
      </c>
      <c r="C41" s="6" t="s">
        <v>149</v>
      </c>
      <c r="D41" t="s">
        <v>12</v>
      </c>
      <c r="E41" t="s">
        <v>33</v>
      </c>
      <c r="F41" t="s">
        <v>33</v>
      </c>
      <c r="G41" t="s">
        <v>80</v>
      </c>
      <c r="H41" t="s">
        <v>11</v>
      </c>
      <c r="I41" t="str">
        <f>_xlfn.XLOOKUP(Tabla1[[#This Row],[Dependencia]],Tabla2[Dependencia],Tabla2[Clasificación],"No indexado")</f>
        <v>Otros</v>
      </c>
      <c r="J41" t="str">
        <f>_xlfn.XLOOKUP(Tabla1[[#This Row],[Dependencia]],Tabla3[Dependencia],Tabla3[Nivel],"otros",0)</f>
        <v>otros</v>
      </c>
    </row>
    <row r="42" spans="1:10" ht="30" x14ac:dyDescent="0.25">
      <c r="A42" s="5">
        <v>46204</v>
      </c>
      <c r="B42" t="s">
        <v>75</v>
      </c>
      <c r="C42" s="6" t="s">
        <v>150</v>
      </c>
      <c r="D42" t="s">
        <v>12</v>
      </c>
      <c r="E42" t="s">
        <v>16</v>
      </c>
      <c r="F42" t="s">
        <v>92</v>
      </c>
      <c r="G42" t="s">
        <v>90</v>
      </c>
      <c r="H42" t="s">
        <v>83</v>
      </c>
      <c r="I42" t="str">
        <f>_xlfn.XLOOKUP(Tabla1[[#This Row],[Dependencia]],Tabla2[Dependencia],Tabla2[Clasificación],"No indexado")</f>
        <v>Alcaldías</v>
      </c>
      <c r="J42" t="str">
        <f>_xlfn.XLOOKUP(Tabla1[[#This Row],[Dependencia]],Tabla3[Dependencia],Tabla3[Nivel],"otros",0)</f>
        <v>otros</v>
      </c>
    </row>
    <row r="43" spans="1:10" ht="30" x14ac:dyDescent="0.25">
      <c r="A43" s="5">
        <v>46204</v>
      </c>
      <c r="B43" t="s">
        <v>79</v>
      </c>
      <c r="C43" s="6" t="s">
        <v>151</v>
      </c>
      <c r="D43" t="s">
        <v>12</v>
      </c>
      <c r="E43" t="s">
        <v>10</v>
      </c>
      <c r="F43" t="s">
        <v>10</v>
      </c>
      <c r="G43" t="s">
        <v>74</v>
      </c>
      <c r="H43" t="s">
        <v>69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46204</v>
      </c>
      <c r="B44" t="s">
        <v>79</v>
      </c>
      <c r="C44" s="6" t="s">
        <v>152</v>
      </c>
      <c r="D44" t="s">
        <v>13</v>
      </c>
      <c r="E44" t="s">
        <v>38</v>
      </c>
      <c r="F44" t="s">
        <v>38</v>
      </c>
      <c r="G44" t="s">
        <v>135</v>
      </c>
      <c r="H44" t="s">
        <v>69</v>
      </c>
      <c r="I44" t="str">
        <f>_xlfn.XLOOKUP(Tabla1[[#This Row],[Dependencia]],Tabla2[Dependencia],Tabla2[Clasificación],"No indexado")</f>
        <v>Gobierno del estado</v>
      </c>
      <c r="J44" t="str">
        <f>_xlfn.XLOOKUP(Tabla1[[#This Row],[Dependencia]],Tabla3[Dependencia],Tabla3[Nivel],"otros",0)</f>
        <v>Gabinete</v>
      </c>
    </row>
    <row r="45" spans="1:10" ht="30" x14ac:dyDescent="0.25">
      <c r="A45" s="5">
        <v>46204</v>
      </c>
      <c r="B45" t="s">
        <v>79</v>
      </c>
      <c r="C45" s="6" t="s">
        <v>153</v>
      </c>
      <c r="D45" t="s">
        <v>12</v>
      </c>
      <c r="E45" t="s">
        <v>37</v>
      </c>
      <c r="F45" t="s">
        <v>37</v>
      </c>
      <c r="G45" t="s">
        <v>108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5">
        <v>46204</v>
      </c>
      <c r="B46" t="s">
        <v>79</v>
      </c>
      <c r="C46" s="6" t="s">
        <v>154</v>
      </c>
      <c r="D46" t="s">
        <v>12</v>
      </c>
      <c r="E46" t="s">
        <v>36</v>
      </c>
      <c r="F46" t="s">
        <v>36</v>
      </c>
      <c r="G46" t="s">
        <v>155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46204</v>
      </c>
      <c r="B47" t="s">
        <v>79</v>
      </c>
      <c r="C47" s="6" t="s">
        <v>156</v>
      </c>
      <c r="D47" t="s">
        <v>12</v>
      </c>
      <c r="E47" t="s">
        <v>24</v>
      </c>
      <c r="F47" t="s">
        <v>24</v>
      </c>
      <c r="G47" t="s">
        <v>142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ht="30" x14ac:dyDescent="0.25">
      <c r="A48" s="5">
        <v>46204</v>
      </c>
      <c r="B48" t="s">
        <v>79</v>
      </c>
      <c r="C48" s="6" t="s">
        <v>157</v>
      </c>
      <c r="D48" t="s">
        <v>12</v>
      </c>
      <c r="E48" t="s">
        <v>16</v>
      </c>
      <c r="F48" t="s">
        <v>16</v>
      </c>
      <c r="G48" t="s">
        <v>88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x14ac:dyDescent="0.25">
      <c r="A49" s="5">
        <v>46204</v>
      </c>
      <c r="B49" t="s">
        <v>79</v>
      </c>
      <c r="C49" s="6" t="s">
        <v>158</v>
      </c>
      <c r="D49" t="s">
        <v>12</v>
      </c>
      <c r="E49" t="s">
        <v>16</v>
      </c>
      <c r="F49" t="s">
        <v>92</v>
      </c>
      <c r="G49" t="s">
        <v>159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46204</v>
      </c>
      <c r="B50" t="s">
        <v>79</v>
      </c>
      <c r="C50" s="6" t="s">
        <v>160</v>
      </c>
      <c r="D50" t="s">
        <v>12</v>
      </c>
      <c r="E50" t="s">
        <v>10</v>
      </c>
      <c r="F50" t="s">
        <v>10</v>
      </c>
      <c r="G50" t="s">
        <v>161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x14ac:dyDescent="0.25">
      <c r="A51" s="5">
        <v>46204</v>
      </c>
      <c r="B51" t="s">
        <v>79</v>
      </c>
      <c r="C51" s="6" t="s">
        <v>162</v>
      </c>
      <c r="D51" t="s">
        <v>77</v>
      </c>
      <c r="E51" t="s">
        <v>22</v>
      </c>
      <c r="F51" t="s">
        <v>22</v>
      </c>
      <c r="G51" t="s">
        <v>163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Gabinete</v>
      </c>
    </row>
    <row r="52" spans="1:10" x14ac:dyDescent="0.25">
      <c r="A52" s="5">
        <v>46204</v>
      </c>
      <c r="B52" t="s">
        <v>86</v>
      </c>
      <c r="C52" s="6" t="s">
        <v>164</v>
      </c>
      <c r="D52" t="s">
        <v>13</v>
      </c>
      <c r="E52" t="s">
        <v>10</v>
      </c>
      <c r="F52" t="s">
        <v>10</v>
      </c>
      <c r="G52" t="s">
        <v>74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ht="30" x14ac:dyDescent="0.25">
      <c r="A53" s="5">
        <v>46204</v>
      </c>
      <c r="B53" t="s">
        <v>86</v>
      </c>
      <c r="C53" s="6" t="s">
        <v>165</v>
      </c>
      <c r="D53" t="s">
        <v>12</v>
      </c>
      <c r="E53" t="s">
        <v>22</v>
      </c>
      <c r="F53" t="s">
        <v>22</v>
      </c>
      <c r="G53" t="s">
        <v>95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Gabinete</v>
      </c>
    </row>
    <row r="54" spans="1:10" ht="30" x14ac:dyDescent="0.25">
      <c r="A54" s="5">
        <v>46204</v>
      </c>
      <c r="B54" t="s">
        <v>86</v>
      </c>
      <c r="C54" s="6" t="s">
        <v>166</v>
      </c>
      <c r="D54" t="s">
        <v>12</v>
      </c>
      <c r="E54" t="s">
        <v>38</v>
      </c>
      <c r="F54" t="s">
        <v>38</v>
      </c>
      <c r="G54" t="s">
        <v>135</v>
      </c>
      <c r="H54" t="s">
        <v>69</v>
      </c>
      <c r="I54" t="str">
        <f>_xlfn.XLOOKUP(Tabla1[[#This Row],[Dependencia]],Tabla2[Dependencia],Tabla2[Clasificación],"No indexado")</f>
        <v>Gobierno del estado</v>
      </c>
      <c r="J54" t="str">
        <f>_xlfn.XLOOKUP(Tabla1[[#This Row],[Dependencia]],Tabla3[Dependencia],Tabla3[Nivel],"otros",0)</f>
        <v>Gabinete</v>
      </c>
    </row>
    <row r="55" spans="1:10" ht="30" x14ac:dyDescent="0.25">
      <c r="A55" s="5">
        <v>46204</v>
      </c>
      <c r="B55" t="s">
        <v>86</v>
      </c>
      <c r="C55" s="6" t="s">
        <v>167</v>
      </c>
      <c r="D55" t="s">
        <v>12</v>
      </c>
      <c r="E55" t="s">
        <v>10</v>
      </c>
      <c r="F55" t="s">
        <v>10</v>
      </c>
      <c r="G55" t="s">
        <v>74</v>
      </c>
      <c r="H55" t="s">
        <v>69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46204</v>
      </c>
      <c r="B56" t="s">
        <v>86</v>
      </c>
      <c r="C56" s="6" t="s">
        <v>141</v>
      </c>
      <c r="D56" t="s">
        <v>12</v>
      </c>
      <c r="E56" t="s">
        <v>24</v>
      </c>
      <c r="F56" t="s">
        <v>24</v>
      </c>
      <c r="G56" t="s">
        <v>142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x14ac:dyDescent="0.25">
      <c r="A57" s="5">
        <v>46204</v>
      </c>
      <c r="B57" t="s">
        <v>86</v>
      </c>
      <c r="C57" s="6" t="s">
        <v>93</v>
      </c>
      <c r="D57" t="s">
        <v>77</v>
      </c>
      <c r="E57" t="s">
        <v>15</v>
      </c>
      <c r="F57" t="s">
        <v>15</v>
      </c>
      <c r="G57" t="s">
        <v>94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5">
        <v>46204</v>
      </c>
      <c r="B58" t="s">
        <v>86</v>
      </c>
      <c r="C58" s="6" t="s">
        <v>168</v>
      </c>
      <c r="D58" t="s">
        <v>77</v>
      </c>
      <c r="E58" t="s">
        <v>16</v>
      </c>
      <c r="F58" t="s">
        <v>16</v>
      </c>
      <c r="G58" t="s">
        <v>169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46204</v>
      </c>
      <c r="B59" t="s">
        <v>81</v>
      </c>
      <c r="C59" s="6" t="s">
        <v>170</v>
      </c>
      <c r="D59" t="s">
        <v>13</v>
      </c>
      <c r="E59" t="s">
        <v>10</v>
      </c>
      <c r="F59" t="s">
        <v>10</v>
      </c>
      <c r="G59" t="s">
        <v>74</v>
      </c>
      <c r="H59" t="s">
        <v>69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46204</v>
      </c>
      <c r="B60" t="s">
        <v>81</v>
      </c>
      <c r="C60" s="6" t="s">
        <v>171</v>
      </c>
      <c r="D60" t="s">
        <v>12</v>
      </c>
      <c r="E60" t="s">
        <v>38</v>
      </c>
      <c r="F60" t="s">
        <v>38</v>
      </c>
      <c r="G60" t="s">
        <v>135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65</v>
      </c>
    </row>
    <row r="2" spans="1:5" x14ac:dyDescent="0.25">
      <c r="A2" t="s">
        <v>61</v>
      </c>
      <c r="B2" t="s">
        <v>62</v>
      </c>
      <c r="D2" s="10" t="s">
        <v>19</v>
      </c>
      <c r="E2" t="s">
        <v>66</v>
      </c>
    </row>
    <row r="3" spans="1:5" x14ac:dyDescent="0.25">
      <c r="A3" t="s">
        <v>16</v>
      </c>
      <c r="B3" t="s">
        <v>31</v>
      </c>
      <c r="D3" s="9" t="s">
        <v>73</v>
      </c>
      <c r="E3" t="s">
        <v>66</v>
      </c>
    </row>
    <row r="4" spans="1:5" x14ac:dyDescent="0.25">
      <c r="A4" t="s">
        <v>19</v>
      </c>
      <c r="B4" t="s">
        <v>32</v>
      </c>
      <c r="D4" s="9" t="s">
        <v>34</v>
      </c>
      <c r="E4" t="s">
        <v>66</v>
      </c>
    </row>
    <row r="5" spans="1:5" x14ac:dyDescent="0.25">
      <c r="A5" t="s">
        <v>60</v>
      </c>
      <c r="B5" t="s">
        <v>10</v>
      </c>
      <c r="D5" s="10" t="s">
        <v>28</v>
      </c>
      <c r="E5" t="s">
        <v>66</v>
      </c>
    </row>
    <row r="6" spans="1:5" x14ac:dyDescent="0.25">
      <c r="A6" t="s">
        <v>73</v>
      </c>
      <c r="B6" t="s">
        <v>32</v>
      </c>
      <c r="D6" s="10" t="s">
        <v>35</v>
      </c>
      <c r="E6" t="s">
        <v>66</v>
      </c>
    </row>
    <row r="7" spans="1:5" x14ac:dyDescent="0.25">
      <c r="A7" t="s">
        <v>33</v>
      </c>
      <c r="B7" t="s">
        <v>10</v>
      </c>
      <c r="D7" s="9" t="s">
        <v>36</v>
      </c>
      <c r="E7" t="s">
        <v>66</v>
      </c>
    </row>
    <row r="8" spans="1:5" x14ac:dyDescent="0.25">
      <c r="A8" t="s">
        <v>34</v>
      </c>
      <c r="B8" t="s">
        <v>32</v>
      </c>
      <c r="D8" s="9" t="s">
        <v>36</v>
      </c>
      <c r="E8" t="s">
        <v>66</v>
      </c>
    </row>
    <row r="9" spans="1:5" x14ac:dyDescent="0.25">
      <c r="A9" t="s">
        <v>28</v>
      </c>
      <c r="B9" t="s">
        <v>32</v>
      </c>
      <c r="D9" s="9" t="s">
        <v>37</v>
      </c>
      <c r="E9" t="s">
        <v>66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2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2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2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2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2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2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2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2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2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2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2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2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2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2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2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47</v>
      </c>
      <c r="B29" t="s">
        <v>32</v>
      </c>
    </row>
    <row r="30" spans="1:5" x14ac:dyDescent="0.25">
      <c r="A30" t="s">
        <v>48</v>
      </c>
      <c r="B30" t="s">
        <v>44</v>
      </c>
    </row>
    <row r="31" spans="1:5" x14ac:dyDescent="0.25">
      <c r="A31" t="s">
        <v>14</v>
      </c>
      <c r="B31" t="s">
        <v>49</v>
      </c>
    </row>
    <row r="32" spans="1:5" x14ac:dyDescent="0.25">
      <c r="A32" t="s">
        <v>50</v>
      </c>
      <c r="B32" t="s">
        <v>44</v>
      </c>
    </row>
    <row r="33" spans="1:2" x14ac:dyDescent="0.25">
      <c r="A33" t="s">
        <v>51</v>
      </c>
      <c r="B33" t="s">
        <v>44</v>
      </c>
    </row>
    <row r="34" spans="1:2" x14ac:dyDescent="0.25">
      <c r="A34" t="s">
        <v>52</v>
      </c>
      <c r="B34" t="s">
        <v>44</v>
      </c>
    </row>
    <row r="35" spans="1:2" x14ac:dyDescent="0.25">
      <c r="A35" t="s">
        <v>53</v>
      </c>
      <c r="B35" t="s">
        <v>32</v>
      </c>
    </row>
    <row r="36" spans="1:2" x14ac:dyDescent="0.25">
      <c r="A36" t="s">
        <v>54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55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56</v>
      </c>
      <c r="B44" t="s">
        <v>32</v>
      </c>
    </row>
    <row r="45" spans="1:2" x14ac:dyDescent="0.25">
      <c r="A45" t="s">
        <v>57</v>
      </c>
      <c r="B45" t="s">
        <v>10</v>
      </c>
    </row>
    <row r="46" spans="1:2" x14ac:dyDescent="0.25">
      <c r="A46" t="s">
        <v>58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2026-07-02T00:45:46Z</dcterms:modified>
</cp:coreProperties>
</file>