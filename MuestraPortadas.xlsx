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B4E8EF5F-C66B-4223-B50E-BFE67E71F658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I2" i="1"/>
  <c r="J2" i="1"/>
</calcChain>
</file>

<file path=xl/sharedStrings.xml><?xml version="1.0" encoding="utf-8"?>
<sst xmlns="http://schemas.openxmlformats.org/spreadsheetml/2006/main" count="629" uniqueCount="201">
  <si>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</si>
  <si>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</si>
  <si>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</si>
  <si>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</si>
  <si>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</si>
  <si>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</si>
  <si>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</si>
  <si>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</si>
  <si>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</si>
  <si>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</si>
  <si>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</si>
  <si>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</si>
  <si>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</si>
  <si>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</si>
  <si>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</si>
  <si>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</si>
  <si>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</si>
  <si>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</si>
  <si>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</si>
  <si>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</si>
  <si>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</si>
  <si>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</si>
  <si>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</si>
  <si>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</si>
  <si>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</si>
  <si>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</si>
  <si>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</si>
  <si>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</si>
  <si>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</si>
  <si>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</si>
  <si>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</si>
  <si>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</si>
  <si>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</si>
  <si>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</si>
  <si>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</si>
  <si>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</si>
  <si>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</si>
  <si>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</si>
  <si>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</si>
  <si>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</si>
  <si>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</si>
  <si>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</si>
  <si>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</si>
  <si>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</si>
  <si>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</si>
  <si>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</si>
  <si>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</si>
  <si>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</si>
  <si>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</si>
  <si>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</si>
  <si>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</si>
  <si>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</si>
  <si>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</si>
  <si>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</si>
  <si>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</si>
  <si>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</si>
  <si>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</si>
  <si>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</si>
  <si>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</si>
  <si>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</si>
  <si>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</si>
  <si>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</si>
  <si>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</si>
  <si>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</si>
  <si>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</si>
  <si>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</si>
  <si>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</si>
  <si>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</si>
  <si>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</si>
  <si>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</si>
  <si>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</si>
  <si>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</si>
  <si>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</si>
  <si>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Zunoticia</t>
  </si>
  <si>
    <t>Criterio</t>
  </si>
  <si>
    <t>Effetá</t>
  </si>
  <si>
    <t>Editorial</t>
  </si>
  <si>
    <t>El Universal Hidalgo</t>
  </si>
  <si>
    <t>Síntesis</t>
  </si>
  <si>
    <t>Marfeca</t>
  </si>
  <si>
    <t>Plaza Juárez</t>
  </si>
  <si>
    <t>Temas varios</t>
  </si>
  <si>
    <t>Cintillo</t>
  </si>
  <si>
    <t>Pachuca Brilla</t>
  </si>
  <si>
    <t>Drones</t>
  </si>
  <si>
    <t>Publicidad</t>
  </si>
  <si>
    <t>Detención de policía</t>
  </si>
  <si>
    <t>Día del maestro</t>
  </si>
  <si>
    <t>Videovigilancia</t>
  </si>
  <si>
    <t>Conagua</t>
  </si>
  <si>
    <t>Campaña de reciclaje</t>
  </si>
  <si>
    <t>Gusano barrenador</t>
  </si>
  <si>
    <t>Elección Judicial</t>
  </si>
  <si>
    <t>Incidencia Delictiva</t>
  </si>
  <si>
    <t>Policía municipal</t>
  </si>
  <si>
    <t>Temas internacionales</t>
  </si>
  <si>
    <t>La Jornada Hidalgo</t>
  </si>
  <si>
    <t>Mundial De Futbol</t>
  </si>
  <si>
    <t>Índice de paz</t>
  </si>
  <si>
    <t>Gusano Descortezador</t>
  </si>
  <si>
    <t>Entrega de reconocimientos</t>
  </si>
  <si>
    <t>Combate a la delincuencia</t>
  </si>
  <si>
    <t>El Niño puede alterar el clima</t>
  </si>
  <si>
    <t>Otorgan Mina del Tiempo a músico hidalguense</t>
  </si>
  <si>
    <t>Cuadrilla salvaguarda panales de abejas</t>
  </si>
  <si>
    <t>Conservación de especies</t>
  </si>
  <si>
    <t>Exponen contaminación por residuos</t>
  </si>
  <si>
    <t>Disposición de residuos</t>
  </si>
  <si>
    <t>Dan indicaciones para prevenir deshidratación</t>
  </si>
  <si>
    <t>Golpe de calor</t>
  </si>
  <si>
    <t>JMS, en contra de enterrar basura</t>
  </si>
  <si>
    <t>Morena Hidalgo respalda aplazar elección judicial a 2028 por sobrecarga</t>
  </si>
  <si>
    <t>Cuidan a los Frailes</t>
  </si>
  <si>
    <t>Prevención de incendios</t>
  </si>
  <si>
    <t>El gobernador Menchaca dijo que la planta Cruz Azul reiniciará operaciones en el tercer trimestre de 2026</t>
  </si>
  <si>
    <t>Cruz Azul</t>
  </si>
  <si>
    <t>Preocupa término de obra en Endhó</t>
  </si>
  <si>
    <t>Cedspi</t>
  </si>
  <si>
    <t>Presa Endhó</t>
  </si>
  <si>
    <t>TUZAS QUIEREN  HACER HISTORIA</t>
  </si>
  <si>
    <t>AGARRÓN ENTRE  LAS CAMPEONAS</t>
  </si>
  <si>
    <t>POR HOMICIDIOS Y  LESIONES, SUMARON  CASI 100 DENUNCIAS</t>
  </si>
  <si>
    <t>Reportaron 12 mujeres sin vida de enero a abril en la entidad</t>
  </si>
  <si>
    <t>Personas desaparecidas</t>
  </si>
  <si>
    <t>Canasta básica cuesta $1,140 esta semana</t>
  </si>
  <si>
    <t>Canasta básica</t>
  </si>
  <si>
    <t>Morena Hidalgo avala aplazar la elección judicial</t>
  </si>
  <si>
    <t>Descartan casos de barrenador en programa de salud</t>
  </si>
  <si>
    <t>Índice de Paz ubica a Hidalgo entre los estados más seguros</t>
  </si>
  <si>
    <t>Delitos investigados están debajo de la media nacional</t>
  </si>
  <si>
    <t>Serán sometidos a juicio 9 policías por homicidio</t>
  </si>
  <si>
    <t>Desmantelan centro de operaciones criminales</t>
  </si>
  <si>
    <t>No habrá municipio sin obra pública, dice Menchaca</t>
  </si>
  <si>
    <t>Ruta de la Transformación</t>
  </si>
  <si>
    <t>Repuntan los usuarios del Tuzobús en Marzo: Inegi</t>
  </si>
  <si>
    <t>Sitmah</t>
  </si>
  <si>
    <t>Afluencia Tuzobús</t>
  </si>
  <si>
    <t>Retiran mercancía de las calles de Tulancingo</t>
  </si>
  <si>
    <t>Decomiso de piratería</t>
  </si>
  <si>
    <t>Reciclan en la región más de 8 millones de botellas de PET</t>
  </si>
  <si>
    <t>Ensamblará GM en México 80 mil autos que armaba en plantas chinas</t>
  </si>
  <si>
    <t>Plan México</t>
  </si>
  <si>
    <t>Con Trump, la migra suma un delito a diario</t>
  </si>
  <si>
    <t>Cercanos a Osorio Chong malversan 65 millones de dólares</t>
  </si>
  <si>
    <t>Inhabilitación de funcionario</t>
  </si>
  <si>
    <t>Habrá más revisiones a policías municipales, advierte gobernador</t>
  </si>
  <si>
    <t>CSP critica falta de reciprocidad de EU en casos de extradición</t>
  </si>
  <si>
    <t>Convierten terreno en Zempoala en basurero clandestino</t>
  </si>
  <si>
    <t>Basurero Clandestino</t>
  </si>
  <si>
    <t>La perspectiva de género, el interés superior de la niñez y la adolescencia y el enfoque  interseccional son herramientas necesarias e importantes para lograr una verdadera  justicia. Muchas de nuestras leyes (…) replican prejuicios, mandatos y estereotipos que  no coinciden con el momento social y político en que nos encontramos”.</t>
  </si>
  <si>
    <t>Posiciona Índice de Paz a Hidalgo entre las entidades más seguras de México</t>
  </si>
  <si>
    <t>Menchaca anuncia obras en  Mixquiahuala y Tezontepec;  garantiza infraestructura en los  84 municipios</t>
  </si>
  <si>
    <t>Retiran 23 mil árboles en El Chico por gusano descortezador</t>
  </si>
  <si>
    <t>Proyectan paneles solares y reciclaje de agua para nuevo salón de plenos</t>
  </si>
  <si>
    <t>Salón De Plenos</t>
  </si>
  <si>
    <t>Lluvias intensas, calor y viento afectarán al norte de Hidalgo</t>
  </si>
  <si>
    <t>PC</t>
  </si>
  <si>
    <t>Alerta Meteorológica</t>
  </si>
  <si>
    <t>En espera que Atlapexco y Jaltocán designen terrenos para rellenos sanitaros</t>
  </si>
  <si>
    <t>Relleno Sanitario</t>
  </si>
  <si>
    <t>Hidalgo se consolida en el top 10 de las entidades más pacíficas de México</t>
  </si>
  <si>
    <t>Conagua impulsa obra de agua potable en Xochiatipan</t>
  </si>
  <si>
    <t>Plan Hídrico</t>
  </si>
  <si>
    <t>Secretaría de Salud lanza concurso de carteles sobre gusano barrenador</t>
  </si>
  <si>
    <t>Imparte curso de Educación vial a alumnos de primaria</t>
  </si>
  <si>
    <t>Educación vial</t>
  </si>
  <si>
    <t>Inhabilitan por 15 años a exsecretario de Seguridad de Miguel Osorio</t>
  </si>
  <si>
    <t>Asegura Julio Menchaca: "La garantía es, con este gobierno, obra en los 84 municipios"</t>
  </si>
  <si>
    <t>Desmantelan centro criminal en Tepetitlán</t>
  </si>
  <si>
    <t>Siembran"" y queman cadáver</t>
  </si>
  <si>
    <t>Localización de cuerpo</t>
  </si>
  <si>
    <t>Gobierno de Hidalgo busca alternativas ante crisis por rellenos sanitarios</t>
  </si>
  <si>
    <t>Disposición de basura</t>
  </si>
  <si>
    <t>inforam</t>
  </si>
  <si>
    <t>Vinculan a proceso a nueve policías de Progreso .por homicidio y lesiones</t>
  </si>
  <si>
    <t>EI docufilm Azul Oscuro, Azul celeste llega a las salas de Cinemex</t>
  </si>
  <si>
    <t>Más obras llegan a Tezontepec de Aldama durante las Rutas de la Transformación</t>
  </si>
  <si>
    <t>Alejandro Alcántara llama a garantizar los derechos de la diversidad sexual y anuncia próximo Parlamento de la Diversidad en Hidalgo</t>
  </si>
  <si>
    <t>Diversidad sexogenérica</t>
  </si>
  <si>
    <t>Menchaca garantiza obra pública en los 84 municipios</t>
  </si>
  <si>
    <t>Sección 15 del SNTE celebra con éxito el ""Día de la Mestra y el Maestro"" en Tulancingo</t>
  </si>
  <si>
    <t>Tras accidente trasladan a joven vía aérea a Hospital -General de Pachuca</t>
  </si>
  <si>
    <t>Puente aéreo</t>
  </si>
  <si>
    <t>Cemento Cruz Azul y el Club de Futbol Cruz Azul reciben nuevamente el distintivo ESR</t>
  </si>
  <si>
    <t>IHE FORTALECE ESPACIOS ESCOLARES EN ACTOPAN</t>
  </si>
  <si>
    <t>IHE</t>
  </si>
  <si>
    <t>Entrega De Equipo Escolar</t>
  </si>
  <si>
    <t>OBRA EN LOS 84 MUNI IPIOS, GARANTÍA DE LA ADMINISTRACIÓN DE JULIO MENCHACA</t>
  </si>
  <si>
    <t>CONVOCAN A PARTICIPAR EN PACHUCA CREATIVA, EN ELJARDÍN DEL ARTE</t>
  </si>
  <si>
    <t>Festival Cultural</t>
  </si>
  <si>
    <t>HIDALGO SE CONSOLIDA EN ELI TOP 10 DE LAS ENTIDADES MÁS PACÍFICAS DE MÉXICO: ÍNDICE DE PAZ 2026</t>
  </si>
  <si>
    <t>Comienzan finales de la Concacaf W</t>
  </si>
  <si>
    <t>Refrendo vehicular</t>
  </si>
  <si>
    <t>Refrendo Vehicular</t>
  </si>
  <si>
    <t>Hidalgo está en el top 10 de estados más pacíficos de México</t>
  </si>
  <si>
    <t>Reportan hallazgo de hombre muerto, desnudo y semicalcinado</t>
  </si>
  <si>
    <t>Vale más prevenir que lamentar, por lo que se esperan operativos exhaustivos de seguridad durante el Mundial en Ciudad I de México, Monterrey y Guadalajara, donde se realizarán los partidos del certarnen en nuestro país. ..</t>
  </si>
  <si>
    <t>Acusan tráfico de influencias en el tema de tauromaquia</t>
  </si>
  <si>
    <t>Tauromaquia</t>
  </si>
  <si>
    <t>México frena polémico megaproyecto turístico ""Perfect Day""</t>
  </si>
  <si>
    <t>Medio ambiente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</si>
</sst>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8" totalsRowShown="0" headerRowDxfId="5" headerRowBorderDxfId="4">
  <autoFilter ref="A1:J68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8"/>
  <sheetViews>
    <sheetView tabSelected="1" workbookViewId="0">
      <selection activeCell="A3" sqref="A3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25">
      <c r="A2" s="5">
        <v>46162</v>
      </c>
      <c r="B2" t="s">
        <v>69</v>
      </c>
      <c r="C2" s="6" t="s">
        <v>102</v>
      </c>
      <c r="D2" t="s">
        <v>12</v>
      </c>
      <c r="E2" t="s">
        <v>10</v>
      </c>
      <c r="F2" t="s">
        <v>10</v>
      </c>
      <c r="G2" t="s">
        <v>81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46162</v>
      </c>
      <c r="B3" t="s">
        <v>69</v>
      </c>
      <c r="C3" s="6" t="s">
        <v>103</v>
      </c>
      <c r="D3" t="s">
        <v>12</v>
      </c>
      <c r="E3" t="s">
        <v>34</v>
      </c>
      <c r="F3" t="s">
        <v>34</v>
      </c>
      <c r="G3" t="s">
        <v>100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46162</v>
      </c>
      <c r="B4" t="s">
        <v>69</v>
      </c>
      <c r="C4" s="6" t="s">
        <v>104</v>
      </c>
      <c r="D4" t="s">
        <v>12</v>
      </c>
      <c r="E4" t="s">
        <v>10</v>
      </c>
      <c r="F4" t="s">
        <v>10</v>
      </c>
      <c r="G4" t="s">
        <v>105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46162</v>
      </c>
      <c r="B5" t="s">
        <v>69</v>
      </c>
      <c r="C5" s="6" t="s">
        <v>106</v>
      </c>
      <c r="D5" t="s">
        <v>9</v>
      </c>
      <c r="E5" t="s">
        <v>16</v>
      </c>
      <c r="F5" t="s">
        <v>16</v>
      </c>
      <c r="G5" t="s">
        <v>107</v>
      </c>
      <c r="H5" t="s">
        <v>72</v>
      </c>
      <c r="I5" t="str">
        <f>_xlfn.XLOOKUP(Tabla1[[#This Row],[Dependencia]],Tabla2[Dependencia],Tabla2[Clasificación],"No indexado")</f>
        <v>Alcaldías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46162</v>
      </c>
      <c r="B6" t="s">
        <v>69</v>
      </c>
      <c r="C6" s="6" t="s">
        <v>108</v>
      </c>
      <c r="D6" t="s">
        <v>12</v>
      </c>
      <c r="E6" t="s">
        <v>15</v>
      </c>
      <c r="F6" t="s">
        <v>15</v>
      </c>
      <c r="G6" t="s">
        <v>109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5">
        <v>46162</v>
      </c>
      <c r="B7" t="s">
        <v>69</v>
      </c>
      <c r="C7" s="6" t="s">
        <v>110</v>
      </c>
      <c r="D7" t="s">
        <v>13</v>
      </c>
      <c r="E7" t="s">
        <v>24</v>
      </c>
      <c r="F7" t="s">
        <v>24</v>
      </c>
      <c r="G7" t="s">
        <v>107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Gobernador</v>
      </c>
    </row>
    <row r="8" spans="1:10" ht="30" x14ac:dyDescent="0.25">
      <c r="A8" s="5">
        <v>46162</v>
      </c>
      <c r="B8" t="s">
        <v>77</v>
      </c>
      <c r="C8" s="6" t="s">
        <v>111</v>
      </c>
      <c r="D8" t="s">
        <v>13</v>
      </c>
      <c r="E8" t="s">
        <v>18</v>
      </c>
      <c r="F8" t="s">
        <v>18</v>
      </c>
      <c r="G8" t="s">
        <v>92</v>
      </c>
      <c r="H8" t="s">
        <v>11</v>
      </c>
      <c r="I8" t="str">
        <f>_xlfn.XLOOKUP(Tabla1[[#This Row],[Dependencia]],Tabla2[Dependencia],Tabla2[Clasificación],"No indexado")</f>
        <v>Partidos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46162</v>
      </c>
      <c r="B9" t="s">
        <v>77</v>
      </c>
      <c r="C9" s="6" t="s">
        <v>112</v>
      </c>
      <c r="D9" t="s">
        <v>9</v>
      </c>
      <c r="E9" t="s">
        <v>10</v>
      </c>
      <c r="F9" t="s">
        <v>10</v>
      </c>
      <c r="G9" t="s">
        <v>113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ht="30" x14ac:dyDescent="0.25">
      <c r="A10" s="5">
        <v>46162</v>
      </c>
      <c r="B10" t="s">
        <v>77</v>
      </c>
      <c r="C10" s="6" t="s">
        <v>114</v>
      </c>
      <c r="D10" t="s">
        <v>12</v>
      </c>
      <c r="E10" t="s">
        <v>24</v>
      </c>
      <c r="F10" t="s">
        <v>24</v>
      </c>
      <c r="G10" t="s">
        <v>115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25">
      <c r="A11" s="5">
        <v>46162</v>
      </c>
      <c r="B11" t="s">
        <v>77</v>
      </c>
      <c r="C11" s="6" t="s">
        <v>116</v>
      </c>
      <c r="D11" t="s">
        <v>12</v>
      </c>
      <c r="E11" t="s">
        <v>48</v>
      </c>
      <c r="F11" t="s">
        <v>117</v>
      </c>
      <c r="G11" t="s">
        <v>118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5">
        <v>46162</v>
      </c>
      <c r="B12" t="s">
        <v>74</v>
      </c>
      <c r="C12" s="6" t="s">
        <v>119</v>
      </c>
      <c r="D12" t="s">
        <v>12</v>
      </c>
      <c r="E12" t="s">
        <v>10</v>
      </c>
      <c r="F12" t="s">
        <v>10</v>
      </c>
      <c r="G12" t="s">
        <v>71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46162</v>
      </c>
      <c r="B13" t="s">
        <v>74</v>
      </c>
      <c r="C13" s="6" t="s">
        <v>120</v>
      </c>
      <c r="D13" t="s">
        <v>12</v>
      </c>
      <c r="E13" t="s">
        <v>10</v>
      </c>
      <c r="F13" t="s">
        <v>10</v>
      </c>
      <c r="G13" t="s">
        <v>71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ht="30" x14ac:dyDescent="0.25">
      <c r="A14" s="5">
        <v>46162</v>
      </c>
      <c r="B14" t="s">
        <v>74</v>
      </c>
      <c r="C14" s="6" t="s">
        <v>121</v>
      </c>
      <c r="D14" t="s">
        <v>13</v>
      </c>
      <c r="E14" t="s">
        <v>17</v>
      </c>
      <c r="F14" t="s">
        <v>17</v>
      </c>
      <c r="G14" t="s">
        <v>93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ht="30" x14ac:dyDescent="0.25">
      <c r="A15" s="5">
        <v>46162</v>
      </c>
      <c r="B15" t="s">
        <v>74</v>
      </c>
      <c r="C15" s="6" t="s">
        <v>122</v>
      </c>
      <c r="D15" t="s">
        <v>12</v>
      </c>
      <c r="E15" t="s">
        <v>17</v>
      </c>
      <c r="F15" t="s">
        <v>17</v>
      </c>
      <c r="G15" t="s">
        <v>123</v>
      </c>
      <c r="H15" t="s">
        <v>72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5">
        <v>46162</v>
      </c>
      <c r="B16" t="s">
        <v>74</v>
      </c>
      <c r="C16" s="6" t="s">
        <v>124</v>
      </c>
      <c r="D16" t="s">
        <v>9</v>
      </c>
      <c r="E16" t="s">
        <v>10</v>
      </c>
      <c r="F16" t="s">
        <v>10</v>
      </c>
      <c r="G16" t="s">
        <v>125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5">
        <v>46162</v>
      </c>
      <c r="B17" t="s">
        <v>74</v>
      </c>
      <c r="C17" s="6" t="s">
        <v>126</v>
      </c>
      <c r="D17" t="s">
        <v>12</v>
      </c>
      <c r="E17" t="s">
        <v>18</v>
      </c>
      <c r="F17" t="s">
        <v>18</v>
      </c>
      <c r="G17" t="s">
        <v>92</v>
      </c>
      <c r="H17" t="s">
        <v>11</v>
      </c>
      <c r="I17" t="str">
        <f>_xlfn.XLOOKUP(Tabla1[[#This Row],[Dependencia]],Tabla2[Dependencia],Tabla2[Clasificación],"No indexado")</f>
        <v>Partidos</v>
      </c>
      <c r="J17" t="str">
        <f>_xlfn.XLOOKUP(Tabla1[[#This Row],[Dependencia]],Tabla3[Dependencia],Tabla3[Nivel],"otros",0)</f>
        <v>otros</v>
      </c>
    </row>
    <row r="18" spans="1:10" x14ac:dyDescent="0.25">
      <c r="A18" s="5">
        <v>46162</v>
      </c>
      <c r="B18" t="s">
        <v>74</v>
      </c>
      <c r="C18" s="6" t="s">
        <v>127</v>
      </c>
      <c r="D18" t="s">
        <v>12</v>
      </c>
      <c r="E18" t="s">
        <v>25</v>
      </c>
      <c r="F18" t="s">
        <v>25</v>
      </c>
      <c r="G18" t="s">
        <v>91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5">
        <v>46162</v>
      </c>
      <c r="B19" t="s">
        <v>68</v>
      </c>
      <c r="C19" s="6" t="s">
        <v>128</v>
      </c>
      <c r="D19" t="s">
        <v>13</v>
      </c>
      <c r="E19" t="s">
        <v>22</v>
      </c>
      <c r="F19" t="s">
        <v>22</v>
      </c>
      <c r="G19" t="s">
        <v>98</v>
      </c>
      <c r="H19" t="s">
        <v>70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25">
      <c r="A20" s="5">
        <v>46162</v>
      </c>
      <c r="B20" t="s">
        <v>68</v>
      </c>
      <c r="C20" s="6" t="s">
        <v>129</v>
      </c>
      <c r="D20" t="s">
        <v>12</v>
      </c>
      <c r="E20" t="s">
        <v>17</v>
      </c>
      <c r="F20" t="s">
        <v>17</v>
      </c>
      <c r="G20" t="s">
        <v>93</v>
      </c>
      <c r="H20" t="s">
        <v>70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5">
        <v>46162</v>
      </c>
      <c r="B21" t="s">
        <v>68</v>
      </c>
      <c r="C21" s="6" t="s">
        <v>130</v>
      </c>
      <c r="D21" t="s">
        <v>12</v>
      </c>
      <c r="E21" t="s">
        <v>59</v>
      </c>
      <c r="F21" t="s">
        <v>59</v>
      </c>
      <c r="G21" t="s">
        <v>86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46162</v>
      </c>
      <c r="B22" t="s">
        <v>68</v>
      </c>
      <c r="C22" s="6" t="s">
        <v>131</v>
      </c>
      <c r="D22" t="s">
        <v>12</v>
      </c>
      <c r="E22" t="s">
        <v>22</v>
      </c>
      <c r="F22" t="s">
        <v>22</v>
      </c>
      <c r="G22" t="s">
        <v>101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5">
        <v>46162</v>
      </c>
      <c r="B23" t="s">
        <v>68</v>
      </c>
      <c r="C23" s="6" t="s">
        <v>132</v>
      </c>
      <c r="D23" t="s">
        <v>9</v>
      </c>
      <c r="E23" t="s">
        <v>24</v>
      </c>
      <c r="F23" t="s">
        <v>24</v>
      </c>
      <c r="G23" t="s">
        <v>133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Gobernador</v>
      </c>
    </row>
    <row r="24" spans="1:10" x14ac:dyDescent="0.25">
      <c r="A24" s="5">
        <v>46162</v>
      </c>
      <c r="B24" t="s">
        <v>68</v>
      </c>
      <c r="C24" s="6" t="s">
        <v>134</v>
      </c>
      <c r="D24" t="s">
        <v>12</v>
      </c>
      <c r="E24" t="s">
        <v>27</v>
      </c>
      <c r="F24" t="s">
        <v>135</v>
      </c>
      <c r="G24" t="s">
        <v>136</v>
      </c>
      <c r="H24" t="s">
        <v>70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5">
        <v>46162</v>
      </c>
      <c r="B25" t="s">
        <v>68</v>
      </c>
      <c r="C25" s="6" t="s">
        <v>137</v>
      </c>
      <c r="D25" t="s">
        <v>12</v>
      </c>
      <c r="E25" t="s">
        <v>16</v>
      </c>
      <c r="F25" t="s">
        <v>16</v>
      </c>
      <c r="G25" t="s">
        <v>138</v>
      </c>
      <c r="H25" t="s">
        <v>11</v>
      </c>
      <c r="I25" t="str">
        <f>_xlfn.XLOOKUP(Tabla1[[#This Row],[Dependencia]],Tabla2[Dependencia],Tabla2[Clasificación],"No indexado")</f>
        <v>Alcaldías</v>
      </c>
      <c r="J25" t="str">
        <f>_xlfn.XLOOKUP(Tabla1[[#This Row],[Dependencia]],Tabla3[Dependencia],Tabla3[Nivel],"otros",0)</f>
        <v>otros</v>
      </c>
    </row>
    <row r="26" spans="1:10" ht="30" x14ac:dyDescent="0.25">
      <c r="A26" s="5">
        <v>46162</v>
      </c>
      <c r="B26" t="s">
        <v>68</v>
      </c>
      <c r="C26" s="6" t="s">
        <v>139</v>
      </c>
      <c r="D26" t="s">
        <v>12</v>
      </c>
      <c r="E26" t="s">
        <v>34</v>
      </c>
      <c r="F26" t="s">
        <v>34</v>
      </c>
      <c r="G26" t="s">
        <v>90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46162</v>
      </c>
      <c r="B27" t="s">
        <v>68</v>
      </c>
      <c r="C27" s="6" t="s">
        <v>140</v>
      </c>
      <c r="D27" t="s">
        <v>12</v>
      </c>
      <c r="E27" t="s">
        <v>14</v>
      </c>
      <c r="F27" t="s">
        <v>14</v>
      </c>
      <c r="G27" t="s">
        <v>141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25">
      <c r="A28" s="5">
        <v>46162</v>
      </c>
      <c r="B28" t="s">
        <v>68</v>
      </c>
      <c r="C28" s="6" t="s">
        <v>142</v>
      </c>
      <c r="D28" t="s">
        <v>12</v>
      </c>
      <c r="E28" t="s">
        <v>10</v>
      </c>
      <c r="F28" t="s">
        <v>10</v>
      </c>
      <c r="G28" t="s">
        <v>95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5">
        <v>46162</v>
      </c>
      <c r="B29" t="s">
        <v>96</v>
      </c>
      <c r="C29" s="6" t="s">
        <v>143</v>
      </c>
      <c r="D29" t="s">
        <v>12</v>
      </c>
      <c r="E29" t="s">
        <v>10</v>
      </c>
      <c r="F29" t="s">
        <v>10</v>
      </c>
      <c r="G29" t="s">
        <v>144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46162</v>
      </c>
      <c r="B30" t="s">
        <v>96</v>
      </c>
      <c r="C30" s="6" t="s">
        <v>145</v>
      </c>
      <c r="D30" t="s">
        <v>13</v>
      </c>
      <c r="E30" t="s">
        <v>24</v>
      </c>
      <c r="F30" t="s">
        <v>24</v>
      </c>
      <c r="G30" t="s">
        <v>86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Gobernador</v>
      </c>
    </row>
    <row r="31" spans="1:10" ht="30" x14ac:dyDescent="0.25">
      <c r="A31" s="5">
        <v>46162</v>
      </c>
      <c r="B31" t="s">
        <v>96</v>
      </c>
      <c r="C31" s="6" t="s">
        <v>146</v>
      </c>
      <c r="D31" t="s">
        <v>12</v>
      </c>
      <c r="E31" t="s">
        <v>14</v>
      </c>
      <c r="F31" t="s">
        <v>14</v>
      </c>
      <c r="G31" t="s">
        <v>95</v>
      </c>
      <c r="H31" t="s">
        <v>11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ht="30" x14ac:dyDescent="0.25">
      <c r="A32" s="5">
        <v>46162</v>
      </c>
      <c r="B32" t="s">
        <v>96</v>
      </c>
      <c r="C32" s="6" t="s">
        <v>147</v>
      </c>
      <c r="D32" t="s">
        <v>9</v>
      </c>
      <c r="E32" t="s">
        <v>16</v>
      </c>
      <c r="F32" t="s">
        <v>16</v>
      </c>
      <c r="G32" t="s">
        <v>148</v>
      </c>
      <c r="H32" t="s">
        <v>72</v>
      </c>
      <c r="I32" t="str">
        <f>_xlfn.XLOOKUP(Tabla1[[#This Row],[Dependencia]],Tabla2[Dependencia],Tabla2[Clasificación],"No indexado")</f>
        <v>Alcaldías</v>
      </c>
      <c r="J32" t="str">
        <f>_xlfn.XLOOKUP(Tabla1[[#This Row],[Dependencia]],Tabla3[Dependencia],Tabla3[Nivel],"otros",0)</f>
        <v>otros</v>
      </c>
    </row>
    <row r="33" spans="1:10" ht="105" x14ac:dyDescent="0.25">
      <c r="A33" s="5">
        <v>46162</v>
      </c>
      <c r="B33" t="s">
        <v>96</v>
      </c>
      <c r="C33" s="6" t="s">
        <v>149</v>
      </c>
      <c r="D33" t="s">
        <v>12</v>
      </c>
      <c r="E33" t="s">
        <v>10</v>
      </c>
      <c r="F33" t="s">
        <v>10</v>
      </c>
      <c r="G33" t="s">
        <v>81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46162</v>
      </c>
      <c r="B34" t="s">
        <v>78</v>
      </c>
      <c r="C34" s="6" t="s">
        <v>150</v>
      </c>
      <c r="D34" t="s">
        <v>13</v>
      </c>
      <c r="E34" t="s">
        <v>22</v>
      </c>
      <c r="F34" t="s">
        <v>22</v>
      </c>
      <c r="G34" t="s">
        <v>98</v>
      </c>
      <c r="H34" t="s">
        <v>70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45" x14ac:dyDescent="0.25">
      <c r="A35" s="5">
        <v>46162</v>
      </c>
      <c r="B35" t="s">
        <v>78</v>
      </c>
      <c r="C35" s="6" t="s">
        <v>151</v>
      </c>
      <c r="D35" t="s">
        <v>12</v>
      </c>
      <c r="E35" t="s">
        <v>24</v>
      </c>
      <c r="F35" t="s">
        <v>24</v>
      </c>
      <c r="G35" t="s">
        <v>133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Gobernador</v>
      </c>
    </row>
    <row r="36" spans="1:10" ht="30" x14ac:dyDescent="0.25">
      <c r="A36" s="5">
        <v>46162</v>
      </c>
      <c r="B36" t="s">
        <v>78</v>
      </c>
      <c r="C36" s="6" t="s">
        <v>152</v>
      </c>
      <c r="D36" t="s">
        <v>12</v>
      </c>
      <c r="E36" t="s">
        <v>20</v>
      </c>
      <c r="F36" t="s">
        <v>20</v>
      </c>
      <c r="G36" t="s">
        <v>99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5">
        <v>46162</v>
      </c>
      <c r="B37" t="s">
        <v>78</v>
      </c>
      <c r="C37" s="6" t="s">
        <v>153</v>
      </c>
      <c r="D37" t="s">
        <v>12</v>
      </c>
      <c r="E37" t="s">
        <v>34</v>
      </c>
      <c r="F37" t="s">
        <v>34</v>
      </c>
      <c r="G37" t="s">
        <v>154</v>
      </c>
      <c r="H37" t="s">
        <v>11</v>
      </c>
      <c r="I37" t="str">
        <f>_xlfn.XLOOKUP(Tabla1[[#This Row],[Dependencia]],Tabla2[Dependencia],Tabla2[Clasificación],"No indexado")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46162</v>
      </c>
      <c r="B38" t="s">
        <v>78</v>
      </c>
      <c r="C38" s="6" t="s">
        <v>155</v>
      </c>
      <c r="D38" t="s">
        <v>12</v>
      </c>
      <c r="E38" t="s">
        <v>23</v>
      </c>
      <c r="F38" t="s">
        <v>156</v>
      </c>
      <c r="G38" t="s">
        <v>157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5">
        <v>46162</v>
      </c>
      <c r="B39" t="s">
        <v>73</v>
      </c>
      <c r="C39" s="6" t="s">
        <v>158</v>
      </c>
      <c r="D39" t="s">
        <v>13</v>
      </c>
      <c r="E39" t="s">
        <v>20</v>
      </c>
      <c r="F39" t="s">
        <v>20</v>
      </c>
      <c r="G39" t="s">
        <v>159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5">
        <v>46162</v>
      </c>
      <c r="B40" t="s">
        <v>73</v>
      </c>
      <c r="C40" s="6" t="s">
        <v>160</v>
      </c>
      <c r="D40" t="s">
        <v>12</v>
      </c>
      <c r="E40" t="s">
        <v>22</v>
      </c>
      <c r="F40" t="s">
        <v>22</v>
      </c>
      <c r="G40" t="s">
        <v>98</v>
      </c>
      <c r="H40" t="s">
        <v>70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5">
        <v>46162</v>
      </c>
      <c r="B41" t="s">
        <v>73</v>
      </c>
      <c r="C41" s="6" t="s">
        <v>161</v>
      </c>
      <c r="D41" t="s">
        <v>12</v>
      </c>
      <c r="E41" t="s">
        <v>14</v>
      </c>
      <c r="F41" t="s">
        <v>89</v>
      </c>
      <c r="G41" t="s">
        <v>162</v>
      </c>
      <c r="H41" t="s">
        <v>11</v>
      </c>
      <c r="I41" t="str">
        <f>_xlfn.XLOOKUP(Tabla1[[#This Row],[Dependencia]],Tabla2[Dependencia],Tabla2[Clasificación],"No indexado")</f>
        <v>Presidencia de la República</v>
      </c>
      <c r="J41" t="str">
        <f>_xlfn.XLOOKUP(Tabla1[[#This Row],[Dependencia]],Tabla3[Dependencia],Tabla3[Nivel],"otros",0)</f>
        <v>otros</v>
      </c>
    </row>
    <row r="42" spans="1:10" ht="30" x14ac:dyDescent="0.25">
      <c r="A42" s="5">
        <v>46162</v>
      </c>
      <c r="B42" t="s">
        <v>73</v>
      </c>
      <c r="C42" s="6" t="s">
        <v>163</v>
      </c>
      <c r="D42" t="s">
        <v>12</v>
      </c>
      <c r="E42" t="s">
        <v>15</v>
      </c>
      <c r="F42" t="s">
        <v>15</v>
      </c>
      <c r="G42" t="s">
        <v>91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25">
      <c r="A43" s="5">
        <v>46162</v>
      </c>
      <c r="B43" t="s">
        <v>73</v>
      </c>
      <c r="C43" s="6" t="s">
        <v>164</v>
      </c>
      <c r="D43" t="s">
        <v>12</v>
      </c>
      <c r="E43" t="s">
        <v>16</v>
      </c>
      <c r="F43" t="s">
        <v>16</v>
      </c>
      <c r="G43" t="s">
        <v>165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ht="30" x14ac:dyDescent="0.25">
      <c r="A44" s="5">
        <v>46162</v>
      </c>
      <c r="B44" t="s">
        <v>75</v>
      </c>
      <c r="C44" s="6" t="s">
        <v>166</v>
      </c>
      <c r="D44" t="s">
        <v>13</v>
      </c>
      <c r="E44" t="s">
        <v>59</v>
      </c>
      <c r="F44" t="s">
        <v>59</v>
      </c>
      <c r="G44" t="s">
        <v>144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ht="30" x14ac:dyDescent="0.25">
      <c r="A45" s="5">
        <v>46162</v>
      </c>
      <c r="B45" t="s">
        <v>75</v>
      </c>
      <c r="C45" s="6" t="s">
        <v>167</v>
      </c>
      <c r="D45" t="s">
        <v>9</v>
      </c>
      <c r="E45" t="s">
        <v>24</v>
      </c>
      <c r="F45" t="s">
        <v>24</v>
      </c>
      <c r="G45" t="s">
        <v>133</v>
      </c>
      <c r="H45" t="s">
        <v>70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Gobernador</v>
      </c>
    </row>
    <row r="46" spans="1:10" x14ac:dyDescent="0.25">
      <c r="A46" s="5">
        <v>46162</v>
      </c>
      <c r="B46" t="s">
        <v>75</v>
      </c>
      <c r="C46" s="6" t="s">
        <v>168</v>
      </c>
      <c r="D46" t="s">
        <v>12</v>
      </c>
      <c r="E46" t="s">
        <v>22</v>
      </c>
      <c r="F46" t="s">
        <v>22</v>
      </c>
      <c r="G46" t="s">
        <v>101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5">
        <v>46162</v>
      </c>
      <c r="B47" t="s">
        <v>75</v>
      </c>
      <c r="C47" s="6" t="s">
        <v>169</v>
      </c>
      <c r="D47" t="s">
        <v>12</v>
      </c>
      <c r="E47" t="s">
        <v>16</v>
      </c>
      <c r="F47" t="s">
        <v>94</v>
      </c>
      <c r="G47" t="s">
        <v>170</v>
      </c>
      <c r="H47" t="s">
        <v>72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46162</v>
      </c>
      <c r="B48" t="s">
        <v>75</v>
      </c>
      <c r="C48" s="6" t="s">
        <v>171</v>
      </c>
      <c r="D48" t="s">
        <v>12</v>
      </c>
      <c r="E48" t="s">
        <v>20</v>
      </c>
      <c r="F48" t="s">
        <v>20</v>
      </c>
      <c r="G48" t="s">
        <v>172</v>
      </c>
      <c r="H48" t="s">
        <v>173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5">
        <v>46162</v>
      </c>
      <c r="B49" t="s">
        <v>75</v>
      </c>
      <c r="C49" s="6" t="s">
        <v>174</v>
      </c>
      <c r="D49" t="s">
        <v>12</v>
      </c>
      <c r="E49" t="s">
        <v>59</v>
      </c>
      <c r="F49" t="s">
        <v>59</v>
      </c>
      <c r="G49" t="s">
        <v>86</v>
      </c>
      <c r="H49" t="s">
        <v>11</v>
      </c>
      <c r="I49" t="str">
        <f>_xlfn.XLOOKUP(Tabla1[[#This Row],[Dependencia]],Tabla2[Dependencia],Tabla2[Clasificación],"No indexado")</f>
        <v>Otros</v>
      </c>
      <c r="J49" t="str">
        <f>_xlfn.XLOOKUP(Tabla1[[#This Row],[Dependencia]],Tabla3[Dependencia],Tabla3[Nivel],"otros",0)</f>
        <v>otros</v>
      </c>
    </row>
    <row r="50" spans="1:10" ht="30" x14ac:dyDescent="0.25">
      <c r="A50" s="5">
        <v>46162</v>
      </c>
      <c r="B50" t="s">
        <v>79</v>
      </c>
      <c r="C50" s="6" t="s">
        <v>175</v>
      </c>
      <c r="D50" t="s">
        <v>82</v>
      </c>
      <c r="E50" t="s">
        <v>10</v>
      </c>
      <c r="F50" t="s">
        <v>10</v>
      </c>
      <c r="G50" t="s">
        <v>115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46162</v>
      </c>
      <c r="B51" t="s">
        <v>79</v>
      </c>
      <c r="C51" s="6" t="s">
        <v>176</v>
      </c>
      <c r="D51" t="s">
        <v>12</v>
      </c>
      <c r="E51" t="s">
        <v>24</v>
      </c>
      <c r="F51" t="s">
        <v>24</v>
      </c>
      <c r="G51" t="s">
        <v>133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Gobernador</v>
      </c>
    </row>
    <row r="52" spans="1:10" ht="45" x14ac:dyDescent="0.25">
      <c r="A52" s="5">
        <v>46162</v>
      </c>
      <c r="B52" t="s">
        <v>79</v>
      </c>
      <c r="C52" s="6" t="s">
        <v>177</v>
      </c>
      <c r="D52" t="s">
        <v>12</v>
      </c>
      <c r="E52" t="s">
        <v>10</v>
      </c>
      <c r="F52" t="s">
        <v>10</v>
      </c>
      <c r="G52" t="s">
        <v>178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x14ac:dyDescent="0.25">
      <c r="A53" s="5">
        <v>46162</v>
      </c>
      <c r="B53" t="s">
        <v>79</v>
      </c>
      <c r="C53" s="6" t="s">
        <v>179</v>
      </c>
      <c r="D53" t="s">
        <v>13</v>
      </c>
      <c r="E53" t="s">
        <v>24</v>
      </c>
      <c r="F53" t="s">
        <v>24</v>
      </c>
      <c r="G53" t="s">
        <v>133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Gobernador</v>
      </c>
    </row>
    <row r="54" spans="1:10" ht="30" x14ac:dyDescent="0.25">
      <c r="A54" s="5">
        <v>46162</v>
      </c>
      <c r="B54" t="s">
        <v>79</v>
      </c>
      <c r="C54" s="6" t="s">
        <v>180</v>
      </c>
      <c r="D54" t="s">
        <v>12</v>
      </c>
      <c r="E54" t="s">
        <v>10</v>
      </c>
      <c r="F54" t="s">
        <v>10</v>
      </c>
      <c r="G54" t="s">
        <v>87</v>
      </c>
      <c r="H54" t="s">
        <v>11</v>
      </c>
      <c r="I54" t="str">
        <f>_xlfn.XLOOKUP(Tabla1[[#This Row],[Dependencia]],Tabla2[Dependencia],Tabla2[Clasificación],"No indexado")</f>
        <v>Otros</v>
      </c>
      <c r="J54" t="str">
        <f>_xlfn.XLOOKUP(Tabla1[[#This Row],[Dependencia]],Tabla3[Dependencia],Tabla3[Nivel],"otros",0)</f>
        <v>otros</v>
      </c>
    </row>
    <row r="55" spans="1:10" ht="30" x14ac:dyDescent="0.25">
      <c r="A55" s="5">
        <v>46162</v>
      </c>
      <c r="B55" t="s">
        <v>79</v>
      </c>
      <c r="C55" s="6" t="s">
        <v>181</v>
      </c>
      <c r="D55" t="s">
        <v>12</v>
      </c>
      <c r="E55" t="s">
        <v>36</v>
      </c>
      <c r="F55" t="s">
        <v>36</v>
      </c>
      <c r="G55" t="s">
        <v>182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5">
        <v>46162</v>
      </c>
      <c r="B56" t="s">
        <v>79</v>
      </c>
      <c r="C56" s="6" t="s">
        <v>183</v>
      </c>
      <c r="D56" t="s">
        <v>12</v>
      </c>
      <c r="E56" t="s">
        <v>10</v>
      </c>
      <c r="F56" t="s">
        <v>10</v>
      </c>
      <c r="G56" t="s">
        <v>115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  <row r="57" spans="1:10" x14ac:dyDescent="0.25">
      <c r="A57" s="5">
        <v>46162</v>
      </c>
      <c r="B57" t="s">
        <v>83</v>
      </c>
      <c r="C57" s="6" t="s">
        <v>184</v>
      </c>
      <c r="D57" t="s">
        <v>12</v>
      </c>
      <c r="E57" t="s">
        <v>26</v>
      </c>
      <c r="F57" t="s">
        <v>185</v>
      </c>
      <c r="G57" t="s">
        <v>186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5">
        <v>46162</v>
      </c>
      <c r="B58" t="s">
        <v>83</v>
      </c>
      <c r="C58" s="6" t="s">
        <v>187</v>
      </c>
      <c r="D58" t="s">
        <v>13</v>
      </c>
      <c r="E58" t="s">
        <v>24</v>
      </c>
      <c r="F58" t="s">
        <v>24</v>
      </c>
      <c r="G58" t="s">
        <v>133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Gobernador</v>
      </c>
    </row>
    <row r="59" spans="1:10" ht="30" x14ac:dyDescent="0.25">
      <c r="A59" s="5">
        <v>46162</v>
      </c>
      <c r="B59" t="s">
        <v>83</v>
      </c>
      <c r="C59" s="6" t="s">
        <v>188</v>
      </c>
      <c r="D59" t="s">
        <v>12</v>
      </c>
      <c r="E59" t="s">
        <v>16</v>
      </c>
      <c r="F59" t="s">
        <v>16</v>
      </c>
      <c r="G59" t="s">
        <v>189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ht="45" x14ac:dyDescent="0.25">
      <c r="A60" s="5">
        <v>46162</v>
      </c>
      <c r="B60" t="s">
        <v>83</v>
      </c>
      <c r="C60" s="6" t="s">
        <v>190</v>
      </c>
      <c r="D60" t="s">
        <v>12</v>
      </c>
      <c r="E60" t="s">
        <v>22</v>
      </c>
      <c r="F60" t="s">
        <v>22</v>
      </c>
      <c r="G60" t="s">
        <v>98</v>
      </c>
      <c r="H60" t="s">
        <v>70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5">
        <v>46162</v>
      </c>
      <c r="B61" t="s">
        <v>83</v>
      </c>
      <c r="C61" s="6" t="s">
        <v>191</v>
      </c>
      <c r="D61" t="s">
        <v>12</v>
      </c>
      <c r="E61" t="s">
        <v>10</v>
      </c>
      <c r="F61" t="s">
        <v>10</v>
      </c>
      <c r="G61" t="s">
        <v>71</v>
      </c>
      <c r="H61" t="s">
        <v>11</v>
      </c>
      <c r="I61" t="str">
        <f>_xlfn.XLOOKUP(Tabla1[[#This Row],[Dependencia]],Tabla2[Dependencia],Tabla2[Clasificación],"No indexado")</f>
        <v>Otros</v>
      </c>
      <c r="J61" t="str">
        <f>_xlfn.XLOOKUP(Tabla1[[#This Row],[Dependencia]],Tabla3[Dependencia],Tabla3[Nivel],"otros",0)</f>
        <v>otros</v>
      </c>
    </row>
    <row r="62" spans="1:10" x14ac:dyDescent="0.25">
      <c r="A62" s="5">
        <v>46162</v>
      </c>
      <c r="B62" t="s">
        <v>83</v>
      </c>
      <c r="C62" s="6" t="s">
        <v>192</v>
      </c>
      <c r="D62" t="s">
        <v>85</v>
      </c>
      <c r="E62" t="s">
        <v>40</v>
      </c>
      <c r="F62" t="s">
        <v>40</v>
      </c>
      <c r="G62" t="s">
        <v>193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5">
        <v>46162</v>
      </c>
      <c r="B63" t="s">
        <v>83</v>
      </c>
      <c r="C63" s="6" t="s">
        <v>84</v>
      </c>
      <c r="D63" t="s">
        <v>85</v>
      </c>
      <c r="E63" t="s">
        <v>16</v>
      </c>
      <c r="F63" t="s">
        <v>16</v>
      </c>
      <c r="G63" t="s">
        <v>88</v>
      </c>
      <c r="H63" t="s">
        <v>11</v>
      </c>
      <c r="I63" t="str">
        <f>_xlfn.XLOOKUP(Tabla1[[#This Row],[Dependencia]],Tabla2[Dependencia],Tabla2[Clasificación],"No indexado")</f>
        <v>Alcaldías</v>
      </c>
      <c r="J63" t="str">
        <f>_xlfn.XLOOKUP(Tabla1[[#This Row],[Dependencia]],Tabla3[Dependencia],Tabla3[Nivel],"otros",0)</f>
        <v>otros</v>
      </c>
    </row>
    <row r="64" spans="1:10" ht="30" x14ac:dyDescent="0.25">
      <c r="A64" s="5">
        <v>46162</v>
      </c>
      <c r="B64" t="s">
        <v>80</v>
      </c>
      <c r="C64" s="6" t="s">
        <v>194</v>
      </c>
      <c r="D64" t="s">
        <v>13</v>
      </c>
      <c r="E64" t="s">
        <v>22</v>
      </c>
      <c r="F64" t="s">
        <v>22</v>
      </c>
      <c r="G64" t="s">
        <v>98</v>
      </c>
      <c r="H64" t="s">
        <v>70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ht="30" x14ac:dyDescent="0.25">
      <c r="A65" s="5">
        <v>46162</v>
      </c>
      <c r="B65" t="s">
        <v>80</v>
      </c>
      <c r="C65" s="6" t="s">
        <v>195</v>
      </c>
      <c r="D65" t="s">
        <v>12</v>
      </c>
      <c r="E65" t="s">
        <v>22</v>
      </c>
      <c r="F65" t="s">
        <v>22</v>
      </c>
      <c r="G65" t="s">
        <v>170</v>
      </c>
      <c r="H65" t="s">
        <v>72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ht="75" x14ac:dyDescent="0.25">
      <c r="A66" s="5">
        <v>46162</v>
      </c>
      <c r="B66" t="s">
        <v>80</v>
      </c>
      <c r="C66" s="6" t="s">
        <v>196</v>
      </c>
      <c r="D66" t="s">
        <v>76</v>
      </c>
      <c r="E66" t="s">
        <v>14</v>
      </c>
      <c r="F66" t="s">
        <v>14</v>
      </c>
      <c r="G66" t="s">
        <v>97</v>
      </c>
      <c r="H66" t="s">
        <v>11</v>
      </c>
      <c r="I66" t="str">
        <f>_xlfn.XLOOKUP(Tabla1[[#This Row],[Dependencia]],Tabla2[Dependencia],Tabla2[Clasificación],"No indexado")</f>
        <v>Presidencia de la República</v>
      </c>
      <c r="J66" t="str">
        <f>_xlfn.XLOOKUP(Tabla1[[#This Row],[Dependencia]],Tabla3[Dependencia],Tabla3[Nivel],"otros",0)</f>
        <v>otros</v>
      </c>
    </row>
    <row r="67" spans="1:10" ht="30" x14ac:dyDescent="0.25">
      <c r="A67" s="5">
        <v>46162</v>
      </c>
      <c r="B67" t="s">
        <v>80</v>
      </c>
      <c r="C67" s="6" t="s">
        <v>197</v>
      </c>
      <c r="D67" t="s">
        <v>12</v>
      </c>
      <c r="E67" t="s">
        <v>34</v>
      </c>
      <c r="F67" t="s">
        <v>34</v>
      </c>
      <c r="G67" t="s">
        <v>198</v>
      </c>
      <c r="H67" t="s">
        <v>11</v>
      </c>
      <c r="I67" t="str">
        <f>_xlfn.XLOOKUP(Tabla1[[#This Row],[Dependencia]],Tabla2[Dependencia],Tabla2[Clasificación],"No indexado")</f>
        <v>Otros</v>
      </c>
      <c r="J67" t="str">
        <f>_xlfn.XLOOKUP(Tabla1[[#This Row],[Dependencia]],Tabla3[Dependencia],Tabla3[Nivel],"otros",0)</f>
        <v>otros</v>
      </c>
    </row>
    <row r="68" spans="1:10" ht="30" x14ac:dyDescent="0.25">
      <c r="A68" s="5">
        <v>46162</v>
      </c>
      <c r="B68" t="s">
        <v>80</v>
      </c>
      <c r="C68" s="6" t="s">
        <v>199</v>
      </c>
      <c r="D68" t="s">
        <v>12</v>
      </c>
      <c r="E68" t="s">
        <v>14</v>
      </c>
      <c r="F68" t="s">
        <v>200</v>
      </c>
      <c r="G68" t="s">
        <v>81</v>
      </c>
      <c r="H68" t="s">
        <v>11</v>
      </c>
      <c r="I68" t="str">
        <f>_xlfn.XLOOKUP(Tabla1[[#This Row],[Dependencia]],Tabla2[Dependencia],Tabla2[Clasificación],"No indexado")</f>
        <v>Presidencia de la República</v>
      </c>
      <c r="J6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66</v>
      </c>
    </row>
    <row r="2" spans="1:5" x14ac:dyDescent="0.25">
      <c r="A2" t="s">
        <v>62</v>
      </c>
      <c r="B2" t="s">
        <v>63</v>
      </c>
      <c r="D2" s="10" t="s">
        <v>19</v>
      </c>
      <c r="E2" t="s">
        <v>67</v>
      </c>
    </row>
    <row r="3" spans="1:5" x14ac:dyDescent="0.25">
      <c r="A3" t="s">
        <v>16</v>
      </c>
      <c r="B3" t="s">
        <v>31</v>
      </c>
      <c r="D3" s="9" t="s">
        <v>33</v>
      </c>
      <c r="E3" t="s">
        <v>67</v>
      </c>
    </row>
    <row r="4" spans="1:5" x14ac:dyDescent="0.25">
      <c r="A4" t="s">
        <v>19</v>
      </c>
      <c r="B4" t="s">
        <v>32</v>
      </c>
      <c r="D4" s="9" t="s">
        <v>35</v>
      </c>
      <c r="E4" t="s">
        <v>67</v>
      </c>
    </row>
    <row r="5" spans="1:5" x14ac:dyDescent="0.25">
      <c r="A5" t="s">
        <v>61</v>
      </c>
      <c r="B5" t="s">
        <v>10</v>
      </c>
      <c r="D5" s="10" t="s">
        <v>28</v>
      </c>
      <c r="E5" t="s">
        <v>67</v>
      </c>
    </row>
    <row r="6" spans="1:5" x14ac:dyDescent="0.25">
      <c r="A6" t="s">
        <v>33</v>
      </c>
      <c r="B6" t="s">
        <v>32</v>
      </c>
      <c r="D6" s="10" t="s">
        <v>36</v>
      </c>
      <c r="E6" t="s">
        <v>67</v>
      </c>
    </row>
    <row r="7" spans="1:5" x14ac:dyDescent="0.25">
      <c r="A7" t="s">
        <v>34</v>
      </c>
      <c r="B7" t="s">
        <v>10</v>
      </c>
      <c r="D7" s="9" t="s">
        <v>37</v>
      </c>
      <c r="E7" t="s">
        <v>67</v>
      </c>
    </row>
    <row r="8" spans="1:5" x14ac:dyDescent="0.25">
      <c r="A8" t="s">
        <v>35</v>
      </c>
      <c r="B8" t="s">
        <v>32</v>
      </c>
      <c r="D8" s="9" t="s">
        <v>37</v>
      </c>
      <c r="E8" t="s">
        <v>67</v>
      </c>
    </row>
    <row r="9" spans="1:5" x14ac:dyDescent="0.25">
      <c r="A9" t="s">
        <v>28</v>
      </c>
      <c r="B9" t="s">
        <v>32</v>
      </c>
      <c r="D9" s="9" t="s">
        <v>38</v>
      </c>
      <c r="E9" t="s">
        <v>67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2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2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2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2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2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2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2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2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2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2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2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2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2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2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2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48</v>
      </c>
      <c r="B29" t="s">
        <v>32</v>
      </c>
    </row>
    <row r="30" spans="1:5" x14ac:dyDescent="0.25">
      <c r="A30" t="s">
        <v>49</v>
      </c>
      <c r="B30" t="s">
        <v>45</v>
      </c>
    </row>
    <row r="31" spans="1:5" x14ac:dyDescent="0.25">
      <c r="A31" t="s">
        <v>14</v>
      </c>
      <c r="B31" t="s">
        <v>50</v>
      </c>
    </row>
    <row r="32" spans="1:5" x14ac:dyDescent="0.25">
      <c r="A32" t="s">
        <v>51</v>
      </c>
      <c r="B32" t="s">
        <v>45</v>
      </c>
    </row>
    <row r="33" spans="1:2" x14ac:dyDescent="0.25">
      <c r="A33" t="s">
        <v>52</v>
      </c>
      <c r="B33" t="s">
        <v>45</v>
      </c>
    </row>
    <row r="34" spans="1:2" x14ac:dyDescent="0.25">
      <c r="A34" t="s">
        <v>53</v>
      </c>
      <c r="B34" t="s">
        <v>45</v>
      </c>
    </row>
    <row r="35" spans="1:2" x14ac:dyDescent="0.25">
      <c r="A35" t="s">
        <v>54</v>
      </c>
      <c r="B35" t="s">
        <v>32</v>
      </c>
    </row>
    <row r="36" spans="1:2" x14ac:dyDescent="0.25">
      <c r="A36" t="s">
        <v>55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56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57</v>
      </c>
      <c r="B44" t="s">
        <v>32</v>
      </c>
    </row>
    <row r="45" spans="1:2" x14ac:dyDescent="0.25">
      <c r="A45" t="s">
        <v>58</v>
      </c>
      <c r="B45" t="s">
        <v>10</v>
      </c>
    </row>
    <row r="46" spans="1:2" x14ac:dyDescent="0.25">
      <c r="A46" t="s">
        <v>59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2026-05-21T01:31:08Z</dcterms:modified>
</cp:coreProperties>
</file>