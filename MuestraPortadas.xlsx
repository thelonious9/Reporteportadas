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92EE7BF-964F-4AD8-B1BB-46CE031C295A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<sst xmlns="http://schemas.openxmlformats.org/spreadsheetml/2006/main" count="545" uniqueCount="172">
  <si>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</si>
  <si>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</si>
  <si>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</si>
  <si>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</si>
  <si>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</si>
  <si>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</si>
  <si>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</si>
  <si>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</si>
  <si>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</si>
  <si>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</si>
  <si>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</si>
  <si>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</si>
  <si>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</si>
  <si>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</si>
  <si>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</si>
  <si>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</si>
  <si>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</si>
  <si>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</si>
  <si>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</si>
  <si>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</si>
  <si>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</si>
  <si>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</si>
  <si>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</si>
  <si>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</si>
  <si>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</si>
  <si>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</si>
  <si>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</si>
  <si>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</si>
  <si>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</si>
  <si>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</si>
  <si>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</si>
  <si>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</si>
  <si>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</si>
  <si>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</si>
  <si>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</si>
  <si>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</si>
  <si>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</si>
  <si>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</si>
  <si>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</si>
  <si>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</si>
  <si>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</si>
  <si>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</si>
  <si>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</si>
  <si>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</si>
  <si>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</si>
  <si>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</si>
  <si>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</si>
  <si>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</si>
  <si>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</si>
  <si>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</si>
  <si>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</si>
  <si>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</si>
  <si>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</si>
  <si>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</si>
  <si>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</si>
  <si>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</si>
  <si>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</si>
  <si>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</si>
  <si>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</si>
  <si>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</si>
  <si>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</si>
  <si>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</si>
  <si>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</si>
  <si>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</si>
  <si>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</si>
  <si>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</si>
  <si>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</si>
  <si>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</si>
  <si>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</si>
  <si>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</si>
  <si>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</si>
  <si>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</si>
  <si>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Plaza Juárez</t>
  </si>
  <si>
    <t>El Sol de Hidalgo</t>
  </si>
  <si>
    <t>Effetá</t>
  </si>
  <si>
    <t>Positiva</t>
  </si>
  <si>
    <t>La Jornada Hidalgo</t>
  </si>
  <si>
    <t>Temas internacionales</t>
  </si>
  <si>
    <t>Deportes</t>
  </si>
  <si>
    <t>Gusano barrenador</t>
  </si>
  <si>
    <t>Presupuesto IEEH</t>
  </si>
  <si>
    <t>Relleno Sanitario</t>
  </si>
  <si>
    <t>Combate Al Huachicol</t>
  </si>
  <si>
    <t>Criterio</t>
  </si>
  <si>
    <t>Protección del menor</t>
  </si>
  <si>
    <t>Prevención De Embarazo Adolescente</t>
  </si>
  <si>
    <t>Editorial</t>
  </si>
  <si>
    <t>Avalan minuta de reforma en feminicidio</t>
  </si>
  <si>
    <t>Reforma De Ley</t>
  </si>
  <si>
    <t>A casi un mes del colapso, colocan puente</t>
  </si>
  <si>
    <t>Puentes Peatonales Dañados</t>
  </si>
  <si>
    <t>La Cruz Azul, posible solución para basura</t>
  </si>
  <si>
    <t>Preservan la memoria histórica y cultural</t>
  </si>
  <si>
    <t>Día del Libro</t>
  </si>
  <si>
    <t>Hidalgo asumirá costo de obras complementarias de reconstrucción</t>
  </si>
  <si>
    <t>Huracán Priscilla</t>
  </si>
  <si>
    <t>El mejor regalo: un libro</t>
  </si>
  <si>
    <t>Presidenta Sheinbaum visita Hidalgo</t>
  </si>
  <si>
    <t>Visita Sheinbaum</t>
  </si>
  <si>
    <t>Confirman multa de 1.4 mdp a Morena</t>
  </si>
  <si>
    <t>Multas Partidos</t>
  </si>
  <si>
    <t>Diputados respaldan combate al huachicol</t>
  </si>
  <si>
    <t>CHOQUE DIRECTO  POR SUBLIDERATO</t>
  </si>
  <si>
    <t>Aguinaga ve tres favoritas al título</t>
  </si>
  <si>
    <t>SE REGISTRAN DOS RECOMENDACIONES POR PARTE DE DH</t>
  </si>
  <si>
    <t>Queja CDHEH</t>
  </si>
  <si>
    <t>Crisis de basura y quemas agrestes, principales retos medioambientales</t>
  </si>
  <si>
    <t>Calidad del aire</t>
  </si>
  <si>
    <t>La presidenta prepara nueva visita a Hidalgo</t>
  </si>
  <si>
    <t>Talacha femenil: jugar también es sostenerse</t>
  </si>
  <si>
    <t>PRIORITARIO, RESCATAR PINTURAS DE CONVENTO</t>
  </si>
  <si>
    <t>Conservación del Patrimonio Cultural</t>
  </si>
  <si>
    <t>Procuradurías avanzan, pero sin recursos claros y con dudas</t>
  </si>
  <si>
    <t>Afina el estado la estrategia para disminuir casos de embarazo adolescente</t>
  </si>
  <si>
    <t>Coespo</t>
  </si>
  <si>
    <t>Buscan sanción contra los que alerten a criminales</t>
  </si>
  <si>
    <t>Iniciativa</t>
  </si>
  <si>
    <t>Sube aprobación a Sedena, SEmar y GN por El Mencho</t>
  </si>
  <si>
    <t>Combate a la delincuencia</t>
  </si>
  <si>
    <t>Migra, robots y drones acechan la copa Mundial</t>
  </si>
  <si>
    <t>Mundial De Futbol</t>
  </si>
  <si>
    <t>Capturan en Argentina a exmando de la marina implicado en huachicol</t>
  </si>
  <si>
    <t>Despiden a periodista víctima de Israel</t>
  </si>
  <si>
    <t>Ven retos entre falta de dinero y las elecciones concurrentes</t>
  </si>
  <si>
    <t>Celebran el Día Mundial del Libro con entrega de ejemplares</t>
  </si>
  <si>
    <t>Diputado priista propone blindar fiesta brava tras la iniciativa de prohibirla</t>
  </si>
  <si>
    <t>GLPRI</t>
  </si>
  <si>
    <t>Tauromaquia</t>
  </si>
  <si>
    <t>Presencia de agentes de la CIA causa conflicto interno</t>
  </si>
  <si>
    <t>Participan 3 empresas hidalguenses en el Tren México-Pachuca</t>
  </si>
  <si>
    <t>Tren AIFA</t>
  </si>
  <si>
    <t>Más grave todavía es que haya personajes que, escudados en Morena, han emprendido una acometida contra quienes realmente construyeron su historia en la lucha social y en favor de los más desposeídos y serían, en todo caso, los verdaderos representantes del proyecto</t>
  </si>
  <si>
    <t>Preceptos de Morena</t>
  </si>
  <si>
    <t>Negativa</t>
  </si>
  <si>
    <t>Realizará Claudia Sheinbaum gira en Hidalgo este fin de semana</t>
  </si>
  <si>
    <t>Tren Suburbano CDMX-AIFA-Pachuca será operado por el gobierno; se llamará Felipe Ángeles</t>
  </si>
  <si>
    <t>Avala Congreso estatal minuta  que ordena crear Ley General de  Feminicidio</t>
  </si>
  <si>
    <t>Asegura Saderh contención en 66% de casos de gusano barrenador</t>
  </si>
  <si>
    <t>Policías y militares resguardaron la ESGHAR por presunta amenaza</t>
  </si>
  <si>
    <t>Amenazas en escuela</t>
  </si>
  <si>
    <t>Con festejo, alcalde refrenda alianza con educadoras</t>
  </si>
  <si>
    <t>Refuerzan vigilancia epidemiológica y vacunación en Hidalgo</t>
  </si>
  <si>
    <t>Vigilancia Epidemiológica</t>
  </si>
  <si>
    <t>Realizan en Tepexititla el primer concurso de rondas tradicionales y pintura</t>
  </si>
  <si>
    <t>Evento Cultural</t>
  </si>
  <si>
    <t>Refuerzan atención médica con 747 acciones en San Agustín Tlaxiaca</t>
  </si>
  <si>
    <t>Promoción De La Salud</t>
  </si>
  <si>
    <t>Hidalgo: De intentar prohibir la tauromaquia a proponerla como patrimonio cultural</t>
  </si>
  <si>
    <t>Proponen 12 años de prisión por ""Halconeo""</t>
  </si>
  <si>
    <t>Buscará el Verde el 16% de votación de Hidalgo</t>
  </si>
  <si>
    <t>Elecciones</t>
  </si>
  <si>
    <t>Sheinbaum regresa a Hidalgo con agenda cargada</t>
  </si>
  <si>
    <t>Sin dinero, en riesgo las elecciones 2027 en Hidalgo</t>
  </si>
  <si>
    <t>Llega la 1a Feria Comunitaria del libro Tlaltepan Atotonilco de Tula</t>
  </si>
  <si>
    <t>Cintillo</t>
  </si>
  <si>
    <t>Feria Del Libro</t>
  </si>
  <si>
    <t>Realizan primera sesión del Comité Municipal de Salud Mental y Adicciones 2026 en Atotonilco de Tula</t>
  </si>
  <si>
    <t>Prevención De Adicciones</t>
  </si>
  <si>
    <t>Jornadas por la Paz atienden a ciudadanía de Francisco I. Madero</t>
  </si>
  <si>
    <t>Jornada por la paz</t>
  </si>
  <si>
    <t>Claudia Sandoval recorre El Tablón con trabajo cercano al pueblo</t>
  </si>
  <si>
    <t>Alcalde</t>
  </si>
  <si>
    <t>Exige Alcántara acciones ante desapariciones en Hidalgo; visibiliza caso de África Iveth, mujer trans, y llama a no olvidar a todas las personas desaparecidas</t>
  </si>
  <si>
    <t>Personas desaparecidas</t>
  </si>
  <si>
    <t>Por unanimidad, Cabildo respalda proyecto de obra pública</t>
  </si>
  <si>
    <t>Proponen a la fiesta brava como patrimonio intangible</t>
  </si>
  <si>
    <t>INE abre convocatoria para Consejeros Electorales</t>
  </si>
  <si>
    <t>Consejeros Electorales</t>
  </si>
  <si>
    <t>Avalan minuta para homologar sanciones por feminicidio</t>
  </si>
  <si>
    <t>Abren investigación a Ebrard por albergar a su hijo en embajada</t>
  </si>
  <si>
    <t>Investigación por corrupción</t>
  </si>
  <si>
    <t>Severo golpe se dio a los huachicoleros en Hidalgo; y todos esperamos que sigan los operativos por parte de la policía, porque además el huachicoleo es generador de violencia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</si>
</sst>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topLeftCell="A46" workbookViewId="0">
      <selection activeCell="A2" sqref="A2:A56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69</v>
      </c>
    </row>
    <row r="2" spans="1:10" x14ac:dyDescent="0.35">
      <c r="A2" s="5">
        <v>46136</v>
      </c>
      <c r="B2" t="s">
        <v>73</v>
      </c>
      <c r="C2" s="6" t="s">
        <v>87</v>
      </c>
      <c r="D2" t="s">
        <v>12</v>
      </c>
      <c r="E2" t="s">
        <v>34</v>
      </c>
      <c r="F2" t="s">
        <v>34</v>
      </c>
      <c r="G2" t="s">
        <v>88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46136</v>
      </c>
      <c r="B3" t="s">
        <v>73</v>
      </c>
      <c r="C3" s="6" t="s">
        <v>89</v>
      </c>
      <c r="D3" t="s">
        <v>9</v>
      </c>
      <c r="E3" t="s">
        <v>16</v>
      </c>
      <c r="F3" t="s">
        <v>16</v>
      </c>
      <c r="G3" t="s">
        <v>90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46136</v>
      </c>
      <c r="B4" t="s">
        <v>73</v>
      </c>
      <c r="C4" s="6" t="s">
        <v>91</v>
      </c>
      <c r="D4" t="s">
        <v>13</v>
      </c>
      <c r="E4" t="s">
        <v>48</v>
      </c>
      <c r="F4" t="s">
        <v>48</v>
      </c>
      <c r="G4" t="s">
        <v>81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5">
        <v>46136</v>
      </c>
      <c r="B5" t="s">
        <v>73</v>
      </c>
      <c r="C5" s="6" t="s">
        <v>92</v>
      </c>
      <c r="D5" t="s">
        <v>12</v>
      </c>
      <c r="E5" t="s">
        <v>28</v>
      </c>
      <c r="F5" t="s">
        <v>28</v>
      </c>
      <c r="G5" t="s">
        <v>93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ht="29" x14ac:dyDescent="0.35">
      <c r="A6" s="5">
        <v>46136</v>
      </c>
      <c r="B6" t="s">
        <v>67</v>
      </c>
      <c r="C6" s="6" t="s">
        <v>94</v>
      </c>
      <c r="D6" t="s">
        <v>13</v>
      </c>
      <c r="E6" t="s">
        <v>40</v>
      </c>
      <c r="F6" t="s">
        <v>40</v>
      </c>
      <c r="G6" t="s">
        <v>95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46136</v>
      </c>
      <c r="B7" t="s">
        <v>67</v>
      </c>
      <c r="C7" s="6" t="s">
        <v>96</v>
      </c>
      <c r="D7" t="s">
        <v>9</v>
      </c>
      <c r="E7" t="s">
        <v>60</v>
      </c>
      <c r="F7" t="s">
        <v>60</v>
      </c>
      <c r="G7" t="s">
        <v>93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46136</v>
      </c>
      <c r="B8" t="s">
        <v>67</v>
      </c>
      <c r="C8" s="6" t="s">
        <v>97</v>
      </c>
      <c r="D8" t="s">
        <v>12</v>
      </c>
      <c r="E8" t="s">
        <v>14</v>
      </c>
      <c r="F8" t="s">
        <v>14</v>
      </c>
      <c r="G8" t="s">
        <v>98</v>
      </c>
      <c r="H8" t="s">
        <v>11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46136</v>
      </c>
      <c r="B9" t="s">
        <v>67</v>
      </c>
      <c r="C9" s="6" t="s">
        <v>99</v>
      </c>
      <c r="D9" t="s">
        <v>12</v>
      </c>
      <c r="E9" t="s">
        <v>18</v>
      </c>
      <c r="F9" t="s">
        <v>18</v>
      </c>
      <c r="G9" t="s">
        <v>100</v>
      </c>
      <c r="H9" t="s">
        <v>11</v>
      </c>
      <c r="I9" t="str">
        <f>_xlfn.XLOOKUP(Tabla1[[#This Row],[Dependencia]],Tabla2[Dependencia],Tabla2[Clasificación],"No indexado")</f>
        <v>Partidos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46136</v>
      </c>
      <c r="B10" t="s">
        <v>67</v>
      </c>
      <c r="C10" s="6" t="s">
        <v>101</v>
      </c>
      <c r="D10" t="s">
        <v>12</v>
      </c>
      <c r="E10" t="s">
        <v>34</v>
      </c>
      <c r="F10" t="s">
        <v>34</v>
      </c>
      <c r="G10" t="s">
        <v>82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46136</v>
      </c>
      <c r="B11" t="s">
        <v>83</v>
      </c>
      <c r="C11" s="6" t="s">
        <v>102</v>
      </c>
      <c r="D11" t="s">
        <v>12</v>
      </c>
      <c r="E11" t="s">
        <v>10</v>
      </c>
      <c r="F11" t="s">
        <v>10</v>
      </c>
      <c r="G11" t="s">
        <v>78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46136</v>
      </c>
      <c r="B12" t="s">
        <v>83</v>
      </c>
      <c r="C12" s="6" t="s">
        <v>103</v>
      </c>
      <c r="D12" t="s">
        <v>12</v>
      </c>
      <c r="E12" t="s">
        <v>10</v>
      </c>
      <c r="F12" t="s">
        <v>10</v>
      </c>
      <c r="G12" t="s">
        <v>78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46136</v>
      </c>
      <c r="B13" t="s">
        <v>83</v>
      </c>
      <c r="C13" s="6" t="s">
        <v>104</v>
      </c>
      <c r="D13" t="s">
        <v>13</v>
      </c>
      <c r="E13" t="s">
        <v>15</v>
      </c>
      <c r="F13" t="s">
        <v>15</v>
      </c>
      <c r="G13" t="s">
        <v>105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29" x14ac:dyDescent="0.35">
      <c r="A14" s="5">
        <v>46136</v>
      </c>
      <c r="B14" t="s">
        <v>83</v>
      </c>
      <c r="C14" s="6" t="s">
        <v>106</v>
      </c>
      <c r="D14" t="s">
        <v>12</v>
      </c>
      <c r="E14" t="s">
        <v>20</v>
      </c>
      <c r="F14" t="s">
        <v>20</v>
      </c>
      <c r="G14" t="s">
        <v>107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46136</v>
      </c>
      <c r="B15" t="s">
        <v>83</v>
      </c>
      <c r="C15" s="6" t="s">
        <v>108</v>
      </c>
      <c r="D15" t="s">
        <v>12</v>
      </c>
      <c r="E15" t="s">
        <v>14</v>
      </c>
      <c r="F15" t="s">
        <v>14</v>
      </c>
      <c r="G15" t="s">
        <v>98</v>
      </c>
      <c r="H15" t="s">
        <v>11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46136</v>
      </c>
      <c r="B16" t="s">
        <v>83</v>
      </c>
      <c r="C16" s="6" t="s">
        <v>109</v>
      </c>
      <c r="D16" t="s">
        <v>9</v>
      </c>
      <c r="E16" t="s">
        <v>10</v>
      </c>
      <c r="F16" t="s">
        <v>10</v>
      </c>
      <c r="G16" t="s">
        <v>78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46136</v>
      </c>
      <c r="B17" t="s">
        <v>83</v>
      </c>
      <c r="C17" s="6" t="s">
        <v>110</v>
      </c>
      <c r="D17" t="s">
        <v>12</v>
      </c>
      <c r="E17" t="s">
        <v>10</v>
      </c>
      <c r="F17" t="s">
        <v>10</v>
      </c>
      <c r="G17" t="s">
        <v>111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46136</v>
      </c>
      <c r="B18" t="s">
        <v>71</v>
      </c>
      <c r="C18" s="6" t="s">
        <v>112</v>
      </c>
      <c r="D18" t="s">
        <v>13</v>
      </c>
      <c r="E18" t="s">
        <v>16</v>
      </c>
      <c r="F18" t="s">
        <v>16</v>
      </c>
      <c r="G18" t="s">
        <v>84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ht="29" x14ac:dyDescent="0.35">
      <c r="A19" s="5">
        <v>46136</v>
      </c>
      <c r="B19" t="s">
        <v>71</v>
      </c>
      <c r="C19" s="6" t="s">
        <v>113</v>
      </c>
      <c r="D19" t="s">
        <v>12</v>
      </c>
      <c r="E19" t="s">
        <v>23</v>
      </c>
      <c r="F19" t="s">
        <v>114</v>
      </c>
      <c r="G19" t="s">
        <v>85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46136</v>
      </c>
      <c r="B20" t="s">
        <v>71</v>
      </c>
      <c r="C20" s="6" t="s">
        <v>115</v>
      </c>
      <c r="D20" t="s">
        <v>12</v>
      </c>
      <c r="E20" t="s">
        <v>34</v>
      </c>
      <c r="F20" t="s">
        <v>34</v>
      </c>
      <c r="G20" t="s">
        <v>116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46136</v>
      </c>
      <c r="B21" t="s">
        <v>71</v>
      </c>
      <c r="C21" s="6" t="s">
        <v>117</v>
      </c>
      <c r="D21" t="s">
        <v>12</v>
      </c>
      <c r="E21" t="s">
        <v>14</v>
      </c>
      <c r="F21" t="s">
        <v>14</v>
      </c>
      <c r="G21" t="s">
        <v>118</v>
      </c>
      <c r="H21" t="s">
        <v>75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46136</v>
      </c>
      <c r="B22" t="s">
        <v>71</v>
      </c>
      <c r="C22" s="6" t="s">
        <v>119</v>
      </c>
      <c r="D22" t="s">
        <v>12</v>
      </c>
      <c r="E22" t="s">
        <v>10</v>
      </c>
      <c r="F22" t="s">
        <v>10</v>
      </c>
      <c r="G22" t="s">
        <v>120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ht="29" x14ac:dyDescent="0.35">
      <c r="A23" s="5">
        <v>46136</v>
      </c>
      <c r="B23" t="s">
        <v>71</v>
      </c>
      <c r="C23" s="6" t="s">
        <v>121</v>
      </c>
      <c r="D23" t="s">
        <v>12</v>
      </c>
      <c r="E23" t="s">
        <v>14</v>
      </c>
      <c r="F23" t="s">
        <v>14</v>
      </c>
      <c r="G23" t="s">
        <v>82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46136</v>
      </c>
      <c r="B24" t="s">
        <v>71</v>
      </c>
      <c r="C24" s="6" t="s">
        <v>122</v>
      </c>
      <c r="D24" t="s">
        <v>9</v>
      </c>
      <c r="E24" t="s">
        <v>10</v>
      </c>
      <c r="F24" t="s">
        <v>10</v>
      </c>
      <c r="G24" t="s">
        <v>66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46136</v>
      </c>
      <c r="B25" t="s">
        <v>71</v>
      </c>
      <c r="C25" s="6" t="s">
        <v>123</v>
      </c>
      <c r="D25" t="s">
        <v>12</v>
      </c>
      <c r="E25" t="s">
        <v>41</v>
      </c>
      <c r="F25" t="s">
        <v>41</v>
      </c>
      <c r="G25" t="s">
        <v>80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46136</v>
      </c>
      <c r="B26" t="s">
        <v>76</v>
      </c>
      <c r="C26" s="6" t="s">
        <v>124</v>
      </c>
      <c r="D26" t="s">
        <v>9</v>
      </c>
      <c r="E26" t="s">
        <v>28</v>
      </c>
      <c r="F26" t="s">
        <v>28</v>
      </c>
      <c r="G26" t="s">
        <v>93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29" x14ac:dyDescent="0.35">
      <c r="A27" s="5">
        <v>46136</v>
      </c>
      <c r="B27" t="s">
        <v>76</v>
      </c>
      <c r="C27" s="6" t="s">
        <v>125</v>
      </c>
      <c r="D27" t="s">
        <v>12</v>
      </c>
      <c r="E27" t="s">
        <v>34</v>
      </c>
      <c r="F27" t="s">
        <v>126</v>
      </c>
      <c r="G27" t="s">
        <v>127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46136</v>
      </c>
      <c r="B28" t="s">
        <v>76</v>
      </c>
      <c r="C28" s="6" t="s">
        <v>128</v>
      </c>
      <c r="D28" t="s">
        <v>12</v>
      </c>
      <c r="E28" t="s">
        <v>14</v>
      </c>
      <c r="F28" t="s">
        <v>14</v>
      </c>
      <c r="G28" t="s">
        <v>77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46136</v>
      </c>
      <c r="B29" t="s">
        <v>76</v>
      </c>
      <c r="C29" s="6" t="s">
        <v>129</v>
      </c>
      <c r="D29" t="s">
        <v>13</v>
      </c>
      <c r="E29" t="s">
        <v>14</v>
      </c>
      <c r="F29" t="s">
        <v>14</v>
      </c>
      <c r="G29" t="s">
        <v>130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72.5" x14ac:dyDescent="0.35">
      <c r="A30" s="5">
        <v>46136</v>
      </c>
      <c r="B30" t="s">
        <v>76</v>
      </c>
      <c r="C30" s="6" t="s">
        <v>131</v>
      </c>
      <c r="D30" t="s">
        <v>12</v>
      </c>
      <c r="E30" t="s">
        <v>18</v>
      </c>
      <c r="F30" t="s">
        <v>18</v>
      </c>
      <c r="G30" t="s">
        <v>132</v>
      </c>
      <c r="H30" t="s">
        <v>133</v>
      </c>
      <c r="I30" t="str">
        <f>_xlfn.XLOOKUP(Tabla1[[#This Row],[Dependencia]],Tabla2[Dependencia],Tabla2[Clasificación],"No indexado")</f>
        <v>Partidos</v>
      </c>
      <c r="J30" t="str">
        <f>_xlfn.XLOOKUP(Tabla1[[#This Row],[Dependencia]],Tabla3[Dependencia],Tabla3[Nivel],"otros",0)</f>
        <v>otros</v>
      </c>
    </row>
    <row r="31" spans="1:10" ht="29" x14ac:dyDescent="0.35">
      <c r="A31" s="5">
        <v>46136</v>
      </c>
      <c r="B31" t="s">
        <v>68</v>
      </c>
      <c r="C31" s="6" t="s">
        <v>134</v>
      </c>
      <c r="D31" t="s">
        <v>13</v>
      </c>
      <c r="E31" t="s">
        <v>14</v>
      </c>
      <c r="F31" t="s">
        <v>14</v>
      </c>
      <c r="G31" t="s">
        <v>98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29" x14ac:dyDescent="0.35">
      <c r="A32" s="5">
        <v>46136</v>
      </c>
      <c r="B32" t="s">
        <v>68</v>
      </c>
      <c r="C32" s="6" t="s">
        <v>135</v>
      </c>
      <c r="D32" t="s">
        <v>12</v>
      </c>
      <c r="E32" t="s">
        <v>14</v>
      </c>
      <c r="F32" t="s">
        <v>14</v>
      </c>
      <c r="G32" t="s">
        <v>130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46136</v>
      </c>
      <c r="B33" t="s">
        <v>68</v>
      </c>
      <c r="C33" s="6" t="s">
        <v>136</v>
      </c>
      <c r="D33" t="s">
        <v>12</v>
      </c>
      <c r="E33" t="s">
        <v>34</v>
      </c>
      <c r="F33" t="s">
        <v>34</v>
      </c>
      <c r="G33" t="s">
        <v>116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46136</v>
      </c>
      <c r="B34" t="s">
        <v>68</v>
      </c>
      <c r="C34" s="6" t="s">
        <v>137</v>
      </c>
      <c r="D34" t="s">
        <v>12</v>
      </c>
      <c r="E34" t="s">
        <v>54</v>
      </c>
      <c r="F34" t="s">
        <v>54</v>
      </c>
      <c r="G34" t="s">
        <v>79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46136</v>
      </c>
      <c r="B35" t="s">
        <v>68</v>
      </c>
      <c r="C35" s="6" t="s">
        <v>138</v>
      </c>
      <c r="D35" t="s">
        <v>13</v>
      </c>
      <c r="E35" t="s">
        <v>26</v>
      </c>
      <c r="F35" t="s">
        <v>26</v>
      </c>
      <c r="G35" t="s">
        <v>139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5">
        <v>46136</v>
      </c>
      <c r="B36" t="s">
        <v>68</v>
      </c>
      <c r="C36" s="6" t="s">
        <v>140</v>
      </c>
      <c r="D36" t="s">
        <v>12</v>
      </c>
      <c r="E36" t="s">
        <v>16</v>
      </c>
      <c r="F36" t="s">
        <v>16</v>
      </c>
      <c r="G36" t="s">
        <v>66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46136</v>
      </c>
      <c r="B37" t="s">
        <v>68</v>
      </c>
      <c r="C37" s="6" t="s">
        <v>141</v>
      </c>
      <c r="D37" t="s">
        <v>12</v>
      </c>
      <c r="E37" t="s">
        <v>15</v>
      </c>
      <c r="F37" t="s">
        <v>15</v>
      </c>
      <c r="G37" t="s">
        <v>142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46136</v>
      </c>
      <c r="B38" t="s">
        <v>68</v>
      </c>
      <c r="C38" s="6" t="s">
        <v>143</v>
      </c>
      <c r="D38" t="s">
        <v>12</v>
      </c>
      <c r="E38" t="s">
        <v>16</v>
      </c>
      <c r="F38" t="s">
        <v>16</v>
      </c>
      <c r="G38" t="s">
        <v>144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46136</v>
      </c>
      <c r="B39" t="s">
        <v>68</v>
      </c>
      <c r="C39" s="6" t="s">
        <v>145</v>
      </c>
      <c r="D39" t="s">
        <v>12</v>
      </c>
      <c r="E39" t="s">
        <v>15</v>
      </c>
      <c r="F39" t="s">
        <v>15</v>
      </c>
      <c r="G39" t="s">
        <v>146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46136</v>
      </c>
      <c r="B40" t="s">
        <v>74</v>
      </c>
      <c r="C40" s="6" t="s">
        <v>147</v>
      </c>
      <c r="D40" t="s">
        <v>13</v>
      </c>
      <c r="E40" t="s">
        <v>34</v>
      </c>
      <c r="F40" t="s">
        <v>126</v>
      </c>
      <c r="G40" t="s">
        <v>127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46136</v>
      </c>
      <c r="B41" t="s">
        <v>74</v>
      </c>
      <c r="C41" s="6" t="s">
        <v>148</v>
      </c>
      <c r="D41" t="s">
        <v>9</v>
      </c>
      <c r="E41" t="s">
        <v>34</v>
      </c>
      <c r="F41" t="s">
        <v>34</v>
      </c>
      <c r="G41" t="s">
        <v>116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46136</v>
      </c>
      <c r="B42" t="s">
        <v>74</v>
      </c>
      <c r="C42" s="6" t="s">
        <v>149</v>
      </c>
      <c r="D42" t="s">
        <v>12</v>
      </c>
      <c r="E42" t="s">
        <v>53</v>
      </c>
      <c r="F42" t="s">
        <v>53</v>
      </c>
      <c r="G42" t="s">
        <v>150</v>
      </c>
      <c r="H42" t="s">
        <v>11</v>
      </c>
      <c r="I42" t="str">
        <f>_xlfn.XLOOKUP(Tabla1[[#This Row],[Dependencia]],Tabla2[Dependencia],Tabla2[Clasificación],"No indexado")</f>
        <v>Partidos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46136</v>
      </c>
      <c r="B43" t="s">
        <v>74</v>
      </c>
      <c r="C43" s="6" t="s">
        <v>151</v>
      </c>
      <c r="D43" t="s">
        <v>12</v>
      </c>
      <c r="E43" t="s">
        <v>14</v>
      </c>
      <c r="F43" t="s">
        <v>14</v>
      </c>
      <c r="G43" t="s">
        <v>98</v>
      </c>
      <c r="H43" t="s">
        <v>11</v>
      </c>
      <c r="I43" t="str">
        <f>_xlfn.XLOOKUP(Tabla1[[#This Row],[Dependencia]],Tabla2[Dependencia],Tabla2[Clasificación],"No indexado")</f>
        <v>Presidencia de la República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46136</v>
      </c>
      <c r="B44" t="s">
        <v>74</v>
      </c>
      <c r="C44" s="6" t="s">
        <v>152</v>
      </c>
      <c r="D44" t="s">
        <v>12</v>
      </c>
      <c r="E44" t="s">
        <v>41</v>
      </c>
      <c r="F44" t="s">
        <v>41</v>
      </c>
      <c r="G44" t="s">
        <v>80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46136</v>
      </c>
      <c r="B45" t="s">
        <v>74</v>
      </c>
      <c r="C45" s="6" t="s">
        <v>153</v>
      </c>
      <c r="D45" t="s">
        <v>154</v>
      </c>
      <c r="E45" t="s">
        <v>16</v>
      </c>
      <c r="F45" t="s">
        <v>16</v>
      </c>
      <c r="G45" t="s">
        <v>155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29" x14ac:dyDescent="0.35">
      <c r="A46" s="5">
        <v>46136</v>
      </c>
      <c r="B46" t="s">
        <v>74</v>
      </c>
      <c r="C46" s="6" t="s">
        <v>156</v>
      </c>
      <c r="D46" t="s">
        <v>12</v>
      </c>
      <c r="E46" t="s">
        <v>16</v>
      </c>
      <c r="F46" t="s">
        <v>16</v>
      </c>
      <c r="G46" t="s">
        <v>157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29" x14ac:dyDescent="0.35">
      <c r="A47" s="5">
        <v>46136</v>
      </c>
      <c r="B47" t="s">
        <v>74</v>
      </c>
      <c r="C47" s="6" t="s">
        <v>158</v>
      </c>
      <c r="D47" t="s">
        <v>13</v>
      </c>
      <c r="E47" t="s">
        <v>23</v>
      </c>
      <c r="F47" t="s">
        <v>2</v>
      </c>
      <c r="G47" t="s">
        <v>159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5">
        <v>46136</v>
      </c>
      <c r="B48" t="s">
        <v>74</v>
      </c>
      <c r="C48" s="6" t="s">
        <v>160</v>
      </c>
      <c r="D48" t="s">
        <v>12</v>
      </c>
      <c r="E48" t="s">
        <v>16</v>
      </c>
      <c r="F48" t="s">
        <v>161</v>
      </c>
      <c r="G48" t="s">
        <v>66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43.5" x14ac:dyDescent="0.35">
      <c r="A49" s="5">
        <v>46136</v>
      </c>
      <c r="B49" t="s">
        <v>74</v>
      </c>
      <c r="C49" s="6" t="s">
        <v>162</v>
      </c>
      <c r="D49" t="s">
        <v>12</v>
      </c>
      <c r="E49" t="s">
        <v>16</v>
      </c>
      <c r="F49" t="s">
        <v>161</v>
      </c>
      <c r="G49" t="s">
        <v>163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x14ac:dyDescent="0.35">
      <c r="A50" s="5">
        <v>46136</v>
      </c>
      <c r="B50" t="s">
        <v>74</v>
      </c>
      <c r="C50" s="6" t="s">
        <v>164</v>
      </c>
      <c r="D50" t="s">
        <v>12</v>
      </c>
      <c r="E50" t="s">
        <v>16</v>
      </c>
      <c r="F50" t="s">
        <v>16</v>
      </c>
      <c r="G50" t="s">
        <v>66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46136</v>
      </c>
      <c r="B51" t="s">
        <v>72</v>
      </c>
      <c r="C51" s="6" t="s">
        <v>165</v>
      </c>
      <c r="D51" t="s">
        <v>13</v>
      </c>
      <c r="E51" t="s">
        <v>34</v>
      </c>
      <c r="F51" t="s">
        <v>34</v>
      </c>
      <c r="G51" t="s">
        <v>127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x14ac:dyDescent="0.35">
      <c r="A52" s="5">
        <v>46136</v>
      </c>
      <c r="B52" t="s">
        <v>72</v>
      </c>
      <c r="C52" s="6" t="s">
        <v>166</v>
      </c>
      <c r="D52" t="s">
        <v>12</v>
      </c>
      <c r="E52" t="s">
        <v>10</v>
      </c>
      <c r="F52" t="s">
        <v>10</v>
      </c>
      <c r="G52" t="s">
        <v>167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46136</v>
      </c>
      <c r="B53" t="s">
        <v>72</v>
      </c>
      <c r="C53" s="6" t="s">
        <v>168</v>
      </c>
      <c r="D53" t="s">
        <v>12</v>
      </c>
      <c r="E53" t="s">
        <v>34</v>
      </c>
      <c r="F53" t="s">
        <v>34</v>
      </c>
      <c r="G53" t="s">
        <v>116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46136</v>
      </c>
      <c r="B54" t="s">
        <v>72</v>
      </c>
      <c r="C54" s="6" t="s">
        <v>169</v>
      </c>
      <c r="D54" t="s">
        <v>12</v>
      </c>
      <c r="E54" t="s">
        <v>14</v>
      </c>
      <c r="F54" t="s">
        <v>14</v>
      </c>
      <c r="G54" t="s">
        <v>170</v>
      </c>
      <c r="H54" t="s">
        <v>133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ht="43.5" x14ac:dyDescent="0.35">
      <c r="A55" s="5">
        <v>46136</v>
      </c>
      <c r="B55" t="s">
        <v>72</v>
      </c>
      <c r="C55" s="6" t="s">
        <v>171</v>
      </c>
      <c r="D55" t="s">
        <v>86</v>
      </c>
      <c r="E55" t="s">
        <v>22</v>
      </c>
      <c r="F55" t="s">
        <v>22</v>
      </c>
      <c r="G55" t="s">
        <v>82</v>
      </c>
      <c r="H55" t="s">
        <v>75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46136</v>
      </c>
      <c r="B56" t="s">
        <v>72</v>
      </c>
      <c r="C56" s="6" t="s">
        <v>168</v>
      </c>
      <c r="D56" t="s">
        <v>12</v>
      </c>
      <c r="E56" t="s">
        <v>34</v>
      </c>
      <c r="F56" t="s">
        <v>34</v>
      </c>
      <c r="G56" t="s">
        <v>116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69</v>
      </c>
    </row>
    <row r="2" spans="1:5" x14ac:dyDescent="0.35">
      <c r="A2" t="s">
        <v>62</v>
      </c>
      <c r="B2" t="s">
        <v>63</v>
      </c>
      <c r="D2" s="10" t="s">
        <v>19</v>
      </c>
      <c r="E2" t="s">
        <v>70</v>
      </c>
    </row>
    <row r="3" spans="1:5" x14ac:dyDescent="0.35">
      <c r="A3" t="s">
        <v>16</v>
      </c>
      <c r="B3" t="s">
        <v>31</v>
      </c>
      <c r="D3" s="9" t="s">
        <v>33</v>
      </c>
      <c r="E3" t="s">
        <v>70</v>
      </c>
    </row>
    <row r="4" spans="1:5" x14ac:dyDescent="0.35">
      <c r="A4" t="s">
        <v>19</v>
      </c>
      <c r="B4" t="s">
        <v>32</v>
      </c>
      <c r="D4" s="9" t="s">
        <v>35</v>
      </c>
      <c r="E4" t="s">
        <v>70</v>
      </c>
    </row>
    <row r="5" spans="1:5" x14ac:dyDescent="0.35">
      <c r="A5" t="s">
        <v>61</v>
      </c>
      <c r="B5" t="s">
        <v>10</v>
      </c>
      <c r="D5" s="10" t="s">
        <v>28</v>
      </c>
      <c r="E5" t="s">
        <v>70</v>
      </c>
    </row>
    <row r="6" spans="1:5" x14ac:dyDescent="0.35">
      <c r="A6" t="s">
        <v>33</v>
      </c>
      <c r="B6" t="s">
        <v>32</v>
      </c>
      <c r="D6" s="10" t="s">
        <v>36</v>
      </c>
      <c r="E6" t="s">
        <v>70</v>
      </c>
    </row>
    <row r="7" spans="1:5" x14ac:dyDescent="0.35">
      <c r="A7" t="s">
        <v>34</v>
      </c>
      <c r="B7" t="s">
        <v>10</v>
      </c>
      <c r="D7" s="9" t="s">
        <v>37</v>
      </c>
      <c r="E7" t="s">
        <v>70</v>
      </c>
    </row>
    <row r="8" spans="1:5" x14ac:dyDescent="0.35">
      <c r="A8" t="s">
        <v>35</v>
      </c>
      <c r="B8" t="s">
        <v>32</v>
      </c>
      <c r="D8" s="9" t="s">
        <v>37</v>
      </c>
      <c r="E8" t="s">
        <v>70</v>
      </c>
    </row>
    <row r="9" spans="1:5" x14ac:dyDescent="0.35">
      <c r="A9" t="s">
        <v>28</v>
      </c>
      <c r="B9" t="s">
        <v>32</v>
      </c>
      <c r="D9" s="9" t="s">
        <v>38</v>
      </c>
      <c r="E9" t="s">
        <v>70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70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70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70</v>
      </c>
    </row>
    <row r="14" spans="1:5" x14ac:dyDescent="0.35">
      <c r="A14" t="s">
        <v>64</v>
      </c>
      <c r="B14" t="s">
        <v>45</v>
      </c>
      <c r="D14" s="9" t="s">
        <v>21</v>
      </c>
      <c r="E14" t="s">
        <v>70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70</v>
      </c>
    </row>
    <row r="16" spans="1:5" x14ac:dyDescent="0.35">
      <c r="A16" t="s">
        <v>24</v>
      </c>
      <c r="B16" t="s">
        <v>32</v>
      </c>
      <c r="D16" s="9" t="s">
        <v>48</v>
      </c>
      <c r="E16" t="s">
        <v>70</v>
      </c>
    </row>
    <row r="17" spans="1:5" x14ac:dyDescent="0.35">
      <c r="A17" t="s">
        <v>39</v>
      </c>
      <c r="B17" t="s">
        <v>32</v>
      </c>
      <c r="D17" s="9" t="s">
        <v>54</v>
      </c>
      <c r="E17" t="s">
        <v>70</v>
      </c>
    </row>
    <row r="18" spans="1:5" x14ac:dyDescent="0.35">
      <c r="A18" t="s">
        <v>40</v>
      </c>
      <c r="B18" t="s">
        <v>32</v>
      </c>
      <c r="D18" s="9" t="s">
        <v>55</v>
      </c>
      <c r="E18" t="s">
        <v>70</v>
      </c>
    </row>
    <row r="19" spans="1:5" x14ac:dyDescent="0.35">
      <c r="A19" t="s">
        <v>41</v>
      </c>
      <c r="B19" t="s">
        <v>10</v>
      </c>
      <c r="D19" s="9" t="s">
        <v>23</v>
      </c>
      <c r="E19" t="s">
        <v>70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70</v>
      </c>
    </row>
    <row r="21" spans="1:5" x14ac:dyDescent="0.35">
      <c r="A21" t="s">
        <v>44</v>
      </c>
      <c r="B21" t="s">
        <v>45</v>
      </c>
      <c r="D21" s="9" t="s">
        <v>27</v>
      </c>
      <c r="E21" t="s">
        <v>70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70</v>
      </c>
    </row>
    <row r="23" spans="1:5" x14ac:dyDescent="0.35">
      <c r="A23" t="s">
        <v>21</v>
      </c>
      <c r="B23" t="s">
        <v>32</v>
      </c>
      <c r="D23" s="9" t="s">
        <v>56</v>
      </c>
      <c r="E23" t="s">
        <v>70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70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70</v>
      </c>
    </row>
    <row r="26" spans="1:5" x14ac:dyDescent="0.35">
      <c r="A26" t="s">
        <v>47</v>
      </c>
      <c r="B26" t="s">
        <v>45</v>
      </c>
      <c r="D26" s="9" t="s">
        <v>57</v>
      </c>
      <c r="E26" t="s">
        <v>70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70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2026-04-24T18:44:18Z</dcterms:modified>
</cp:coreProperties>
</file>