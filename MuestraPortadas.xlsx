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Reporteportadas\"/>
    </mc:Choice>
  </mc:AlternateContent>
  <xr:revisionPtr revIDLastSave="0" documentId="13_ncr:1_{298209ED-7982-41C6-A957-EE4FB0DB6FB0}" xr6:coauthVersionLast="47" xr6:coauthVersionMax="47" xr10:uidLastSave="{00000000-0000-0000-0000-000000000000}"/>
  <bookViews>
    <workbookView xWindow="-120" yWindow="-120" windowWidth="29040" windowHeight="15720" activeTab="1" xr2:uid="{56C16FF2-DC5E-4EA2-A3CB-6D506676B8B8}"/>
  </bookViews>
  <sheets>
    <sheet name="Hoja3" sheetId="3" r:id="rId1"/>
    <sheet name="Hoja1" sheetId="1" r:id="rId2"/>
    <sheet name="Hoja2" sheetId="2" r:id="rId3"/>
  </sheets>
  <calcPr calcId="191029"/>
  <pivotCaches>
    <pivotCache cacheId="0"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1" l="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alcChain>
</file>

<file path=xl/sharedStrings.xml><?xml version="1.0" encoding="utf-8"?>
<sst xmlns="http://schemas.openxmlformats.org/spreadsheetml/2006/main" count="646" uniqueCount="181">
  <si>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</si>
  <si>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</si>
  <si>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</si>
  <si>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</si>
  <si>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</si>
  <si>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</si>
  <si>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</si>
  <si>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</si>
  <si>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</si>
  <si>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</si>
  <si>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</si>
  <si>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</si>
  <si>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</si>
  <si>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</si>
  <si>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</si>
  <si>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</si>
  <si>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Ayuntamiento</t>
  </si>
  <si>
    <t>PGJEH</t>
  </si>
  <si>
    <t>Morena</t>
  </si>
  <si>
    <t>Bienestar</t>
  </si>
  <si>
    <t>Semarnath</t>
  </si>
  <si>
    <t>Oficialía Mayor</t>
  </si>
  <si>
    <t>SSPH</t>
  </si>
  <si>
    <t>Segobh</t>
  </si>
  <si>
    <t>Gobernador</t>
  </si>
  <si>
    <t>Delegación</t>
  </si>
  <si>
    <t>SEPH</t>
  </si>
  <si>
    <t>Semot</t>
  </si>
  <si>
    <t>Cultura</t>
  </si>
  <si>
    <t>Turismo</t>
  </si>
  <si>
    <t>Clasificación</t>
  </si>
  <si>
    <t>Alcaldías</t>
  </si>
  <si>
    <t>Gobierno del estado</t>
  </si>
  <si>
    <t>Congreso</t>
  </si>
  <si>
    <t>Contraloría</t>
  </si>
  <si>
    <t>Despacho</t>
  </si>
  <si>
    <t>DIFH</t>
  </si>
  <si>
    <t>Gabinete de Seguridad</t>
  </si>
  <si>
    <t>Gobierno</t>
  </si>
  <si>
    <t>Hacienda</t>
  </si>
  <si>
    <t>IEEH</t>
  </si>
  <si>
    <t>Independiente</t>
  </si>
  <si>
    <t>Proceso electoral</t>
  </si>
  <si>
    <t>MC</t>
  </si>
  <si>
    <t>Partidos</t>
  </si>
  <si>
    <t>PAN</t>
  </si>
  <si>
    <t>Panalh</t>
  </si>
  <si>
    <t>Planeación</t>
  </si>
  <si>
    <t>PRD</t>
  </si>
  <si>
    <t>Presidencia de la República</t>
  </si>
  <si>
    <t>Pri</t>
  </si>
  <si>
    <t>PT</t>
  </si>
  <si>
    <t>PVEM</t>
  </si>
  <si>
    <t>Saderh</t>
  </si>
  <si>
    <t>Sedeco</t>
  </si>
  <si>
    <t>SIPDUS</t>
  </si>
  <si>
    <t>STPSH</t>
  </si>
  <si>
    <t>TEEH</t>
  </si>
  <si>
    <t>TSJEH</t>
  </si>
  <si>
    <t>UAEH</t>
  </si>
  <si>
    <t>CDHEH</t>
  </si>
  <si>
    <t>Aspirantes</t>
  </si>
  <si>
    <t>Sucesión gubernamental</t>
  </si>
  <si>
    <t>Espacio Hidalgo</t>
  </si>
  <si>
    <t>PES</t>
  </si>
  <si>
    <t>Nivel</t>
  </si>
  <si>
    <t>Gabinete</t>
  </si>
  <si>
    <t>OCSAD</t>
  </si>
  <si>
    <t>Negativa</t>
  </si>
  <si>
    <t>El Universal Hidalgo</t>
  </si>
  <si>
    <t>Deportes</t>
  </si>
  <si>
    <t>Criterio</t>
  </si>
  <si>
    <t>Positiva</t>
  </si>
  <si>
    <t>Síntesis</t>
  </si>
  <si>
    <t>Milenio Hidalgo</t>
  </si>
  <si>
    <t>PAZ</t>
  </si>
  <si>
    <t>Plaza Juárez</t>
  </si>
  <si>
    <t>La Jornada Hidalgo</t>
  </si>
  <si>
    <t>Publicidad</t>
  </si>
  <si>
    <t>El Sol de Hidalgo</t>
  </si>
  <si>
    <t>Marfeca</t>
  </si>
  <si>
    <t>Cintillo</t>
  </si>
  <si>
    <t>Prevención cáncer de mama</t>
  </si>
  <si>
    <t>Alcalde</t>
  </si>
  <si>
    <t>Comparecencias</t>
  </si>
  <si>
    <t>Editorial</t>
  </si>
  <si>
    <t>Cuenta de Recurso editorial</t>
  </si>
  <si>
    <t>Etiquetas de fila</t>
  </si>
  <si>
    <t>Total general</t>
  </si>
  <si>
    <t>Effetá</t>
  </si>
  <si>
    <t>Pachuca Brilla</t>
  </si>
  <si>
    <t>Temas internacionales</t>
  </si>
  <si>
    <t>Videovigilancia</t>
  </si>
  <si>
    <t>Recuerda: la detección temprana salva vidas</t>
  </si>
  <si>
    <t>Reforma De Ley</t>
  </si>
  <si>
    <t>IMSS</t>
  </si>
  <si>
    <t>Movilidad urbana</t>
  </si>
  <si>
    <t>Autonomía</t>
  </si>
  <si>
    <t>Perdió a sus padres, hermanos y un hijo</t>
  </si>
  <si>
    <t>Cáncer De Mama</t>
  </si>
  <si>
    <t>Pactan aumento de 8% a sindicalizados del IMSS</t>
  </si>
  <si>
    <t>Protesta sindical</t>
  </si>
  <si>
    <t>En 2025, Hidalgo bajó tasa de trabajo infantil</t>
  </si>
  <si>
    <t>Erradicación trabajo infantil</t>
  </si>
  <si>
    <t>Pachuca, punto de encuentro de moda y vestido</t>
  </si>
  <si>
    <t>Reunión con Empresarios</t>
  </si>
  <si>
    <t>Celebran la autonomía de la UAEH</t>
  </si>
  <si>
    <t>Llevan el Xantolo a Berlín</t>
  </si>
  <si>
    <t>Xantolo</t>
  </si>
  <si>
    <t>Sheinbaum pide a ediles agilizar las casas para El Bienestar</t>
  </si>
  <si>
    <t>Plan Nacional De Vivienda</t>
  </si>
  <si>
    <t>Garantizan blindaje de programas</t>
  </si>
  <si>
    <t>Operan 6 apps de transporte de forma ilícita</t>
  </si>
  <si>
    <t>Contrabando y la informalidad pegan a la industria textil</t>
  </si>
  <si>
    <t>La UAEH no es manipulada, asevera Gerardo Sosa</t>
  </si>
  <si>
    <t>Gerardo Sosa</t>
  </si>
  <si>
    <t>Buscan que los programas de la Sebiso se hagan constitucionales</t>
  </si>
  <si>
    <t>Emite Semot 50 sanciones a taxistas de aplicaciones</t>
  </si>
  <si>
    <t>Entre festejos y protestas, marchan por la autonomía</t>
  </si>
  <si>
    <t>Inauguran congreso nacional de vestido</t>
  </si>
  <si>
    <t>Vence la máquina a los Tuzos en su propia casa</t>
  </si>
  <si>
    <t>Real Madrid gana</t>
  </si>
  <si>
    <t>Pachuca, la tercera ciudad más congestionada del país: IMCO: El estudio del IMCO y Dat's Why revela que los usuarios del transporte público enfrentan mayores afectaciones, con 203 horas perdidas anualmente, frente a 134 de quienes utilizan vehículos privados.</t>
  </si>
  <si>
    <t>Eximen a concesionarios: Solo se aplican multas a prestadores del servicio</t>
  </si>
  <si>
    <t>Sebiso requiere una reforma a la constitución para blindar programas sociales</t>
  </si>
  <si>
    <t>Celebran más de 50 mil la autonomía universitaria</t>
  </si>
  <si>
    <t>La reunión frente a palacio de gobierno congregó a estudiantes y maestros de la máxima casa de estudios</t>
  </si>
  <si>
    <t>Fotonota</t>
  </si>
  <si>
    <t>Ve Camila Vallejo una ""derecha global bien articulada""</t>
  </si>
  <si>
    <t>Pactan IMSS y sindicato alza de 8%; mientras los disidentes repudian al líder</t>
  </si>
  <si>
    <t>Abuchean a Jorge Romero</t>
  </si>
  <si>
    <t>Abucheos</t>
  </si>
  <si>
    <t>Huelga amenaza entregas de VW a Norteamérica</t>
  </si>
  <si>
    <t>Paro laboral</t>
  </si>
  <si>
    <t>Asignan 74 mdp para remodelar las oficinas del Centro Minero</t>
  </si>
  <si>
    <t>Sipdus</t>
  </si>
  <si>
    <t>Remodelación de instalaciones</t>
  </si>
  <si>
    <t>Hallan desorden en cinco plataformas de transporte; hay multas</t>
  </si>
  <si>
    <t>Gobernador participa en cónclave sobre vivienda</t>
  </si>
  <si>
    <t>Sube Zoé Robledo oferta salarial 8%</t>
  </si>
  <si>
    <t>No fue por error que en la marcha apareció el propietario del PT, Alberto  Anaya Gutiérrez, el que el 20 de junio de 2020 estableció el acuerdo con  Gerardo Sosa para entregarle la franquicia petista en Hidalgo, traicionando  el clan el acuerdo anterior con Dante Delgado”.</t>
  </si>
  <si>
    <t>Transporte metropolitano suma 157 mp en multas; reportan 99% de eficiencia</t>
  </si>
  <si>
    <t>Licitan ampliación del Cereso de Pachuca con dos galeras</t>
  </si>
  <si>
    <t>Licitaciones</t>
  </si>
  <si>
    <t>Semot sancionó 50 unidades de transporte por plataformas digitales</t>
  </si>
  <si>
    <t>Reportan nueva propiedad de Carolina Viggiano en el Centro Histórico de la Ciudad de México</t>
  </si>
  <si>
    <t>Viggiano</t>
  </si>
  <si>
    <t>Enriquecimiento ilícito</t>
  </si>
  <si>
    <t>Reportan nueva propiedad de Carolina Viggiano  en el Centro Histórico de la Ciudad de México</t>
  </si>
  <si>
    <t>PRI</t>
  </si>
  <si>
    <t>Hasta 25 años de prisión por reclutar menores para el crimen organizado; avanza reforma federal</t>
  </si>
  <si>
    <t>Simey Olvera levanta la mano para presidir Comisión de Estudios legislativos del Senado... ""o cualquier otra""</t>
  </si>
  <si>
    <t>Simey</t>
  </si>
  <si>
    <t>Trabajo legislativo</t>
  </si>
  <si>
    <t>Avanza ley vs amaño de partidos</t>
  </si>
  <si>
    <t>PT cierra la puerta a negociaciones con Morena</t>
  </si>
  <si>
    <t>Alianzas Electorales</t>
  </si>
  <si>
    <t>A los universitarios nadie nos manipula""</t>
  </si>
  <si>
    <t>Semot envía al corralón 129 vehíclos de apps</t>
  </si>
  <si>
    <t>Analiza Semot aplicar Hoy no Circula</t>
  </si>
  <si>
    <t>Suman 228 reportes de violencia escolar en Hidalgo en dos meses</t>
  </si>
  <si>
    <t>Violencia escolar</t>
  </si>
  <si>
    <t>Jorge Reyes supervisa cámaras y botones de ayuda en Fraccionamiento Colosio</t>
  </si>
  <si>
    <t>El Universal revela compra de departamento de Carolina Viggiano en el Centro Histórico de la CDMX</t>
  </si>
  <si>
    <t>Menchaca y Sheinbaum suman esfuerzos para impulsar el programa Vivienda para el Bienestar en Hidalgo</t>
  </si>
  <si>
    <t>Encabeza Gerardo Sosa marcha de la UAEH; evita hablar de procesos penal</t>
  </si>
  <si>
    <t>Caos mortal en el Arco Norte: vuelca pipa</t>
  </si>
  <si>
    <t>Accidente De Pipa</t>
  </si>
  <si>
    <t>Proyectan carriles adicionales para Tuzobús en Pachuca</t>
  </si>
  <si>
    <t>Aseguran en Pachuca a hombre por presuntos daños a poste de videovigilancia</t>
  </si>
  <si>
    <t>Policía municipal</t>
  </si>
  <si>
    <t>Acusa Castrejón uso político de normalistas de El Mexe</t>
  </si>
  <si>
    <t>El Mexe</t>
  </si>
  <si>
    <t>Hidalgo lleva tradición del Xantolo a Berlín, Alemania</t>
  </si>
  <si>
    <t>Octubre, mes de la prevención del cáncer de mama</t>
  </si>
  <si>
    <t>Jorge Reyes supervisa cámaras y botones de ayuda en  Colosio</t>
  </si>
  <si>
    <t>Disfrutó Penta Zero Miedo del Tuzo vs Cruz Azul en el Hidalgo</t>
  </si>
  <si>
    <t>Triplica Gobierno de Hidalgo apoyos para sectores vulnerables: Sebiso</t>
  </si>
  <si>
    <t>Revelan que Carolina Viggiano adquirió departamento en el exclusivo complejo de CDMX</t>
  </si>
  <si>
    <t>¿Necesitas verificar? ¡Agenda tu cita!</t>
  </si>
  <si>
    <t>Verificación vehicular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</si>
</sst>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1"/>
        <bgColor theme="1"/>
      </patternFill>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5">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0" fontId="0" fillId="0" borderId="0" xfId="0" applyAlignment="1">
      <alignment wrapText="1"/>
    </xf>
    <xf numFmtId="0" fontId="1" fillId="2" borderId="5" xfId="0" applyFont="1" applyFill="1" applyBorder="1"/>
    <xf numFmtId="0" fontId="1" fillId="3" borderId="2" xfId="0" applyFont="1" applyFill="1" applyBorder="1"/>
    <xf numFmtId="0" fontId="0" fillId="4" borderId="2" xfId="0" applyFill="1" applyBorder="1"/>
    <xf numFmtId="0" fontId="0" fillId="0" borderId="2" xfId="0" applyBorder="1"/>
    <xf numFmtId="0" fontId="0" fillId="0" borderId="6" xfId="0" applyBorder="1"/>
    <xf numFmtId="16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cellXfs>
  <cellStyles count="1">
    <cellStyle name="Normal" xfId="0" builtinId="0"/>
  </cellStyles>
  <dxfs count="8">
    <dxf>
      <fill>
        <patternFill>
          <bgColor rgb="FFFF0000"/>
        </patternFill>
      </fill>
    </dxf>
    <dxf>
      <fill>
        <patternFill>
          <bgColor rgb="FFFF0000"/>
        </patternFill>
      </fill>
    </dxf>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309.399708912038" createdVersion="8" refreshedVersion="8" minRefreshableVersion="3" recordCount="64" xr:uid="{24068B4B-A6D0-4CBB-8A00-540654793919}">
  <cacheSource type="worksheet">
    <worksheetSource name="Tabla1"/>
  </cacheSource>
  <cacheFields count="10">
    <cacheField name="Fecha" numFmtId="164">
      <sharedItems containsSemiMixedTypes="0" containsNonDate="0" containsDate="1" containsString="0" minDate="2026-10-14T00:00:00" maxDate="2026-10-15T00:00:00"/>
    </cacheField>
    <cacheField name="Medio" numFmtId="0">
      <sharedItems count="10">
        <s v="El Sol de Hidalgo"/>
        <s v="El Universal Hidalgo"/>
        <s v="Criterio"/>
        <s v="Milenio Hidalgo"/>
        <s v="La Jornada Hidalgo"/>
        <s v="Síntesis"/>
        <s v="Plaza Juárez"/>
        <s v="Effetá"/>
        <s v="Marfeca"/>
        <s v="Pachuca Brilla"/>
      </sharedItems>
    </cacheField>
    <cacheField name="Titular" numFmtId="0">
      <sharedItems longText="1"/>
    </cacheField>
    <cacheField name="Recurso editorial" numFmtId="0">
      <sharedItems count="6">
        <s v="Llamado"/>
        <s v="Foco gráfico"/>
        <s v="Ocho columnas"/>
        <s v="Editorial"/>
        <s v="Cintillo"/>
        <s v="Publicidad"/>
      </sharedItems>
    </cacheField>
    <cacheField name="Dependencia" numFmtId="0">
      <sharedItems/>
    </cacheField>
    <cacheField name="Organismo" numFmtId="0">
      <sharedItems/>
    </cacheField>
    <cacheField name="Tema" numFmtId="0">
      <sharedItems/>
    </cacheField>
    <cacheField name="Estatus" numFmtId="0">
      <sharedItems/>
    </cacheField>
    <cacheField name="Grupo" numFmtId="0">
      <sharedItems/>
    </cacheField>
    <cacheField name="Nivel" numFmtId="0">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d v="2026-10-14T00:00:00"/>
    <x v="0"/>
    <s v="Acumula Hidalgo 160 homicidios dolosos"/>
    <x v="0"/>
    <s v="Presidencia"/>
    <s v="Presidencia"/>
    <s v="Incidencia Delictiva"/>
    <s v="Informativa"/>
    <s v="Presidencia de la República"/>
    <s v="Otros"/>
  </r>
  <r>
    <d v="2026-10-14T00:00:00"/>
    <x v="0"/>
    <s v="Estiman entrega de viviendas en diciembre"/>
    <x v="0"/>
    <s v="Presidencia"/>
    <s v="Infonavit"/>
    <s v="Plan Nacional De Vivienda"/>
    <s v="Informativa"/>
    <s v="Presidencia de la República"/>
    <s v="Otros"/>
  </r>
  <r>
    <d v="2026-10-14T00:00:00"/>
    <x v="0"/>
    <s v="Se manifiestan en contra de ajuste salarial"/>
    <x v="1"/>
    <s v="Presidencia"/>
    <s v="IMSS"/>
    <s v="Protesta sindical"/>
    <s v="Negativa"/>
    <s v="Presidencia de la República"/>
    <s v="Otros"/>
  </r>
  <r>
    <d v="2026-10-14T00:00:00"/>
    <x v="0"/>
    <s v="Aumenta 96% ingreso propio"/>
    <x v="0"/>
    <s v="Hacienda"/>
    <s v="Titular"/>
    <s v="Comparecencias"/>
    <s v="Positiva"/>
    <s v="Gobierno del estado"/>
    <s v="Gabinete"/>
  </r>
  <r>
    <d v="2026-10-14T00:00:00"/>
    <x v="0"/>
    <s v="Por viaje en tren, no pagarían más de $100"/>
    <x v="2"/>
    <s v="Presidencia"/>
    <s v="SICT"/>
    <s v="Tren AIFA"/>
    <s v="Positiva"/>
    <s v="Presidencia de la República"/>
    <s v="Otros"/>
  </r>
  <r>
    <d v="2026-10-14T00:00:00"/>
    <x v="0"/>
    <s v="Delincuencia da nuevo uso al aceite comestible"/>
    <x v="0"/>
    <s v="Otros"/>
    <s v="Otros"/>
    <s v="Temas varios"/>
    <s v="Informativa"/>
    <s v="Otros"/>
    <s v="Otros"/>
  </r>
  <r>
    <d v="2026-10-14T00:00:00"/>
    <x v="1"/>
    <s v="Destacan estudiantes en Olimpiada de Informática"/>
    <x v="1"/>
    <s v="SEPH"/>
    <s v="SEPH"/>
    <s v="Olimpiada de informática"/>
    <s v="Positiva"/>
    <s v="Gobierno del estado"/>
    <s v="Gabinete"/>
  </r>
  <r>
    <d v="2026-10-14T00:00:00"/>
    <x v="1"/>
    <s v="Crecen 96% recursos propios en la entidad"/>
    <x v="2"/>
    <s v="Hacienda"/>
    <s v="Titular"/>
    <s v="Comparecencias"/>
    <s v="Positiva"/>
    <s v="Gobierno del estado"/>
    <s v="Gabinete"/>
  </r>
  <r>
    <d v="2026-10-14T00:00:00"/>
    <x v="1"/>
    <s v="Homicidios dolosos bajan 52% en 2 años: Sheinbaum"/>
    <x v="0"/>
    <s v="Presidencia"/>
    <s v="Presidencia"/>
    <s v="Incidencia Delictiva"/>
    <s v="Positiva"/>
    <s v="Presidencia de la República"/>
    <s v="Otros"/>
  </r>
  <r>
    <d v="2026-10-14T00:00:00"/>
    <x v="1"/>
    <s v="Estiman ahorro de 238 mdp"/>
    <x v="0"/>
    <s v="Ayuntamiento"/>
    <s v="Ayuntamiento"/>
    <s v="Reforma a contrataciones municipales"/>
    <s v="Informativa"/>
    <s v="Alcaldías"/>
    <s v="Otros"/>
  </r>
  <r>
    <d v="2026-10-14T00:00:00"/>
    <x v="1"/>
    <s v="Reprueban en turismo a Real del Monte"/>
    <x v="0"/>
    <s v="Turismo"/>
    <s v="Titular"/>
    <s v="Comparecencias"/>
    <s v="Negativa"/>
    <s v="Gobierno del estado"/>
    <s v="Gabinete"/>
  </r>
  <r>
    <d v="2026-10-14T00:00:00"/>
    <x v="1"/>
    <s v="Van 50 municipios en bloque vs reforma a cabildos"/>
    <x v="0"/>
    <s v="Ayuntamiento"/>
    <s v="Regidor"/>
    <s v="Reforma a contrataciones municipales"/>
    <s v="Informativa"/>
    <s v="Alcaldías"/>
    <s v="Otros"/>
  </r>
  <r>
    <d v="2026-10-14T00:00:00"/>
    <x v="2"/>
    <s v="Desploman la esperanza"/>
    <x v="0"/>
    <s v="Otros"/>
    <s v="Otros"/>
    <s v="Deportes"/>
    <s v="Informativa"/>
    <s v="Otros"/>
    <s v="Otros"/>
  </r>
  <r>
    <d v="2026-10-14T00:00:00"/>
    <x v="2"/>
    <s v="Los grandes marcan el paso en la Champions"/>
    <x v="0"/>
    <s v="Otros"/>
    <s v="Otros"/>
    <s v="Deportes"/>
    <s v="Informativa"/>
    <s v="Otros"/>
    <s v="Otros"/>
  </r>
  <r>
    <d v="2026-10-14T00:00:00"/>
    <x v="2"/>
    <s v="Casas del Bienestar: Hidalgo donará a la Federación predios"/>
    <x v="2"/>
    <s v="Presidencia"/>
    <s v="Presidencia"/>
    <s v="Plan Nacional De Vivienda"/>
    <s v="Informativa"/>
    <s v="Presidencia de la República"/>
    <s v="Otros"/>
  </r>
  <r>
    <d v="2026-10-14T00:00:00"/>
    <x v="2"/>
    <s v="Alma Carolina Viggiano acusa estrategia para desprestigiarla"/>
    <x v="0"/>
    <s v="Aspirantes"/>
    <s v="Viggiano"/>
    <s v="Enriquecimiento ilícito"/>
    <s v="Informativa"/>
    <s v="Sucesión gubernamental"/>
    <s v="Otros"/>
  </r>
  <r>
    <d v="2026-10-14T00:00:00"/>
    <x v="2"/>
    <s v="Siguen pendientes recursos para los afectados por la vaguada de 2025"/>
    <x v="0"/>
    <s v="Hacienda"/>
    <s v="Titular"/>
    <s v="Comparecencias"/>
    <s v="Informativa"/>
    <s v="Gobierno del estado"/>
    <s v="Gabinete"/>
  </r>
  <r>
    <d v="2026-10-14T00:00:00"/>
    <x v="2"/>
    <s v="Movilización del IMSS reúne a más de 1,500 trabajadores"/>
    <x v="1"/>
    <s v="Presidencia"/>
    <s v="IMSS"/>
    <s v="Protesta sindical"/>
    <s v="Negativa"/>
    <s v="Presidencia de la República"/>
    <s v="Otros"/>
  </r>
  <r>
    <d v="2026-10-14T00:00:00"/>
    <x v="2"/>
    <s v="Julio Soto levanta la mano: Buscará el ayuntamiento de Tulancingo en 2027"/>
    <x v="0"/>
    <s v="Otros"/>
    <s v="Otros"/>
    <s v="Aspirantes"/>
    <s v="Informativa"/>
    <s v="Otros"/>
    <s v="Otros"/>
  </r>
  <r>
    <d v="2026-10-14T00:00:00"/>
    <x v="3"/>
    <s v="Despresurizan al Poder Judicial con 40% de asuntos a mediación"/>
    <x v="2"/>
    <s v="TSJEH"/>
    <s v="Titular"/>
    <s v="Procuración de Justicia"/>
    <s v="Positiva"/>
    <s v="Otros"/>
    <s v="Otros"/>
  </r>
  <r>
    <d v="2026-10-14T00:00:00"/>
    <x v="3"/>
    <s v="Stephen King cierra ciclo con Carrie en serie"/>
    <x v="0"/>
    <s v="Otros"/>
    <s v="Otros"/>
    <s v="Temas varios"/>
    <s v="Informativa"/>
    <s v="Otros"/>
    <s v="Otros"/>
  </r>
  <r>
    <d v="2026-10-14T00:00:00"/>
    <x v="3"/>
    <s v="Goza Hidalgo de estabilidad y finanzas sanas"/>
    <x v="1"/>
    <s v="Hacienda"/>
    <s v="Titular"/>
    <s v="Comparecencias"/>
    <s v="Positiva"/>
    <s v="Gobierno del estado"/>
    <s v="Gabinete"/>
  </r>
  <r>
    <d v="2026-10-14T00:00:00"/>
    <x v="3"/>
    <s v="Río de las Avenidas: Prevén que la ampliación costará $500 millones"/>
    <x v="0"/>
    <s v="Sipdus"/>
    <s v="Sipdus"/>
    <s v="Rehabilitación Vial"/>
    <s v="Informativa"/>
    <s v="Gobierno del estado"/>
    <s v="Gabinete"/>
  </r>
  <r>
    <d v="2026-10-14T00:00:00"/>
    <x v="3"/>
    <s v="Instalan 556 nuevas cámaras para vigilar la ciudad"/>
    <x v="0"/>
    <s v="Ayuntamiento"/>
    <s v="Alcalde"/>
    <s v="Videovigilancia"/>
    <s v="Informativa"/>
    <s v="Alcaldías"/>
    <s v="Otros"/>
  </r>
  <r>
    <d v="2026-10-14T00:00:00"/>
    <x v="3"/>
    <s v="La FGR dobla recompensas por capos y proyectan seis nuevos penales en el país"/>
    <x v="0"/>
    <s v="Presidencia"/>
    <s v="FGR"/>
    <s v="Combate a la delincuencia"/>
    <s v="Informativa"/>
    <s v="Presidencia de la República"/>
    <s v="Otros"/>
  </r>
  <r>
    <d v="2026-10-14T00:00:00"/>
    <x v="3"/>
    <s v="Infraestructura y vivienda: Espera Claudia inversión por 8.4 biilones de pesos"/>
    <x v="0"/>
    <s v="Presidencia"/>
    <s v="Presidencia"/>
    <s v="Proyectos Federales"/>
    <s v="Informativa"/>
    <s v="Presidencia de la República"/>
    <s v="Otros"/>
  </r>
  <r>
    <d v="2026-10-14T00:00:00"/>
    <x v="3"/>
    <s v="Agrupaciones variopintas se unen a trabajadores del IMSS"/>
    <x v="0"/>
    <s v="Presidencia"/>
    <s v="IMSS"/>
    <s v="Protesta sindical"/>
    <s v="Negativa"/>
    <s v="Presidencia de la República"/>
    <s v="Otros"/>
  </r>
  <r>
    <d v="2026-10-14T00:00:00"/>
    <x v="3"/>
    <s v="Fideicomiso del Polo de desarrollo de Zapotlán para el mes de octubre"/>
    <x v="0"/>
    <s v="Sedeco"/>
    <s v="Sedeco"/>
    <s v="Polos del Bienestar"/>
    <s v="Positiva"/>
    <s v="Gobierno del estado"/>
    <s v="Gabinete"/>
  </r>
  <r>
    <d v="2026-10-14T00:00:00"/>
    <x v="4"/>
    <s v="Asignan 800 mdp para obras que atiendan daños por la vaguada"/>
    <x v="2"/>
    <s v="Hacienda"/>
    <s v="Titular"/>
    <s v="Comparecencias"/>
    <s v="Positiva"/>
    <s v="Gobierno del estado"/>
    <s v="Gabinete"/>
  </r>
  <r>
    <d v="2026-10-14T00:00:00"/>
    <x v="4"/>
    <s v="Puntual, comparecencia de García Harfuch: Ochoa"/>
    <x v="1"/>
    <s v="Aspirantes"/>
    <s v="Ochoa"/>
    <s v="Comparecencias"/>
    <s v="Informativa"/>
    <s v="Sucesión gubernamental"/>
    <s v="Otros"/>
  </r>
  <r>
    <d v="2026-10-14T00:00:00"/>
    <x v="4"/>
    <s v="NINDE MOLRE: La protesta  nunca debe ser leída de  forma aislada, todas sus  manifestaciones tienen un origen anterior,  en el que la mayoría de las veces las  autoridades han sido omisas o deficientes  frente a esa problemática mayor que nos  impacta a todas las personas”."/>
    <x v="0"/>
    <s v="Otros"/>
    <s v="Otros"/>
    <s v="Omisión"/>
    <s v="Informativa"/>
    <s v="Otros"/>
    <s v="Otros"/>
  </r>
  <r>
    <d v="2026-10-14T00:00:00"/>
    <x v="4"/>
    <s v="Harfuch captura a más de 70 mil"/>
    <x v="0"/>
    <s v="Presidencia"/>
    <s v="Seguridad Ciudadana"/>
    <s v="Combate a la delincuencia"/>
    <s v="Informativa"/>
    <s v="Presidencia de la República"/>
    <s v="Otros"/>
  </r>
  <r>
    <d v="2026-10-14T00:00:00"/>
    <x v="4"/>
    <s v="Personal del IMSS sale a las calles por cuarta ocasión"/>
    <x v="0"/>
    <s v="Presidencia"/>
    <s v="IMSS"/>
    <s v="Protesta sindical"/>
    <s v="Negativa"/>
    <s v="Presidencia de la República"/>
    <s v="Otros"/>
  </r>
  <r>
    <d v="2026-10-14T00:00:00"/>
    <x v="5"/>
    <s v="Marchan en Pachuca más de mil trabajadores del IMSS contra aumento salarial de 2.9%"/>
    <x v="2"/>
    <s v="Gobierno"/>
    <s v="Gobierno"/>
    <s v="Protesta sindical"/>
    <s v="Negativa"/>
    <s v="Gobierno del estado"/>
    <s v="Gabinete"/>
  </r>
  <r>
    <d v="2026-10-14T00:00:00"/>
    <x v="5"/>
    <s v="A un año de la vaguada, Hidalgo ejecuta el 82% de recursos estatales para reconstrucción"/>
    <x v="0"/>
    <s v="Hacienda"/>
    <s v="Titular"/>
    <s v="Comparecencias"/>
    <s v="Informativa"/>
    <s v="Gobierno del estado"/>
    <s v="Gabinete"/>
  </r>
  <r>
    <d v="2026-10-14T00:00:00"/>
    <x v="5"/>
    <s v="Hidalgo registra reducción del 30.1% en homicidios dolosos"/>
    <x v="0"/>
    <s v="Presidencia"/>
    <s v="Presidencia"/>
    <s v="Incidencia Delictiva"/>
    <s v="Positiva"/>
    <s v="Presidencia de la República"/>
    <s v="Otros"/>
  </r>
  <r>
    <d v="2026-10-14T00:00:00"/>
    <x v="5"/>
    <s v="Jorge Reyes supervisa funcionamiento de cámaras de videovigilancia en La Loma"/>
    <x v="0"/>
    <s v="Ayuntamiento"/>
    <s v="Alcalde"/>
    <s v="Videovigilancia"/>
    <s v="Informativa"/>
    <s v="Alcaldías"/>
    <s v="Otros"/>
  </r>
  <r>
    <d v="2026-10-14T00:00:00"/>
    <x v="6"/>
    <s v="Ingresos propios de Hidalgo crecieron 96 por ciento: Secretaría de Hacienda"/>
    <x v="2"/>
    <s v="Hacienda"/>
    <s v="Titular"/>
    <s v="Comparecencias"/>
    <s v="Positiva"/>
    <s v="Gobierno del estado"/>
    <s v="Gabinete"/>
  </r>
  <r>
    <d v="2026-10-14T00:00:00"/>
    <x v="6"/>
    <s v="En dos años, los homicidios dolosos en México disminuyeron un 52%"/>
    <x v="0"/>
    <s v="Presidencia"/>
    <s v="Presidencia"/>
    <s v="Incidencia Delictiva"/>
    <s v="Positiva"/>
    <s v="Presidencia de la República"/>
    <s v="Otros"/>
  </r>
  <r>
    <d v="2026-10-14T00:00:00"/>
    <x v="6"/>
    <s v="Es doloroso y vergonzoso  que los médicos tengan  que salir a las calles a pedir  medicamentos y  equipamiento y  peor que no sean  escuchados por la  federación…"/>
    <x v="3"/>
    <s v="Presidencia"/>
    <s v="IMSS"/>
    <s v="Protesta sindical"/>
    <s v="Negativa"/>
    <s v="Presidencia de la República"/>
    <s v="Otros"/>
  </r>
  <r>
    <d v="2026-10-14T00:00:00"/>
    <x v="6"/>
    <s v="Trabajadores del IMSS exigen mejores condiciones laborales"/>
    <x v="0"/>
    <s v="Presidencia"/>
    <s v="IMSS"/>
    <s v="Protesta sindical"/>
    <s v="Negativa"/>
    <s v="Presidencia de la República"/>
    <s v="Otros"/>
  </r>
  <r>
    <d v="2026-10-14T00:00:00"/>
    <x v="6"/>
    <s v="Primera condena por violencia vicaria en Hidalgo"/>
    <x v="0"/>
    <s v="TSJEH"/>
    <s v="TSJEH"/>
    <s v="Violencia Vicaria"/>
    <s v="Positiva"/>
    <s v="Otros"/>
    <s v="Otros"/>
  </r>
  <r>
    <d v="2026-10-14T00:00:00"/>
    <x v="7"/>
    <s v="Hidalgo, entre los 5 estados con mejor manejo de deuda pública"/>
    <x v="2"/>
    <s v="Hacienda"/>
    <s v="Titular"/>
    <s v="Comparecencias"/>
    <s v="Informativa"/>
    <s v="Gobierno del estado"/>
    <s v="Gabinete"/>
  </r>
  <r>
    <d v="2026-10-14T00:00:00"/>
    <x v="7"/>
    <s v="IMSS protagoniza tercera protesta en Pachuca"/>
    <x v="1"/>
    <s v="Presidencia"/>
    <s v="IMSS"/>
    <s v="Protesta sindical"/>
    <s v="Negativa"/>
    <s v="Presidencia de la República"/>
    <s v="Otros"/>
  </r>
  <r>
    <d v="2026-10-14T00:00:00"/>
    <x v="7"/>
    <s v="Andrés Velázquez reconoce interés electoral entre diputados"/>
    <x v="0"/>
    <s v="Congreso"/>
    <s v="Junta de Gobierno"/>
    <s v="Aspirantes"/>
    <s v="Informativa"/>
    <s v="Otros"/>
    <s v="Otros"/>
  </r>
  <r>
    <d v="2026-10-14T00:00:00"/>
    <x v="7"/>
    <s v="Real del Monte, el pueblo mágico peor calificado de Hidalgo"/>
    <x v="0"/>
    <s v="Turismo"/>
    <s v="Titular"/>
    <s v="Comparecencias"/>
    <s v="Informativa"/>
    <s v="Gobierno del estado"/>
    <s v="Gabinete"/>
  </r>
  <r>
    <d v="2026-10-14T00:00:00"/>
    <x v="7"/>
    <s v="Instalan nuevas cámaras de vigilancia en La Loma"/>
    <x v="0"/>
    <s v="Ayuntamiento"/>
    <s v="Alcalde"/>
    <s v="Videovigilancia"/>
    <s v="Informativa"/>
    <s v="Alcaldías"/>
    <s v="Otros"/>
  </r>
  <r>
    <d v="2026-10-14T00:00:00"/>
    <x v="7"/>
    <s v="Hidalgo reduce 30.1% los homicidios dolosos"/>
    <x v="0"/>
    <s v="Presidencia"/>
    <s v="Presidencia"/>
    <s v="Incidencia Delictiva"/>
    <s v="Positiva"/>
    <s v="Presidencia de la República"/>
    <s v="Otros"/>
  </r>
  <r>
    <d v="2026-10-14T00:00:00"/>
    <x v="8"/>
    <s v="2 lesionados tras accidentar 4 vehículos en la Jorobas-Tula"/>
    <x v="4"/>
    <s v="Otros"/>
    <s v="Otros"/>
    <s v="Accidente Carretero"/>
    <s v="Informativa"/>
    <s v="Otros"/>
    <s v="Otros"/>
  </r>
  <r>
    <d v="2026-10-14T00:00:00"/>
    <x v="8"/>
    <s v="Hidalgo vive un momento histórico: finanzas sólidas e inversión récord"/>
    <x v="0"/>
    <s v="Hacienda"/>
    <s v="Titular"/>
    <s v="Comparecencias"/>
    <s v="Positiva"/>
    <s v="Gobierno del estado"/>
    <s v="Gabinete"/>
  </r>
  <r>
    <d v="2026-10-14T00:00:00"/>
    <x v="8"/>
    <s v="El Vaticano confirma que el Papa León XIV padece cáncer de pulmón"/>
    <x v="2"/>
    <s v="Otros"/>
    <s v="Otros"/>
    <s v="Temas internacionales"/>
    <s v="Informativa"/>
    <s v="Otros"/>
    <s v="Otros"/>
  </r>
  <r>
    <d v="2026-10-14T00:00:00"/>
    <x v="8"/>
    <s v="Diálogo abierto y atención directa con la ciudadanía en la Mesa de Seguridad de Tenango de Doria"/>
    <x v="0"/>
    <s v="Segobh"/>
    <s v="Titular"/>
    <s v="Mesas de acercamiento"/>
    <s v="Positiva"/>
    <s v="Gobierno del estado"/>
    <s v="Gabinete"/>
  </r>
  <r>
    <d v="2026-10-14T00:00:00"/>
    <x v="8"/>
    <s v="Nuevas cámaras de videovigilancia en La Loma, Pachuca; Jorge Reyes supervisa su funcionamiento"/>
    <x v="0"/>
    <s v="Ayuntamiento"/>
    <s v="Alcalde"/>
    <s v="Videovigilancia"/>
    <s v="Informativa"/>
    <s v="Alcaldías"/>
    <s v="Otros"/>
  </r>
  <r>
    <d v="2026-10-14T00:00:00"/>
    <x v="8"/>
    <s v="Hidalgo fortalece la atención a la infancia desde sus primeros años de vida"/>
    <x v="0"/>
    <s v="SSH"/>
    <s v="titul"/>
    <s v="Atención médica"/>
    <s v="Positiva"/>
    <s v="Gobierno del estado"/>
    <s v="Gabinete"/>
  </r>
  <r>
    <d v="2026-10-14T00:00:00"/>
    <x v="8"/>
    <s v="Desde Molango continúa la nueva historia del magisterio con encuentro de jubilados del SNTE"/>
    <x v="0"/>
    <s v="Otros"/>
    <s v="Otros"/>
    <s v="Reunión con sindicato"/>
    <s v="Informativa"/>
    <s v="Otros"/>
    <s v="Otros"/>
  </r>
  <r>
    <d v="2026-10-14T00:00:00"/>
    <x v="8"/>
    <s v="Marchan nuevamente trabajadores del IMSS en Pachuca; exigen destitución de líder sindical"/>
    <x v="0"/>
    <s v="Presidencia"/>
    <s v="IMSS"/>
    <s v="Protesta sindical"/>
    <s v="Negativa"/>
    <s v="Presidencia de la República"/>
    <s v="Otros"/>
  </r>
  <r>
    <d v="2026-10-14T00:00:00"/>
    <x v="8"/>
    <s v="25 años Pueblos Mágicos"/>
    <x v="5"/>
    <s v="Turismo"/>
    <s v="Turismo"/>
    <s v="Pueblos Mágicos"/>
    <s v="Informativa"/>
    <s v="Gobierno del estado"/>
    <s v="Gabinete"/>
  </r>
  <r>
    <d v="2026-10-14T00:00:00"/>
    <x v="9"/>
    <s v="Nuevas cámaras de videovigilancia en La Loma, Pachuca; Jorge Reyes supervisa su funcionamiento"/>
    <x v="2"/>
    <s v="Ayuntamiento"/>
    <s v="Alcalde"/>
    <s v="Videovigilancia"/>
    <s v="Informativa"/>
    <s v="Alcaldías"/>
    <s v="Otros"/>
  </r>
  <r>
    <d v="2026-10-14T00:00:00"/>
    <x v="9"/>
    <s v="Todo listo para Pachuca Rock Fest en su nueva sede"/>
    <x v="0"/>
    <s v="Otros"/>
    <s v="Otros"/>
    <s v="Cartelera De Eventos"/>
    <s v="Informativa"/>
    <s v="Otros"/>
    <s v="Otros"/>
  </r>
  <r>
    <d v="2026-10-14T00:00:00"/>
    <x v="9"/>
    <s v="Talento hidalguense destaca en las Olimpiadas Mexicanas de Informática 2026"/>
    <x v="0"/>
    <s v="SEPH"/>
    <s v="SEPH"/>
    <s v="Olimpiada de informática"/>
    <s v="Positiva"/>
    <s v="Gobierno del estado"/>
    <s v="Gabinete"/>
  </r>
  <r>
    <d v="2026-10-14T00:00:00"/>
    <x v="9"/>
    <s v="Hidlago vive un momento histórico con finanzas sólidas e inversión récord: Hacienda"/>
    <x v="0"/>
    <s v="Hacienda"/>
    <s v="Titular"/>
    <s v="Comparecencias"/>
    <s v="Positiva"/>
    <s v="Gobierno del estado"/>
    <s v="Gabinete"/>
  </r>
  <r>
    <d v="2026-10-14T00:00:00"/>
    <x v="9"/>
    <s v="ariana Seoane y La Casetera hicieron bailar a la feria"/>
    <x v="0"/>
    <s v="Turismo"/>
    <s v="OEEH"/>
    <s v="Feria Pachuca"/>
    <s v="Positiva"/>
    <s v="Gobierno del estado"/>
    <s v="Gabinete"/>
  </r>
  <r>
    <d v="2026-10-14T00:00:00"/>
    <x v="9"/>
    <s v="61 niñas, niños y adolescentes encontraron un hogar a través de la adopción"/>
    <x v="5"/>
    <s v="DIFH"/>
    <s v="DIFH"/>
    <s v="Informe de actividades"/>
    <s v="Informativa"/>
    <s v="Gobierno del estado"/>
    <s v="Gabinete"/>
  </r>
  <r>
    <d v="2026-10-14T00:00:00"/>
    <x v="9"/>
    <s v="Recuerda: La detección temprana salva vidas"/>
    <x v="0"/>
    <s v="Ayuntamiento"/>
    <s v="Ayuntamiento"/>
    <s v="Prevención cáncer de mama"/>
    <s v="Informativa"/>
    <s v="Alcaldías"/>
    <s v="Otro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EEED8E4-C61E-4489-B373-2D4A90347DBF}"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4:B45" firstHeaderRow="1" firstDataRow="1" firstDataCol="1"/>
  <pivotFields count="10">
    <pivotField numFmtId="164" showAll="0"/>
    <pivotField axis="axisRow" showAll="0">
      <items count="11">
        <item x="2"/>
        <item x="0"/>
        <item x="1"/>
        <item x="4"/>
        <item x="8"/>
        <item x="3"/>
        <item x="6"/>
        <item x="5"/>
        <item x="7"/>
        <item x="9"/>
        <item t="default"/>
      </items>
    </pivotField>
    <pivotField showAll="0"/>
    <pivotField axis="axisRow" dataField="1" showAll="0">
      <items count="7">
        <item x="4"/>
        <item x="3"/>
        <item x="1"/>
        <item x="0"/>
        <item x="2"/>
        <item x="5"/>
        <item t="default"/>
      </items>
    </pivotField>
    <pivotField showAll="0"/>
    <pivotField showAll="0"/>
    <pivotField showAll="0"/>
    <pivotField showAll="0"/>
    <pivotField showAll="0"/>
    <pivotField showAll="0"/>
  </pivotFields>
  <rowFields count="2">
    <field x="1"/>
    <field x="3"/>
  </rowFields>
  <rowItems count="41">
    <i>
      <x/>
    </i>
    <i r="1">
      <x v="2"/>
    </i>
    <i r="1">
      <x v="3"/>
    </i>
    <i r="1">
      <x v="4"/>
    </i>
    <i>
      <x v="1"/>
    </i>
    <i r="1">
      <x v="2"/>
    </i>
    <i r="1">
      <x v="3"/>
    </i>
    <i r="1">
      <x v="4"/>
    </i>
    <i>
      <x v="2"/>
    </i>
    <i r="1">
      <x v="2"/>
    </i>
    <i r="1">
      <x v="3"/>
    </i>
    <i r="1">
      <x v="4"/>
    </i>
    <i>
      <x v="3"/>
    </i>
    <i r="1">
      <x v="2"/>
    </i>
    <i r="1">
      <x v="3"/>
    </i>
    <i r="1">
      <x v="4"/>
    </i>
    <i>
      <x v="4"/>
    </i>
    <i r="1">
      <x/>
    </i>
    <i r="1">
      <x v="3"/>
    </i>
    <i r="1">
      <x v="4"/>
    </i>
    <i r="1">
      <x v="5"/>
    </i>
    <i>
      <x v="5"/>
    </i>
    <i r="1">
      <x v="2"/>
    </i>
    <i r="1">
      <x v="3"/>
    </i>
    <i r="1">
      <x v="4"/>
    </i>
    <i>
      <x v="6"/>
    </i>
    <i r="1">
      <x v="1"/>
    </i>
    <i r="1">
      <x v="3"/>
    </i>
    <i r="1">
      <x v="4"/>
    </i>
    <i>
      <x v="7"/>
    </i>
    <i r="1">
      <x v="3"/>
    </i>
    <i r="1">
      <x v="4"/>
    </i>
    <i>
      <x v="8"/>
    </i>
    <i r="1">
      <x v="2"/>
    </i>
    <i r="1">
      <x v="3"/>
    </i>
    <i r="1">
      <x v="4"/>
    </i>
    <i>
      <x v="9"/>
    </i>
    <i r="1">
      <x v="3"/>
    </i>
    <i r="1">
      <x v="4"/>
    </i>
    <i r="1">
      <x v="5"/>
    </i>
    <i t="grand">
      <x/>
    </i>
  </rowItems>
  <colItems count="1">
    <i/>
  </colItems>
  <dataFields count="1">
    <dataField name="Cuenta de Recurso editorial"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J64" totalsRowShown="0" headerRowDxfId="7" headerRowBorderDxfId="6">
  <autoFilter ref="A1:J64" xr:uid="{5593606E-308D-4113-AE3C-6E714B763B6E}"/>
  <tableColumns count="10">
    <tableColumn id="1" xr3:uid="{9D9ACAF2-1710-400E-A0E5-0A5BB378D4A0}" name="Fecha" dataDxfId="5"/>
    <tableColumn id="2" xr3:uid="{03A139BE-A997-45E6-81E6-5F7467162FC5}" name="Medio"/>
    <tableColumn id="3" xr3:uid="{4CA37DD5-010E-43EE-907D-87C1845DB2AB}" name="Titular" dataDxfId="4"/>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Row],[Dependencia]],Tabla2[Dependencia],Tabla2[Clasificación],"XXX",0)</calculatedColumnFormula>
    </tableColumn>
    <tableColumn id="10" xr3:uid="{1D518E9C-586D-449F-BCFC-7A0ACD0D0C7F}" name="Nivel">
      <calculatedColumnFormula>_xlfn.XLOOKUP(Tabla1[[#This Row],[Dependencia]],Tabla3[Dependencia],Tabla3[Nivel],"Otros",0)</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49" totalsRowShown="0">
  <autoFilter ref="A1:B49" xr:uid="{E94FD058-EAFD-43DC-A6D6-05775ECA6C1B}"/>
  <sortState xmlns:xlrd2="http://schemas.microsoft.com/office/spreadsheetml/2017/richdata2" ref="A2:B48">
    <sortCondition ref="A1:A48"/>
  </sortState>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FAA35-C663-4971-9820-992B55167F9C}" name="Tabla3" displayName="Tabla3" ref="D1:E27" totalsRowShown="0" tableBorderDxfId="3">
  <autoFilter ref="D1:E27" xr:uid="{80AFAA35-C663-4971-9820-992B55167F9C}"/>
  <sortState xmlns:xlrd2="http://schemas.microsoft.com/office/spreadsheetml/2017/richdata2" ref="D2:E27">
    <sortCondition ref="D1:D27"/>
  </sortState>
  <tableColumns count="2">
    <tableColumn id="1" xr3:uid="{A040A308-8C62-4D4B-B3BE-EC124A9B961C}" name="Dependencia" dataDxfId="2"/>
    <tableColumn id="2" xr3:uid="{2B2FFCF1-496A-4D37-8C8B-790A66FD9968}" name="Nive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B67DB-D046-44C0-B978-386A50233412}">
  <dimension ref="A4:B45"/>
  <sheetViews>
    <sheetView topLeftCell="A16" workbookViewId="0">
      <selection activeCell="A27" sqref="A27"/>
    </sheetView>
  </sheetViews>
  <sheetFormatPr baseColWidth="10" defaultRowHeight="15" x14ac:dyDescent="0.25"/>
  <cols>
    <col min="1" max="1" width="20.85546875" bestFit="1" customWidth="1"/>
    <col min="2" max="2" width="26.5703125" bestFit="1" customWidth="1"/>
  </cols>
  <sheetData>
    <row r="4" spans="1:2" x14ac:dyDescent="0.25">
      <c r="A4" s="12" t="s">
        <v>87</v>
      </c>
      <c r="B4" t="s">
        <v>86</v>
      </c>
    </row>
    <row r="5" spans="1:2" x14ac:dyDescent="0.25">
      <c r="A5" s="13" t="s">
        <v>71</v>
      </c>
      <c r="B5">
        <v>7</v>
      </c>
    </row>
    <row r="6" spans="1:2" x14ac:dyDescent="0.25">
      <c r="A6" s="14" t="s">
        <v>9</v>
      </c>
      <c r="B6">
        <v>1</v>
      </c>
    </row>
    <row r="7" spans="1:2" x14ac:dyDescent="0.25">
      <c r="A7" s="14" t="s">
        <v>12</v>
      </c>
      <c r="B7">
        <v>5</v>
      </c>
    </row>
    <row r="8" spans="1:2" x14ac:dyDescent="0.25">
      <c r="A8" s="14" t="s">
        <v>13</v>
      </c>
      <c r="B8">
        <v>1</v>
      </c>
    </row>
    <row r="9" spans="1:2" x14ac:dyDescent="0.25">
      <c r="A9" s="13" t="s">
        <v>79</v>
      </c>
      <c r="B9">
        <v>6</v>
      </c>
    </row>
    <row r="10" spans="1:2" x14ac:dyDescent="0.25">
      <c r="A10" s="14" t="s">
        <v>9</v>
      </c>
      <c r="B10">
        <v>1</v>
      </c>
    </row>
    <row r="11" spans="1:2" x14ac:dyDescent="0.25">
      <c r="A11" s="14" t="s">
        <v>12</v>
      </c>
      <c r="B11">
        <v>4</v>
      </c>
    </row>
    <row r="12" spans="1:2" x14ac:dyDescent="0.25">
      <c r="A12" s="14" t="s">
        <v>13</v>
      </c>
      <c r="B12">
        <v>1</v>
      </c>
    </row>
    <row r="13" spans="1:2" x14ac:dyDescent="0.25">
      <c r="A13" s="13" t="s">
        <v>69</v>
      </c>
      <c r="B13">
        <v>6</v>
      </c>
    </row>
    <row r="14" spans="1:2" x14ac:dyDescent="0.25">
      <c r="A14" s="14" t="s">
        <v>9</v>
      </c>
      <c r="B14">
        <v>1</v>
      </c>
    </row>
    <row r="15" spans="1:2" x14ac:dyDescent="0.25">
      <c r="A15" s="14" t="s">
        <v>12</v>
      </c>
      <c r="B15">
        <v>4</v>
      </c>
    </row>
    <row r="16" spans="1:2" x14ac:dyDescent="0.25">
      <c r="A16" s="14" t="s">
        <v>13</v>
      </c>
      <c r="B16">
        <v>1</v>
      </c>
    </row>
    <row r="17" spans="1:2" x14ac:dyDescent="0.25">
      <c r="A17" s="13" t="s">
        <v>77</v>
      </c>
      <c r="B17">
        <v>5</v>
      </c>
    </row>
    <row r="18" spans="1:2" x14ac:dyDescent="0.25">
      <c r="A18" s="14" t="s">
        <v>9</v>
      </c>
      <c r="B18">
        <v>1</v>
      </c>
    </row>
    <row r="19" spans="1:2" x14ac:dyDescent="0.25">
      <c r="A19" s="14" t="s">
        <v>12</v>
      </c>
      <c r="B19">
        <v>3</v>
      </c>
    </row>
    <row r="20" spans="1:2" x14ac:dyDescent="0.25">
      <c r="A20" s="14" t="s">
        <v>13</v>
      </c>
      <c r="B20">
        <v>1</v>
      </c>
    </row>
    <row r="21" spans="1:2" x14ac:dyDescent="0.25">
      <c r="A21" s="13" t="s">
        <v>80</v>
      </c>
      <c r="B21">
        <v>9</v>
      </c>
    </row>
    <row r="22" spans="1:2" x14ac:dyDescent="0.25">
      <c r="A22" s="14" t="s">
        <v>81</v>
      </c>
      <c r="B22">
        <v>1</v>
      </c>
    </row>
    <row r="23" spans="1:2" x14ac:dyDescent="0.25">
      <c r="A23" s="14" t="s">
        <v>12</v>
      </c>
      <c r="B23">
        <v>6</v>
      </c>
    </row>
    <row r="24" spans="1:2" x14ac:dyDescent="0.25">
      <c r="A24" s="14" t="s">
        <v>13</v>
      </c>
      <c r="B24">
        <v>1</v>
      </c>
    </row>
    <row r="25" spans="1:2" x14ac:dyDescent="0.25">
      <c r="A25" s="14" t="s">
        <v>78</v>
      </c>
      <c r="B25">
        <v>1</v>
      </c>
    </row>
    <row r="26" spans="1:2" x14ac:dyDescent="0.25">
      <c r="A26" s="13" t="s">
        <v>74</v>
      </c>
      <c r="B26">
        <v>9</v>
      </c>
    </row>
    <row r="27" spans="1:2" x14ac:dyDescent="0.25">
      <c r="A27" s="14" t="s">
        <v>9</v>
      </c>
      <c r="B27">
        <v>1</v>
      </c>
    </row>
    <row r="28" spans="1:2" x14ac:dyDescent="0.25">
      <c r="A28" s="14" t="s">
        <v>12</v>
      </c>
      <c r="B28">
        <v>7</v>
      </c>
    </row>
    <row r="29" spans="1:2" x14ac:dyDescent="0.25">
      <c r="A29" s="14" t="s">
        <v>13</v>
      </c>
      <c r="B29">
        <v>1</v>
      </c>
    </row>
    <row r="30" spans="1:2" x14ac:dyDescent="0.25">
      <c r="A30" s="13" t="s">
        <v>76</v>
      </c>
      <c r="B30">
        <v>5</v>
      </c>
    </row>
    <row r="31" spans="1:2" x14ac:dyDescent="0.25">
      <c r="A31" s="14" t="s">
        <v>85</v>
      </c>
      <c r="B31">
        <v>1</v>
      </c>
    </row>
    <row r="32" spans="1:2" x14ac:dyDescent="0.25">
      <c r="A32" s="14" t="s">
        <v>12</v>
      </c>
      <c r="B32">
        <v>3</v>
      </c>
    </row>
    <row r="33" spans="1:2" x14ac:dyDescent="0.25">
      <c r="A33" s="14" t="s">
        <v>13</v>
      </c>
      <c r="B33">
        <v>1</v>
      </c>
    </row>
    <row r="34" spans="1:2" x14ac:dyDescent="0.25">
      <c r="A34" s="13" t="s">
        <v>73</v>
      </c>
      <c r="B34">
        <v>4</v>
      </c>
    </row>
    <row r="35" spans="1:2" x14ac:dyDescent="0.25">
      <c r="A35" s="14" t="s">
        <v>12</v>
      </c>
      <c r="B35">
        <v>3</v>
      </c>
    </row>
    <row r="36" spans="1:2" x14ac:dyDescent="0.25">
      <c r="A36" s="14" t="s">
        <v>13</v>
      </c>
      <c r="B36">
        <v>1</v>
      </c>
    </row>
    <row r="37" spans="1:2" x14ac:dyDescent="0.25">
      <c r="A37" s="13" t="s">
        <v>89</v>
      </c>
      <c r="B37">
        <v>6</v>
      </c>
    </row>
    <row r="38" spans="1:2" x14ac:dyDescent="0.25">
      <c r="A38" s="14" t="s">
        <v>9</v>
      </c>
      <c r="B38">
        <v>1</v>
      </c>
    </row>
    <row r="39" spans="1:2" x14ac:dyDescent="0.25">
      <c r="A39" s="14" t="s">
        <v>12</v>
      </c>
      <c r="B39">
        <v>4</v>
      </c>
    </row>
    <row r="40" spans="1:2" x14ac:dyDescent="0.25">
      <c r="A40" s="14" t="s">
        <v>13</v>
      </c>
      <c r="B40">
        <v>1</v>
      </c>
    </row>
    <row r="41" spans="1:2" x14ac:dyDescent="0.25">
      <c r="A41" s="13" t="s">
        <v>90</v>
      </c>
      <c r="B41">
        <v>7</v>
      </c>
    </row>
    <row r="42" spans="1:2" x14ac:dyDescent="0.25">
      <c r="A42" s="14" t="s">
        <v>12</v>
      </c>
      <c r="B42">
        <v>5</v>
      </c>
    </row>
    <row r="43" spans="1:2" x14ac:dyDescent="0.25">
      <c r="A43" s="14" t="s">
        <v>13</v>
      </c>
      <c r="B43">
        <v>1</v>
      </c>
    </row>
    <row r="44" spans="1:2" x14ac:dyDescent="0.25">
      <c r="A44" s="14" t="s">
        <v>78</v>
      </c>
      <c r="B44">
        <v>1</v>
      </c>
    </row>
    <row r="45" spans="1:2" x14ac:dyDescent="0.25">
      <c r="A45" s="13" t="s">
        <v>88</v>
      </c>
      <c r="B45">
        <v>64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J64"/>
  <sheetViews>
    <sheetView tabSelected="1" topLeftCell="A45" workbookViewId="0">
      <selection activeCell="A64" sqref="A64"/>
    </sheetView>
  </sheetViews>
  <sheetFormatPr baseColWidth="10" defaultRowHeight="15" x14ac:dyDescent="0.25"/>
  <cols>
    <col min="1" max="1" width="10.42578125" bestFit="1" customWidth="1"/>
    <col min="2" max="2" width="18.7109375" bestFit="1" customWidth="1"/>
    <col min="3" max="3" width="50.7109375" customWidth="1"/>
    <col min="4" max="4" width="18.85546875" bestFit="1" customWidth="1"/>
    <col min="5" max="5" width="15.28515625" bestFit="1" customWidth="1"/>
    <col min="6" max="6" width="14.42578125" bestFit="1" customWidth="1"/>
    <col min="7" max="7" width="27.7109375" bestFit="1" customWidth="1"/>
    <col min="8" max="8" width="11.140625" bestFit="1" customWidth="1"/>
    <col min="9" max="9" width="25.7109375" bestFit="1" customWidth="1"/>
    <col min="10" max="10" width="12.140625" bestFit="1" customWidth="1"/>
  </cols>
  <sheetData>
    <row r="1" spans="1:10" x14ac:dyDescent="0.25">
      <c r="A1" s="1" t="s">
        <v>0</v>
      </c>
      <c r="B1" s="2" t="s">
        <v>1</v>
      </c>
      <c r="C1" s="2" t="s">
        <v>2</v>
      </c>
      <c r="D1" s="2" t="s">
        <v>3</v>
      </c>
      <c r="E1" s="2" t="s">
        <v>4</v>
      </c>
      <c r="F1" s="2" t="s">
        <v>5</v>
      </c>
      <c r="G1" s="2" t="s">
        <v>6</v>
      </c>
      <c r="H1" s="3" t="s">
        <v>7</v>
      </c>
      <c r="I1" s="4" t="s">
        <v>8</v>
      </c>
      <c r="J1" s="6" t="s">
        <v>65</v>
      </c>
    </row>
    <row r="2" spans="1:10" x14ac:dyDescent="0.25">
      <c r="A2" s="11">
        <v>46317</v>
      </c>
      <c r="B2" t="s">
        <v>79</v>
      </c>
      <c r="C2" s="5" t="s">
        <v>98</v>
      </c>
      <c r="D2" t="s">
        <v>12</v>
      </c>
      <c r="E2" t="s">
        <v>14</v>
      </c>
      <c r="F2" t="s">
        <v>95</v>
      </c>
      <c r="G2" t="s">
        <v>99</v>
      </c>
      <c r="H2" t="s">
        <v>11</v>
      </c>
      <c r="I2" t="str">
        <f>_xlfn.XLOOKUP(Tabla1[[#This Row],[Dependencia]],Tabla2[Dependencia],Tabla2[Clasificación],"XXX",0)</f>
        <v>Presidencia de la República</v>
      </c>
      <c r="J2" t="str">
        <f>_xlfn.XLOOKUP(Tabla1[[#This Row],[Dependencia]],Tabla3[Dependencia],Tabla3[Nivel],"Otros",0)</f>
        <v>Otros</v>
      </c>
    </row>
    <row r="3" spans="1:10" x14ac:dyDescent="0.25">
      <c r="A3" s="11">
        <v>46317</v>
      </c>
      <c r="B3" t="s">
        <v>79</v>
      </c>
      <c r="C3" s="5" t="s">
        <v>100</v>
      </c>
      <c r="D3" t="s">
        <v>12</v>
      </c>
      <c r="E3" t="s">
        <v>14</v>
      </c>
      <c r="F3" t="s">
        <v>95</v>
      </c>
      <c r="G3" t="s">
        <v>101</v>
      </c>
      <c r="H3" t="s">
        <v>72</v>
      </c>
      <c r="I3" t="str">
        <f>_xlfn.XLOOKUP(Tabla1[[#This Row],[Dependencia]],Tabla2[Dependencia],Tabla2[Clasificación],"XXX",0)</f>
        <v>Presidencia de la República</v>
      </c>
      <c r="J3" t="str">
        <f>_xlfn.XLOOKUP(Tabla1[[#This Row],[Dependencia]],Tabla3[Dependencia],Tabla3[Nivel],"Otros",0)</f>
        <v>Otros</v>
      </c>
    </row>
    <row r="4" spans="1:10" x14ac:dyDescent="0.25">
      <c r="A4" s="11">
        <v>46317</v>
      </c>
      <c r="B4" t="s">
        <v>79</v>
      </c>
      <c r="C4" s="5" t="s">
        <v>102</v>
      </c>
      <c r="D4" t="s">
        <v>12</v>
      </c>
      <c r="E4" t="s">
        <v>56</v>
      </c>
      <c r="F4" t="s">
        <v>56</v>
      </c>
      <c r="G4" t="s">
        <v>103</v>
      </c>
      <c r="H4" t="s">
        <v>72</v>
      </c>
      <c r="I4" t="str">
        <f>_xlfn.XLOOKUP(Tabla1[[#This Row],[Dependencia]],Tabla2[Dependencia],Tabla2[Clasificación],"XXX",0)</f>
        <v>Gobierno del estado</v>
      </c>
      <c r="J4" t="str">
        <f>_xlfn.XLOOKUP(Tabla1[[#This Row],[Dependencia]],Tabla3[Dependencia],Tabla3[Nivel],"Otros",0)</f>
        <v>Gabinete</v>
      </c>
    </row>
    <row r="5" spans="1:10" x14ac:dyDescent="0.25">
      <c r="A5" s="11">
        <v>46317</v>
      </c>
      <c r="B5" t="s">
        <v>79</v>
      </c>
      <c r="C5" s="5" t="s">
        <v>104</v>
      </c>
      <c r="D5" t="s">
        <v>12</v>
      </c>
      <c r="E5" t="s">
        <v>24</v>
      </c>
      <c r="F5" t="s">
        <v>24</v>
      </c>
      <c r="G5" t="s">
        <v>105</v>
      </c>
      <c r="H5" t="s">
        <v>72</v>
      </c>
      <c r="I5" t="str">
        <f>_xlfn.XLOOKUP(Tabla1[[#This Row],[Dependencia]],Tabla2[Dependencia],Tabla2[Clasificación],"XXX",0)</f>
        <v>Gobierno del estado</v>
      </c>
      <c r="J5" t="str">
        <f>_xlfn.XLOOKUP(Tabla1[[#This Row],[Dependencia]],Tabla3[Dependencia],Tabla3[Nivel],"Otros",0)</f>
        <v>Gobernador</v>
      </c>
    </row>
    <row r="6" spans="1:10" x14ac:dyDescent="0.25">
      <c r="A6" s="11">
        <v>46317</v>
      </c>
      <c r="B6" t="s">
        <v>79</v>
      </c>
      <c r="C6" s="5" t="s">
        <v>106</v>
      </c>
      <c r="D6" t="s">
        <v>9</v>
      </c>
      <c r="E6" t="s">
        <v>59</v>
      </c>
      <c r="F6" t="s">
        <v>59</v>
      </c>
      <c r="G6" t="s">
        <v>97</v>
      </c>
      <c r="H6" t="s">
        <v>11</v>
      </c>
      <c r="I6" t="str">
        <f>_xlfn.XLOOKUP(Tabla1[[#This Row],[Dependencia]],Tabla2[Dependencia],Tabla2[Clasificación],"XXX",0)</f>
        <v>Otros</v>
      </c>
      <c r="J6" t="str">
        <f>_xlfn.XLOOKUP(Tabla1[[#This Row],[Dependencia]],Tabla3[Dependencia],Tabla3[Nivel],"Otros",0)</f>
        <v>Otros</v>
      </c>
    </row>
    <row r="7" spans="1:10" x14ac:dyDescent="0.25">
      <c r="A7" s="11">
        <v>46317</v>
      </c>
      <c r="B7" t="s">
        <v>69</v>
      </c>
      <c r="C7" s="5" t="s">
        <v>107</v>
      </c>
      <c r="D7" t="s">
        <v>9</v>
      </c>
      <c r="E7" t="s">
        <v>28</v>
      </c>
      <c r="F7" t="s">
        <v>28</v>
      </c>
      <c r="G7" t="s">
        <v>108</v>
      </c>
      <c r="H7" t="s">
        <v>72</v>
      </c>
      <c r="I7" t="str">
        <f>_xlfn.XLOOKUP(Tabla1[[#This Row],[Dependencia]],Tabla2[Dependencia],Tabla2[Clasificación],"XXX",0)</f>
        <v>Gobierno del estado</v>
      </c>
      <c r="J7" t="str">
        <f>_xlfn.XLOOKUP(Tabla1[[#This Row],[Dependencia]],Tabla3[Dependencia],Tabla3[Nivel],"Otros",0)</f>
        <v>Gabinete</v>
      </c>
    </row>
    <row r="8" spans="1:10" ht="30" x14ac:dyDescent="0.25">
      <c r="A8" s="11">
        <v>46317</v>
      </c>
      <c r="B8" t="s">
        <v>69</v>
      </c>
      <c r="C8" s="5" t="s">
        <v>109</v>
      </c>
      <c r="D8" t="s">
        <v>12</v>
      </c>
      <c r="E8" t="s">
        <v>14</v>
      </c>
      <c r="F8" t="s">
        <v>14</v>
      </c>
      <c r="G8" t="s">
        <v>110</v>
      </c>
      <c r="H8" t="s">
        <v>11</v>
      </c>
      <c r="I8" t="str">
        <f>_xlfn.XLOOKUP(Tabla1[[#This Row],[Dependencia]],Tabla2[Dependencia],Tabla2[Clasificación],"XXX",0)</f>
        <v>Presidencia de la República</v>
      </c>
      <c r="J8" t="str">
        <f>_xlfn.XLOOKUP(Tabla1[[#This Row],[Dependencia]],Tabla3[Dependencia],Tabla3[Nivel],"Otros",0)</f>
        <v>Otros</v>
      </c>
    </row>
    <row r="9" spans="1:10" x14ac:dyDescent="0.25">
      <c r="A9" s="11">
        <v>46317</v>
      </c>
      <c r="B9" t="s">
        <v>69</v>
      </c>
      <c r="C9" s="5" t="s">
        <v>111</v>
      </c>
      <c r="D9" t="s">
        <v>12</v>
      </c>
      <c r="E9" t="s">
        <v>19</v>
      </c>
      <c r="F9" t="s">
        <v>2</v>
      </c>
      <c r="G9" t="s">
        <v>84</v>
      </c>
      <c r="H9" t="s">
        <v>11</v>
      </c>
      <c r="I9" t="str">
        <f>_xlfn.XLOOKUP(Tabla1[[#This Row],[Dependencia]],Tabla2[Dependencia],Tabla2[Clasificación],"XXX",0)</f>
        <v>Gobierno del estado</v>
      </c>
      <c r="J9" t="str">
        <f>_xlfn.XLOOKUP(Tabla1[[#This Row],[Dependencia]],Tabla3[Dependencia],Tabla3[Nivel],"Otros",0)</f>
        <v>Gabinete</v>
      </c>
    </row>
    <row r="10" spans="1:10" x14ac:dyDescent="0.25">
      <c r="A10" s="11">
        <v>46317</v>
      </c>
      <c r="B10" t="s">
        <v>69</v>
      </c>
      <c r="C10" s="5" t="s">
        <v>112</v>
      </c>
      <c r="D10" t="s">
        <v>12</v>
      </c>
      <c r="E10" t="s">
        <v>27</v>
      </c>
      <c r="F10" t="s">
        <v>2</v>
      </c>
      <c r="G10" t="s">
        <v>84</v>
      </c>
      <c r="H10" t="s">
        <v>11</v>
      </c>
      <c r="I10" t="str">
        <f>_xlfn.XLOOKUP(Tabla1[[#This Row],[Dependencia]],Tabla2[Dependencia],Tabla2[Clasificación],"XXX",0)</f>
        <v>Gobierno del estado</v>
      </c>
      <c r="J10" t="str">
        <f>_xlfn.XLOOKUP(Tabla1[[#This Row],[Dependencia]],Tabla3[Dependencia],Tabla3[Nivel],"Otros",0)</f>
        <v>Gabinete</v>
      </c>
    </row>
    <row r="11" spans="1:10" ht="30" x14ac:dyDescent="0.25">
      <c r="A11" s="11">
        <v>46317</v>
      </c>
      <c r="B11" t="s">
        <v>69</v>
      </c>
      <c r="C11" s="5" t="s">
        <v>113</v>
      </c>
      <c r="D11" t="s">
        <v>12</v>
      </c>
      <c r="E11" t="s">
        <v>24</v>
      </c>
      <c r="F11" t="s">
        <v>24</v>
      </c>
      <c r="G11" t="s">
        <v>105</v>
      </c>
      <c r="H11" t="s">
        <v>11</v>
      </c>
      <c r="I11" t="str">
        <f>_xlfn.XLOOKUP(Tabla1[[#This Row],[Dependencia]],Tabla2[Dependencia],Tabla2[Clasificación],"XXX",0)</f>
        <v>Gobierno del estado</v>
      </c>
      <c r="J11" t="str">
        <f>_xlfn.XLOOKUP(Tabla1[[#This Row],[Dependencia]],Tabla3[Dependencia],Tabla3[Nivel],"Otros",0)</f>
        <v>Gobernador</v>
      </c>
    </row>
    <row r="12" spans="1:10" x14ac:dyDescent="0.25">
      <c r="A12" s="11">
        <v>46317</v>
      </c>
      <c r="B12" t="s">
        <v>71</v>
      </c>
      <c r="C12" s="5" t="s">
        <v>114</v>
      </c>
      <c r="D12" t="s">
        <v>12</v>
      </c>
      <c r="E12" t="s">
        <v>59</v>
      </c>
      <c r="F12" t="s">
        <v>59</v>
      </c>
      <c r="G12" t="s">
        <v>115</v>
      </c>
      <c r="H12" t="s">
        <v>68</v>
      </c>
      <c r="I12" t="str">
        <f>_xlfn.XLOOKUP(Tabla1[[#This Row],[Dependencia]],Tabla2[Dependencia],Tabla2[Clasificación],"XXX",0)</f>
        <v>Otros</v>
      </c>
      <c r="J12" t="str">
        <f>_xlfn.XLOOKUP(Tabla1[[#This Row],[Dependencia]],Tabla3[Dependencia],Tabla3[Nivel],"Otros",0)</f>
        <v>Otros</v>
      </c>
    </row>
    <row r="13" spans="1:10" ht="30" x14ac:dyDescent="0.25">
      <c r="A13" s="11">
        <v>46317</v>
      </c>
      <c r="B13" t="s">
        <v>71</v>
      </c>
      <c r="C13" s="5" t="s">
        <v>116</v>
      </c>
      <c r="D13" t="s">
        <v>12</v>
      </c>
      <c r="E13" t="s">
        <v>19</v>
      </c>
      <c r="F13" t="s">
        <v>2</v>
      </c>
      <c r="G13" t="s">
        <v>84</v>
      </c>
      <c r="H13" t="s">
        <v>11</v>
      </c>
      <c r="I13" t="str">
        <f>_xlfn.XLOOKUP(Tabla1[[#This Row],[Dependencia]],Tabla2[Dependencia],Tabla2[Clasificación],"XXX",0)</f>
        <v>Gobierno del estado</v>
      </c>
      <c r="J13" t="str">
        <f>_xlfn.XLOOKUP(Tabla1[[#This Row],[Dependencia]],Tabla3[Dependencia],Tabla3[Nivel],"Otros",0)</f>
        <v>Gabinete</v>
      </c>
    </row>
    <row r="14" spans="1:10" x14ac:dyDescent="0.25">
      <c r="A14" s="11">
        <v>46317</v>
      </c>
      <c r="B14" t="s">
        <v>71</v>
      </c>
      <c r="C14" s="5" t="s">
        <v>117</v>
      </c>
      <c r="D14" t="s">
        <v>13</v>
      </c>
      <c r="E14" t="s">
        <v>27</v>
      </c>
      <c r="F14" t="s">
        <v>2</v>
      </c>
      <c r="G14" t="s">
        <v>84</v>
      </c>
      <c r="H14" t="s">
        <v>11</v>
      </c>
      <c r="I14" t="str">
        <f>_xlfn.XLOOKUP(Tabla1[[#This Row],[Dependencia]],Tabla2[Dependencia],Tabla2[Clasificación],"XXX",0)</f>
        <v>Gobierno del estado</v>
      </c>
      <c r="J14" t="str">
        <f>_xlfn.XLOOKUP(Tabla1[[#This Row],[Dependencia]],Tabla3[Dependencia],Tabla3[Nivel],"Otros",0)</f>
        <v>Gabinete</v>
      </c>
    </row>
    <row r="15" spans="1:10" x14ac:dyDescent="0.25">
      <c r="A15" s="11">
        <v>46317</v>
      </c>
      <c r="B15" t="s">
        <v>71</v>
      </c>
      <c r="C15" s="5" t="s">
        <v>118</v>
      </c>
      <c r="D15" t="s">
        <v>12</v>
      </c>
      <c r="E15" t="s">
        <v>59</v>
      </c>
      <c r="F15" t="s">
        <v>59</v>
      </c>
      <c r="G15" t="s">
        <v>97</v>
      </c>
      <c r="H15" t="s">
        <v>11</v>
      </c>
      <c r="I15" t="str">
        <f>_xlfn.XLOOKUP(Tabla1[[#This Row],[Dependencia]],Tabla2[Dependencia],Tabla2[Clasificación],"XXX",0)</f>
        <v>Otros</v>
      </c>
      <c r="J15" t="str">
        <f>_xlfn.XLOOKUP(Tabla1[[#This Row],[Dependencia]],Tabla3[Dependencia],Tabla3[Nivel],"Otros",0)</f>
        <v>Otros</v>
      </c>
    </row>
    <row r="16" spans="1:10" x14ac:dyDescent="0.25">
      <c r="A16" s="11">
        <v>46317</v>
      </c>
      <c r="B16" t="s">
        <v>71</v>
      </c>
      <c r="C16" s="5" t="s">
        <v>119</v>
      </c>
      <c r="D16" t="s">
        <v>9</v>
      </c>
      <c r="E16" t="s">
        <v>24</v>
      </c>
      <c r="F16" t="s">
        <v>24</v>
      </c>
      <c r="G16" t="s">
        <v>105</v>
      </c>
      <c r="H16" t="s">
        <v>11</v>
      </c>
      <c r="I16" t="str">
        <f>_xlfn.XLOOKUP(Tabla1[[#This Row],[Dependencia]],Tabla2[Dependencia],Tabla2[Clasificación],"XXX",0)</f>
        <v>Gobierno del estado</v>
      </c>
      <c r="J16" t="str">
        <f>_xlfn.XLOOKUP(Tabla1[[#This Row],[Dependencia]],Tabla3[Dependencia],Tabla3[Nivel],"Otros",0)</f>
        <v>Gobernador</v>
      </c>
    </row>
    <row r="17" spans="1:10" x14ac:dyDescent="0.25">
      <c r="A17" s="11">
        <v>46317</v>
      </c>
      <c r="B17" t="s">
        <v>71</v>
      </c>
      <c r="C17" s="5" t="s">
        <v>120</v>
      </c>
      <c r="D17" t="s">
        <v>12</v>
      </c>
      <c r="E17" t="s">
        <v>10</v>
      </c>
      <c r="F17" t="s">
        <v>10</v>
      </c>
      <c r="G17" t="s">
        <v>70</v>
      </c>
      <c r="H17" t="s">
        <v>11</v>
      </c>
      <c r="I17" t="str">
        <f>_xlfn.XLOOKUP(Tabla1[[#This Row],[Dependencia]],Tabla2[Dependencia],Tabla2[Clasificación],"XXX",0)</f>
        <v>Otros</v>
      </c>
      <c r="J17" t="str">
        <f>_xlfn.XLOOKUP(Tabla1[[#This Row],[Dependencia]],Tabla3[Dependencia],Tabla3[Nivel],"Otros",0)</f>
        <v>Otros</v>
      </c>
    </row>
    <row r="18" spans="1:10" x14ac:dyDescent="0.25">
      <c r="A18" s="11">
        <v>46317</v>
      </c>
      <c r="B18" t="s">
        <v>71</v>
      </c>
      <c r="C18" s="5" t="s">
        <v>121</v>
      </c>
      <c r="D18" t="s">
        <v>12</v>
      </c>
      <c r="E18" t="s">
        <v>10</v>
      </c>
      <c r="F18" t="s">
        <v>10</v>
      </c>
      <c r="G18" t="s">
        <v>70</v>
      </c>
      <c r="H18" t="s">
        <v>11</v>
      </c>
      <c r="I18" t="str">
        <f>_xlfn.XLOOKUP(Tabla1[[#This Row],[Dependencia]],Tabla2[Dependencia],Tabla2[Clasificación],"XXX",0)</f>
        <v>Otros</v>
      </c>
      <c r="J18" t="str">
        <f>_xlfn.XLOOKUP(Tabla1[[#This Row],[Dependencia]],Tabla3[Dependencia],Tabla3[Nivel],"Otros",0)</f>
        <v>Otros</v>
      </c>
    </row>
    <row r="19" spans="1:10" ht="75" x14ac:dyDescent="0.25">
      <c r="A19" s="11">
        <v>46317</v>
      </c>
      <c r="B19" t="s">
        <v>74</v>
      </c>
      <c r="C19" s="5" t="s">
        <v>122</v>
      </c>
      <c r="D19" t="s">
        <v>13</v>
      </c>
      <c r="E19" t="s">
        <v>27</v>
      </c>
      <c r="F19" t="s">
        <v>27</v>
      </c>
      <c r="G19" t="s">
        <v>96</v>
      </c>
      <c r="H19" t="s">
        <v>68</v>
      </c>
      <c r="I19" t="str">
        <f>_xlfn.XLOOKUP(Tabla1[[#This Row],[Dependencia]],Tabla2[Dependencia],Tabla2[Clasificación],"XXX",0)</f>
        <v>Gobierno del estado</v>
      </c>
      <c r="J19" t="str">
        <f>_xlfn.XLOOKUP(Tabla1[[#This Row],[Dependencia]],Tabla3[Dependencia],Tabla3[Nivel],"Otros",0)</f>
        <v>Gabinete</v>
      </c>
    </row>
    <row r="20" spans="1:10" ht="30" x14ac:dyDescent="0.25">
      <c r="A20" s="11">
        <v>46317</v>
      </c>
      <c r="B20" t="s">
        <v>74</v>
      </c>
      <c r="C20" s="5" t="s">
        <v>123</v>
      </c>
      <c r="D20" t="s">
        <v>12</v>
      </c>
      <c r="E20" t="s">
        <v>27</v>
      </c>
      <c r="F20" t="s">
        <v>2</v>
      </c>
      <c r="G20" t="s">
        <v>84</v>
      </c>
      <c r="H20" t="s">
        <v>68</v>
      </c>
      <c r="I20" t="str">
        <f>_xlfn.XLOOKUP(Tabla1[[#This Row],[Dependencia]],Tabla2[Dependencia],Tabla2[Clasificación],"XXX",0)</f>
        <v>Gobierno del estado</v>
      </c>
      <c r="J20" t="str">
        <f>_xlfn.XLOOKUP(Tabla1[[#This Row],[Dependencia]],Tabla3[Dependencia],Tabla3[Nivel],"Otros",0)</f>
        <v>Gabinete</v>
      </c>
    </row>
    <row r="21" spans="1:10" ht="30" x14ac:dyDescent="0.25">
      <c r="A21" s="11">
        <v>46317</v>
      </c>
      <c r="B21" t="s">
        <v>74</v>
      </c>
      <c r="C21" s="5" t="s">
        <v>124</v>
      </c>
      <c r="D21" t="s">
        <v>12</v>
      </c>
      <c r="E21" t="s">
        <v>19</v>
      </c>
      <c r="F21" t="s">
        <v>2</v>
      </c>
      <c r="G21" t="s">
        <v>84</v>
      </c>
      <c r="H21" t="s">
        <v>72</v>
      </c>
      <c r="I21" t="str">
        <f>_xlfn.XLOOKUP(Tabla1[[#This Row],[Dependencia]],Tabla2[Dependencia],Tabla2[Clasificación],"XXX",0)</f>
        <v>Gobierno del estado</v>
      </c>
      <c r="J21" t="str">
        <f>_xlfn.XLOOKUP(Tabla1[[#This Row],[Dependencia]],Tabla3[Dependencia],Tabla3[Nivel],"Otros",0)</f>
        <v>Gabinete</v>
      </c>
    </row>
    <row r="22" spans="1:10" x14ac:dyDescent="0.25">
      <c r="A22" s="11">
        <v>46317</v>
      </c>
      <c r="B22" t="s">
        <v>74</v>
      </c>
      <c r="C22" s="5" t="s">
        <v>125</v>
      </c>
      <c r="D22" t="s">
        <v>12</v>
      </c>
      <c r="E22" t="s">
        <v>59</v>
      </c>
      <c r="F22" t="s">
        <v>59</v>
      </c>
      <c r="G22" t="s">
        <v>97</v>
      </c>
      <c r="H22" t="s">
        <v>11</v>
      </c>
      <c r="I22" t="str">
        <f>_xlfn.XLOOKUP(Tabla1[[#This Row],[Dependencia]],Tabla2[Dependencia],Tabla2[Clasificación],"XXX",0)</f>
        <v>Otros</v>
      </c>
      <c r="J22" t="str">
        <f>_xlfn.XLOOKUP(Tabla1[[#This Row],[Dependencia]],Tabla3[Dependencia],Tabla3[Nivel],"Otros",0)</f>
        <v>Otros</v>
      </c>
    </row>
    <row r="23" spans="1:10" ht="30" x14ac:dyDescent="0.25">
      <c r="A23" s="11">
        <v>46317</v>
      </c>
      <c r="B23" t="s">
        <v>74</v>
      </c>
      <c r="C23" s="5" t="s">
        <v>126</v>
      </c>
      <c r="D23" t="s">
        <v>127</v>
      </c>
      <c r="E23" t="s">
        <v>59</v>
      </c>
      <c r="F23" t="s">
        <v>59</v>
      </c>
      <c r="G23" t="s">
        <v>97</v>
      </c>
      <c r="H23" t="s">
        <v>11</v>
      </c>
      <c r="I23" t="str">
        <f>_xlfn.XLOOKUP(Tabla1[[#This Row],[Dependencia]],Tabla2[Dependencia],Tabla2[Clasificación],"XXX",0)</f>
        <v>Otros</v>
      </c>
      <c r="J23" t="str">
        <f>_xlfn.XLOOKUP(Tabla1[[#This Row],[Dependencia]],Tabla3[Dependencia],Tabla3[Nivel],"Otros",0)</f>
        <v>Otros</v>
      </c>
    </row>
    <row r="24" spans="1:10" ht="30" x14ac:dyDescent="0.25">
      <c r="A24" s="11">
        <v>46317</v>
      </c>
      <c r="B24" t="s">
        <v>74</v>
      </c>
      <c r="C24" s="5" t="s">
        <v>128</v>
      </c>
      <c r="D24" t="s">
        <v>12</v>
      </c>
      <c r="E24" t="s">
        <v>10</v>
      </c>
      <c r="F24" t="s">
        <v>10</v>
      </c>
      <c r="G24" t="s">
        <v>91</v>
      </c>
      <c r="H24" t="s">
        <v>68</v>
      </c>
      <c r="I24" t="str">
        <f>_xlfn.XLOOKUP(Tabla1[[#This Row],[Dependencia]],Tabla2[Dependencia],Tabla2[Clasificación],"XXX",0)</f>
        <v>Otros</v>
      </c>
      <c r="J24" t="str">
        <f>_xlfn.XLOOKUP(Tabla1[[#This Row],[Dependencia]],Tabla3[Dependencia],Tabla3[Nivel],"Otros",0)</f>
        <v>Otros</v>
      </c>
    </row>
    <row r="25" spans="1:10" ht="30" x14ac:dyDescent="0.25">
      <c r="A25" s="11">
        <v>46317</v>
      </c>
      <c r="B25" t="s">
        <v>74</v>
      </c>
      <c r="C25" s="5" t="s">
        <v>129</v>
      </c>
      <c r="D25" t="s">
        <v>12</v>
      </c>
      <c r="E25" t="s">
        <v>14</v>
      </c>
      <c r="F25" t="s">
        <v>95</v>
      </c>
      <c r="G25" t="s">
        <v>101</v>
      </c>
      <c r="H25" t="s">
        <v>11</v>
      </c>
      <c r="I25" t="str">
        <f>_xlfn.XLOOKUP(Tabla1[[#This Row],[Dependencia]],Tabla2[Dependencia],Tabla2[Clasificación],"XXX",0)</f>
        <v>Presidencia de la República</v>
      </c>
      <c r="J25" t="str">
        <f>_xlfn.XLOOKUP(Tabla1[[#This Row],[Dependencia]],Tabla3[Dependencia],Tabla3[Nivel],"Otros",0)</f>
        <v>Otros</v>
      </c>
    </row>
    <row r="26" spans="1:10" x14ac:dyDescent="0.25">
      <c r="A26" s="11">
        <v>46317</v>
      </c>
      <c r="B26" t="s">
        <v>74</v>
      </c>
      <c r="C26" s="5" t="s">
        <v>130</v>
      </c>
      <c r="D26" t="s">
        <v>12</v>
      </c>
      <c r="E26" t="s">
        <v>14</v>
      </c>
      <c r="F26" t="s">
        <v>95</v>
      </c>
      <c r="G26" t="s">
        <v>131</v>
      </c>
      <c r="H26" t="s">
        <v>72</v>
      </c>
      <c r="I26" t="str">
        <f>_xlfn.XLOOKUP(Tabla1[[#This Row],[Dependencia]],Tabla2[Dependencia],Tabla2[Clasificación],"XXX",0)</f>
        <v>Presidencia de la República</v>
      </c>
      <c r="J26" t="str">
        <f>_xlfn.XLOOKUP(Tabla1[[#This Row],[Dependencia]],Tabla3[Dependencia],Tabla3[Nivel],"Otros",0)</f>
        <v>Otros</v>
      </c>
    </row>
    <row r="27" spans="1:10" x14ac:dyDescent="0.25">
      <c r="A27" s="11">
        <v>46317</v>
      </c>
      <c r="B27" t="s">
        <v>74</v>
      </c>
      <c r="C27" s="5" t="s">
        <v>132</v>
      </c>
      <c r="D27" t="s">
        <v>12</v>
      </c>
      <c r="E27" t="s">
        <v>10</v>
      </c>
      <c r="F27" t="s">
        <v>10</v>
      </c>
      <c r="G27" t="s">
        <v>133</v>
      </c>
      <c r="H27" t="s">
        <v>11</v>
      </c>
      <c r="I27" t="str">
        <f>_xlfn.XLOOKUP(Tabla1[[#This Row],[Dependencia]],Tabla2[Dependencia],Tabla2[Clasificación],"XXX",0)</f>
        <v>Otros</v>
      </c>
      <c r="J27" t="str">
        <f>_xlfn.XLOOKUP(Tabla1[[#This Row],[Dependencia]],Tabla3[Dependencia],Tabla3[Nivel],"Otros",0)</f>
        <v>Otros</v>
      </c>
    </row>
    <row r="28" spans="1:10" ht="30" x14ac:dyDescent="0.25">
      <c r="A28" s="11">
        <v>46317</v>
      </c>
      <c r="B28" t="s">
        <v>77</v>
      </c>
      <c r="C28" s="5" t="s">
        <v>134</v>
      </c>
      <c r="D28" t="s">
        <v>12</v>
      </c>
      <c r="E28" t="s">
        <v>135</v>
      </c>
      <c r="F28" t="s">
        <v>135</v>
      </c>
      <c r="G28" t="s">
        <v>136</v>
      </c>
      <c r="H28" t="s">
        <v>11</v>
      </c>
      <c r="I28" t="str">
        <f>_xlfn.XLOOKUP(Tabla1[[#This Row],[Dependencia]],Tabla2[Dependencia],Tabla2[Clasificación],"XXX",0)</f>
        <v>Gobierno del estado</v>
      </c>
      <c r="J28" t="str">
        <f>_xlfn.XLOOKUP(Tabla1[[#This Row],[Dependencia]],Tabla3[Dependencia],Tabla3[Nivel],"Otros",0)</f>
        <v>Gabinete</v>
      </c>
    </row>
    <row r="29" spans="1:10" ht="30" x14ac:dyDescent="0.25">
      <c r="A29" s="11">
        <v>46317</v>
      </c>
      <c r="B29" t="s">
        <v>77</v>
      </c>
      <c r="C29" s="5" t="s">
        <v>137</v>
      </c>
      <c r="D29" t="s">
        <v>13</v>
      </c>
      <c r="E29" t="s">
        <v>27</v>
      </c>
      <c r="F29" t="s">
        <v>2</v>
      </c>
      <c r="G29" t="s">
        <v>84</v>
      </c>
      <c r="H29" t="s">
        <v>11</v>
      </c>
      <c r="I29" t="str">
        <f>_xlfn.XLOOKUP(Tabla1[[#This Row],[Dependencia]],Tabla2[Dependencia],Tabla2[Clasificación],"XXX",0)</f>
        <v>Gobierno del estado</v>
      </c>
      <c r="J29" t="str">
        <f>_xlfn.XLOOKUP(Tabla1[[#This Row],[Dependencia]],Tabla3[Dependencia],Tabla3[Nivel],"Otros",0)</f>
        <v>Gabinete</v>
      </c>
    </row>
    <row r="30" spans="1:10" x14ac:dyDescent="0.25">
      <c r="A30" s="11">
        <v>46317</v>
      </c>
      <c r="B30" t="s">
        <v>77</v>
      </c>
      <c r="C30" s="5" t="s">
        <v>138</v>
      </c>
      <c r="D30" t="s">
        <v>127</v>
      </c>
      <c r="E30" t="s">
        <v>24</v>
      </c>
      <c r="F30" t="s">
        <v>24</v>
      </c>
      <c r="G30" t="s">
        <v>110</v>
      </c>
      <c r="H30" t="s">
        <v>72</v>
      </c>
      <c r="I30" t="str">
        <f>_xlfn.XLOOKUP(Tabla1[[#This Row],[Dependencia]],Tabla2[Dependencia],Tabla2[Clasificación],"XXX",0)</f>
        <v>Gobierno del estado</v>
      </c>
      <c r="J30" t="str">
        <f>_xlfn.XLOOKUP(Tabla1[[#This Row],[Dependencia]],Tabla3[Dependencia],Tabla3[Nivel],"Otros",0)</f>
        <v>Gobernador</v>
      </c>
    </row>
    <row r="31" spans="1:10" x14ac:dyDescent="0.25">
      <c r="A31" s="11">
        <v>46317</v>
      </c>
      <c r="B31" t="s">
        <v>77</v>
      </c>
      <c r="C31" s="5" t="s">
        <v>139</v>
      </c>
      <c r="D31" t="s">
        <v>12</v>
      </c>
      <c r="E31" t="s">
        <v>14</v>
      </c>
      <c r="F31" t="s">
        <v>95</v>
      </c>
      <c r="G31" t="s">
        <v>101</v>
      </c>
      <c r="H31" t="s">
        <v>72</v>
      </c>
      <c r="I31" t="str">
        <f>_xlfn.XLOOKUP(Tabla1[[#This Row],[Dependencia]],Tabla2[Dependencia],Tabla2[Clasificación],"XXX",0)</f>
        <v>Presidencia de la República</v>
      </c>
      <c r="J31" t="str">
        <f>_xlfn.XLOOKUP(Tabla1[[#This Row],[Dependencia]],Tabla3[Dependencia],Tabla3[Nivel],"Otros",0)</f>
        <v>Otros</v>
      </c>
    </row>
    <row r="32" spans="1:10" ht="90" x14ac:dyDescent="0.25">
      <c r="A32" s="11">
        <v>46317</v>
      </c>
      <c r="B32" t="s">
        <v>77</v>
      </c>
      <c r="C32" s="5" t="s">
        <v>140</v>
      </c>
      <c r="D32" t="s">
        <v>85</v>
      </c>
      <c r="E32" t="s">
        <v>51</v>
      </c>
      <c r="F32" t="s">
        <v>51</v>
      </c>
      <c r="G32" t="s">
        <v>115</v>
      </c>
      <c r="H32" t="s">
        <v>68</v>
      </c>
      <c r="I32" t="str">
        <f>_xlfn.XLOOKUP(Tabla1[[#This Row],[Dependencia]],Tabla2[Dependencia],Tabla2[Clasificación],"XXX",0)</f>
        <v>Partidos</v>
      </c>
      <c r="J32" t="str">
        <f>_xlfn.XLOOKUP(Tabla1[[#This Row],[Dependencia]],Tabla3[Dependencia],Tabla3[Nivel],"Otros",0)</f>
        <v>Otros</v>
      </c>
    </row>
    <row r="33" spans="1:10" ht="30" x14ac:dyDescent="0.25">
      <c r="A33" s="11">
        <v>46317</v>
      </c>
      <c r="B33" t="s">
        <v>73</v>
      </c>
      <c r="C33" s="5" t="s">
        <v>141</v>
      </c>
      <c r="D33" t="s">
        <v>13</v>
      </c>
      <c r="E33" t="s">
        <v>27</v>
      </c>
      <c r="F33" t="s">
        <v>2</v>
      </c>
      <c r="G33" t="s">
        <v>84</v>
      </c>
      <c r="H33" t="s">
        <v>11</v>
      </c>
      <c r="I33" t="str">
        <f>_xlfn.XLOOKUP(Tabla1[[#This Row],[Dependencia]],Tabla2[Dependencia],Tabla2[Clasificación],"XXX",0)</f>
        <v>Gobierno del estado</v>
      </c>
      <c r="J33" t="str">
        <f>_xlfn.XLOOKUP(Tabla1[[#This Row],[Dependencia]],Tabla3[Dependencia],Tabla3[Nivel],"Otros",0)</f>
        <v>Gabinete</v>
      </c>
    </row>
    <row r="34" spans="1:10" ht="30" x14ac:dyDescent="0.25">
      <c r="A34" s="11">
        <v>46317</v>
      </c>
      <c r="B34" t="s">
        <v>73</v>
      </c>
      <c r="C34" s="5" t="s">
        <v>142</v>
      </c>
      <c r="D34" t="s">
        <v>12</v>
      </c>
      <c r="E34" t="s">
        <v>135</v>
      </c>
      <c r="F34" t="s">
        <v>135</v>
      </c>
      <c r="G34" t="s">
        <v>143</v>
      </c>
      <c r="H34" t="s">
        <v>11</v>
      </c>
      <c r="I34" t="str">
        <f>_xlfn.XLOOKUP(Tabla1[[#This Row],[Dependencia]],Tabla2[Dependencia],Tabla2[Clasificación],"XXX",0)</f>
        <v>Gobierno del estado</v>
      </c>
      <c r="J34" t="str">
        <f>_xlfn.XLOOKUP(Tabla1[[#This Row],[Dependencia]],Tabla3[Dependencia],Tabla3[Nivel],"Otros",0)</f>
        <v>Gabinete</v>
      </c>
    </row>
    <row r="35" spans="1:10" ht="30" x14ac:dyDescent="0.25">
      <c r="A35" s="11">
        <v>46317</v>
      </c>
      <c r="B35" t="s">
        <v>73</v>
      </c>
      <c r="C35" s="5" t="s">
        <v>144</v>
      </c>
      <c r="D35" t="s">
        <v>12</v>
      </c>
      <c r="E35" t="s">
        <v>27</v>
      </c>
      <c r="F35" t="s">
        <v>2</v>
      </c>
      <c r="G35" t="s">
        <v>84</v>
      </c>
      <c r="H35" t="s">
        <v>11</v>
      </c>
      <c r="I35" t="str">
        <f>_xlfn.XLOOKUP(Tabla1[[#This Row],[Dependencia]],Tabla2[Dependencia],Tabla2[Clasificación],"XXX",0)</f>
        <v>Gobierno del estado</v>
      </c>
      <c r="J35" t="str">
        <f>_xlfn.XLOOKUP(Tabla1[[#This Row],[Dependencia]],Tabla3[Dependencia],Tabla3[Nivel],"Otros",0)</f>
        <v>Gabinete</v>
      </c>
    </row>
    <row r="36" spans="1:10" ht="30" x14ac:dyDescent="0.25">
      <c r="A36" s="11">
        <v>46317</v>
      </c>
      <c r="B36" t="s">
        <v>73</v>
      </c>
      <c r="C36" s="5" t="s">
        <v>145</v>
      </c>
      <c r="D36" t="s">
        <v>12</v>
      </c>
      <c r="E36" t="s">
        <v>61</v>
      </c>
      <c r="F36" t="s">
        <v>146</v>
      </c>
      <c r="G36" t="s">
        <v>147</v>
      </c>
      <c r="H36" t="s">
        <v>68</v>
      </c>
      <c r="I36" t="str">
        <f>_xlfn.XLOOKUP(Tabla1[[#This Row],[Dependencia]],Tabla2[Dependencia],Tabla2[Clasificación],"XXX",0)</f>
        <v>Sucesión gubernamental</v>
      </c>
      <c r="J36" t="str">
        <f>_xlfn.XLOOKUP(Tabla1[[#This Row],[Dependencia]],Tabla3[Dependencia],Tabla3[Nivel],"Otros",0)</f>
        <v>Otros</v>
      </c>
    </row>
    <row r="37" spans="1:10" ht="30" x14ac:dyDescent="0.25">
      <c r="A37" s="11">
        <v>46317</v>
      </c>
      <c r="B37" t="s">
        <v>73</v>
      </c>
      <c r="C37" s="5" t="s">
        <v>148</v>
      </c>
      <c r="D37" t="s">
        <v>12</v>
      </c>
      <c r="E37" t="s">
        <v>149</v>
      </c>
      <c r="F37" t="s">
        <v>149</v>
      </c>
      <c r="G37" t="s">
        <v>147</v>
      </c>
      <c r="H37" t="s">
        <v>68</v>
      </c>
      <c r="I37" t="str">
        <f>_xlfn.XLOOKUP(Tabla1[[#This Row],[Dependencia]],Tabla2[Dependencia],Tabla2[Clasificación],"XXX",0)</f>
        <v>Partidos</v>
      </c>
      <c r="J37" t="str">
        <f>_xlfn.XLOOKUP(Tabla1[[#This Row],[Dependencia]],Tabla3[Dependencia],Tabla3[Nivel],"Otros",0)</f>
        <v>Otros</v>
      </c>
    </row>
    <row r="38" spans="1:10" ht="30" x14ac:dyDescent="0.25">
      <c r="A38" s="11">
        <v>46317</v>
      </c>
      <c r="B38" t="s">
        <v>73</v>
      </c>
      <c r="C38" s="5" t="s">
        <v>150</v>
      </c>
      <c r="D38" t="s">
        <v>12</v>
      </c>
      <c r="E38" t="s">
        <v>10</v>
      </c>
      <c r="F38" t="s">
        <v>10</v>
      </c>
      <c r="G38" t="s">
        <v>94</v>
      </c>
      <c r="H38" t="s">
        <v>72</v>
      </c>
      <c r="I38" t="str">
        <f>_xlfn.XLOOKUP(Tabla1[[#This Row],[Dependencia]],Tabla2[Dependencia],Tabla2[Clasificación],"XXX",0)</f>
        <v>Otros</v>
      </c>
      <c r="J38" t="str">
        <f>_xlfn.XLOOKUP(Tabla1[[#This Row],[Dependencia]],Tabla3[Dependencia],Tabla3[Nivel],"Otros",0)</f>
        <v>Otros</v>
      </c>
    </row>
    <row r="39" spans="1:10" ht="45" x14ac:dyDescent="0.25">
      <c r="A39" s="11">
        <v>46317</v>
      </c>
      <c r="B39" t="s">
        <v>73</v>
      </c>
      <c r="C39" s="5" t="s">
        <v>151</v>
      </c>
      <c r="D39" t="s">
        <v>12</v>
      </c>
      <c r="E39" t="s">
        <v>61</v>
      </c>
      <c r="F39" t="s">
        <v>152</v>
      </c>
      <c r="G39" t="s">
        <v>153</v>
      </c>
      <c r="H39" t="s">
        <v>68</v>
      </c>
      <c r="I39" t="str">
        <f>_xlfn.XLOOKUP(Tabla1[[#This Row],[Dependencia]],Tabla2[Dependencia],Tabla2[Clasificación],"XXX",0)</f>
        <v>Sucesión gubernamental</v>
      </c>
      <c r="J39" t="str">
        <f>_xlfn.XLOOKUP(Tabla1[[#This Row],[Dependencia]],Tabla3[Dependencia],Tabla3[Nivel],"Otros",0)</f>
        <v>Otros</v>
      </c>
    </row>
    <row r="40" spans="1:10" x14ac:dyDescent="0.25">
      <c r="A40" s="11">
        <v>46317</v>
      </c>
      <c r="B40" t="s">
        <v>73</v>
      </c>
      <c r="C40" s="5" t="s">
        <v>154</v>
      </c>
      <c r="D40" t="s">
        <v>12</v>
      </c>
      <c r="E40" t="s">
        <v>10</v>
      </c>
      <c r="F40" t="s">
        <v>10</v>
      </c>
      <c r="G40" t="s">
        <v>94</v>
      </c>
      <c r="H40" t="s">
        <v>11</v>
      </c>
      <c r="I40" t="str">
        <f>_xlfn.XLOOKUP(Tabla1[[#This Row],[Dependencia]],Tabla2[Dependencia],Tabla2[Clasificación],"XXX",0)</f>
        <v>Otros</v>
      </c>
      <c r="J40" t="str">
        <f>_xlfn.XLOOKUP(Tabla1[[#This Row],[Dependencia]],Tabla3[Dependencia],Tabla3[Nivel],"Otros",0)</f>
        <v>Otros</v>
      </c>
    </row>
    <row r="41" spans="1:10" x14ac:dyDescent="0.25">
      <c r="A41" s="11">
        <v>46317</v>
      </c>
      <c r="B41" t="s">
        <v>73</v>
      </c>
      <c r="C41" s="5" t="s">
        <v>155</v>
      </c>
      <c r="D41" t="s">
        <v>13</v>
      </c>
      <c r="E41" t="s">
        <v>51</v>
      </c>
      <c r="F41" t="s">
        <v>51</v>
      </c>
      <c r="G41" t="s">
        <v>156</v>
      </c>
      <c r="H41" t="s">
        <v>11</v>
      </c>
      <c r="I41" t="str">
        <f>_xlfn.XLOOKUP(Tabla1[[#This Row],[Dependencia]],Tabla2[Dependencia],Tabla2[Clasificación],"XXX",0)</f>
        <v>Partidos</v>
      </c>
      <c r="J41" t="str">
        <f>_xlfn.XLOOKUP(Tabla1[[#This Row],[Dependencia]],Tabla3[Dependencia],Tabla3[Nivel],"Otros",0)</f>
        <v>Otros</v>
      </c>
    </row>
    <row r="42" spans="1:10" x14ac:dyDescent="0.25">
      <c r="A42" s="11">
        <v>46317</v>
      </c>
      <c r="B42" t="s">
        <v>73</v>
      </c>
      <c r="C42" s="5" t="s">
        <v>157</v>
      </c>
      <c r="D42" t="s">
        <v>9</v>
      </c>
      <c r="E42" t="s">
        <v>59</v>
      </c>
      <c r="F42" t="s">
        <v>59</v>
      </c>
      <c r="G42" t="s">
        <v>115</v>
      </c>
      <c r="H42" t="s">
        <v>11</v>
      </c>
      <c r="I42" t="str">
        <f>_xlfn.XLOOKUP(Tabla1[[#This Row],[Dependencia]],Tabla2[Dependencia],Tabla2[Clasificación],"XXX",0)</f>
        <v>Otros</v>
      </c>
      <c r="J42" t="str">
        <f>_xlfn.XLOOKUP(Tabla1[[#This Row],[Dependencia]],Tabla3[Dependencia],Tabla3[Nivel],"Otros",0)</f>
        <v>Otros</v>
      </c>
    </row>
    <row r="43" spans="1:10" x14ac:dyDescent="0.25">
      <c r="A43" s="11">
        <v>46317</v>
      </c>
      <c r="B43" t="s">
        <v>73</v>
      </c>
      <c r="C43" s="5" t="s">
        <v>158</v>
      </c>
      <c r="D43" t="s">
        <v>12</v>
      </c>
      <c r="E43" t="s">
        <v>27</v>
      </c>
      <c r="F43" t="s">
        <v>2</v>
      </c>
      <c r="G43" t="s">
        <v>84</v>
      </c>
      <c r="H43" t="s">
        <v>11</v>
      </c>
      <c r="I43" t="str">
        <f>_xlfn.XLOOKUP(Tabla1[[#This Row],[Dependencia]],Tabla2[Dependencia],Tabla2[Clasificación],"XXX",0)</f>
        <v>Gobierno del estado</v>
      </c>
      <c r="J43" t="str">
        <f>_xlfn.XLOOKUP(Tabla1[[#This Row],[Dependencia]],Tabla3[Dependencia],Tabla3[Nivel],"Otros",0)</f>
        <v>Gabinete</v>
      </c>
    </row>
    <row r="44" spans="1:10" x14ac:dyDescent="0.25">
      <c r="A44" s="11">
        <v>46317</v>
      </c>
      <c r="B44" t="s">
        <v>73</v>
      </c>
      <c r="C44" s="5" t="s">
        <v>159</v>
      </c>
      <c r="D44" t="s">
        <v>12</v>
      </c>
      <c r="E44" t="s">
        <v>27</v>
      </c>
      <c r="F44" t="s">
        <v>27</v>
      </c>
      <c r="G44" t="s">
        <v>96</v>
      </c>
      <c r="H44" t="s">
        <v>11</v>
      </c>
      <c r="I44" t="str">
        <f>_xlfn.XLOOKUP(Tabla1[[#This Row],[Dependencia]],Tabla2[Dependencia],Tabla2[Clasificación],"XXX",0)</f>
        <v>Gobierno del estado</v>
      </c>
      <c r="J44" t="str">
        <f>_xlfn.XLOOKUP(Tabla1[[#This Row],[Dependencia]],Tabla3[Dependencia],Tabla3[Nivel],"Otros",0)</f>
        <v>Gabinete</v>
      </c>
    </row>
    <row r="45" spans="1:10" ht="30" x14ac:dyDescent="0.25">
      <c r="A45" s="11">
        <v>46317</v>
      </c>
      <c r="B45" t="s">
        <v>80</v>
      </c>
      <c r="C45" s="5" t="s">
        <v>160</v>
      </c>
      <c r="D45" t="s">
        <v>81</v>
      </c>
      <c r="E45" t="s">
        <v>26</v>
      </c>
      <c r="F45" t="s">
        <v>26</v>
      </c>
      <c r="G45" t="s">
        <v>161</v>
      </c>
      <c r="H45" t="s">
        <v>68</v>
      </c>
      <c r="I45" t="str">
        <f>_xlfn.XLOOKUP(Tabla1[[#This Row],[Dependencia]],Tabla2[Dependencia],Tabla2[Clasificación],"XXX",0)</f>
        <v>Gobierno del estado</v>
      </c>
      <c r="J45" t="str">
        <f>_xlfn.XLOOKUP(Tabla1[[#This Row],[Dependencia]],Tabla3[Dependencia],Tabla3[Nivel],"Otros",0)</f>
        <v>Gabinete</v>
      </c>
    </row>
    <row r="46" spans="1:10" ht="30" x14ac:dyDescent="0.25">
      <c r="A46" s="11">
        <v>46317</v>
      </c>
      <c r="B46" t="s">
        <v>80</v>
      </c>
      <c r="C46" s="5" t="s">
        <v>162</v>
      </c>
      <c r="D46" t="s">
        <v>12</v>
      </c>
      <c r="E46" t="s">
        <v>16</v>
      </c>
      <c r="F46" t="s">
        <v>83</v>
      </c>
      <c r="G46" t="s">
        <v>92</v>
      </c>
      <c r="H46" t="s">
        <v>11</v>
      </c>
      <c r="I46" t="str">
        <f>_xlfn.XLOOKUP(Tabla1[[#This Row],[Dependencia]],Tabla2[Dependencia],Tabla2[Clasificación],"XXX",0)</f>
        <v>Alcaldías</v>
      </c>
      <c r="J46" t="str">
        <f>_xlfn.XLOOKUP(Tabla1[[#This Row],[Dependencia]],Tabla3[Dependencia],Tabla3[Nivel],"Otros",0)</f>
        <v>Otros</v>
      </c>
    </row>
    <row r="47" spans="1:10" ht="30" x14ac:dyDescent="0.25">
      <c r="A47" s="11">
        <v>46317</v>
      </c>
      <c r="B47" t="s">
        <v>80</v>
      </c>
      <c r="C47" s="5" t="s">
        <v>163</v>
      </c>
      <c r="D47" t="s">
        <v>13</v>
      </c>
      <c r="E47" t="s">
        <v>149</v>
      </c>
      <c r="F47" t="s">
        <v>149</v>
      </c>
      <c r="G47" t="s">
        <v>147</v>
      </c>
      <c r="H47" t="s">
        <v>68</v>
      </c>
      <c r="I47" t="str">
        <f>_xlfn.XLOOKUP(Tabla1[[#This Row],[Dependencia]],Tabla2[Dependencia],Tabla2[Clasificación],"XXX",0)</f>
        <v>Partidos</v>
      </c>
      <c r="J47" t="str">
        <f>_xlfn.XLOOKUP(Tabla1[[#This Row],[Dependencia]],Tabla3[Dependencia],Tabla3[Nivel],"Otros",0)</f>
        <v>Otros</v>
      </c>
    </row>
    <row r="48" spans="1:10" ht="30" x14ac:dyDescent="0.25">
      <c r="A48" s="11">
        <v>46317</v>
      </c>
      <c r="B48" t="s">
        <v>80</v>
      </c>
      <c r="C48" s="5" t="s">
        <v>163</v>
      </c>
      <c r="D48" t="s">
        <v>13</v>
      </c>
      <c r="E48" t="s">
        <v>61</v>
      </c>
      <c r="F48" t="s">
        <v>146</v>
      </c>
      <c r="G48" t="s">
        <v>147</v>
      </c>
      <c r="H48" t="s">
        <v>68</v>
      </c>
      <c r="I48" t="str">
        <f>_xlfn.XLOOKUP(Tabla1[[#This Row],[Dependencia]],Tabla2[Dependencia],Tabla2[Clasificación],"XXX",0)</f>
        <v>Sucesión gubernamental</v>
      </c>
      <c r="J48" t="str">
        <f>_xlfn.XLOOKUP(Tabla1[[#This Row],[Dependencia]],Tabla3[Dependencia],Tabla3[Nivel],"Otros",0)</f>
        <v>Otros</v>
      </c>
    </row>
    <row r="49" spans="1:10" ht="45" x14ac:dyDescent="0.25">
      <c r="A49" s="11">
        <v>46317</v>
      </c>
      <c r="B49" t="s">
        <v>80</v>
      </c>
      <c r="C49" s="5" t="s">
        <v>164</v>
      </c>
      <c r="D49" t="s">
        <v>12</v>
      </c>
      <c r="E49" t="s">
        <v>24</v>
      </c>
      <c r="F49" t="s">
        <v>24</v>
      </c>
      <c r="G49" t="s">
        <v>110</v>
      </c>
      <c r="H49" t="s">
        <v>72</v>
      </c>
      <c r="I49" t="str">
        <f>_xlfn.XLOOKUP(Tabla1[[#This Row],[Dependencia]],Tabla2[Dependencia],Tabla2[Clasificación],"XXX",0)</f>
        <v>Gobierno del estado</v>
      </c>
      <c r="J49" t="str">
        <f>_xlfn.XLOOKUP(Tabla1[[#This Row],[Dependencia]],Tabla3[Dependencia],Tabla3[Nivel],"Otros",0)</f>
        <v>Gobernador</v>
      </c>
    </row>
    <row r="50" spans="1:10" ht="30" x14ac:dyDescent="0.25">
      <c r="A50" s="11">
        <v>46317</v>
      </c>
      <c r="B50" t="s">
        <v>80</v>
      </c>
      <c r="C50" s="5" t="s">
        <v>165</v>
      </c>
      <c r="D50" t="s">
        <v>12</v>
      </c>
      <c r="E50" t="s">
        <v>59</v>
      </c>
      <c r="F50" t="s">
        <v>59</v>
      </c>
      <c r="G50" t="s">
        <v>115</v>
      </c>
      <c r="H50" t="s">
        <v>11</v>
      </c>
      <c r="I50" t="str">
        <f>_xlfn.XLOOKUP(Tabla1[[#This Row],[Dependencia]],Tabla2[Dependencia],Tabla2[Clasificación],"XXX",0)</f>
        <v>Otros</v>
      </c>
      <c r="J50" t="str">
        <f>_xlfn.XLOOKUP(Tabla1[[#This Row],[Dependencia]],Tabla3[Dependencia],Tabla3[Nivel],"Otros",0)</f>
        <v>Otros</v>
      </c>
    </row>
    <row r="51" spans="1:10" x14ac:dyDescent="0.25">
      <c r="A51" s="11">
        <v>46317</v>
      </c>
      <c r="B51" t="s">
        <v>80</v>
      </c>
      <c r="C51" s="5" t="s">
        <v>166</v>
      </c>
      <c r="D51" t="s">
        <v>12</v>
      </c>
      <c r="E51" t="s">
        <v>10</v>
      </c>
      <c r="F51" t="s">
        <v>10</v>
      </c>
      <c r="G51" t="s">
        <v>167</v>
      </c>
      <c r="H51" t="s">
        <v>11</v>
      </c>
      <c r="I51" t="str">
        <f>_xlfn.XLOOKUP(Tabla1[[#This Row],[Dependencia]],Tabla2[Dependencia],Tabla2[Clasificación],"XXX",0)</f>
        <v>Otros</v>
      </c>
      <c r="J51" t="str">
        <f>_xlfn.XLOOKUP(Tabla1[[#This Row],[Dependencia]],Tabla3[Dependencia],Tabla3[Nivel],"Otros",0)</f>
        <v>Otros</v>
      </c>
    </row>
    <row r="52" spans="1:10" ht="30" x14ac:dyDescent="0.25">
      <c r="A52" s="11">
        <v>46317</v>
      </c>
      <c r="B52" t="s">
        <v>80</v>
      </c>
      <c r="C52" s="5" t="s">
        <v>168</v>
      </c>
      <c r="D52" t="s">
        <v>12</v>
      </c>
      <c r="E52" t="s">
        <v>27</v>
      </c>
      <c r="F52" t="s">
        <v>27</v>
      </c>
      <c r="G52" t="s">
        <v>84</v>
      </c>
      <c r="H52" t="s">
        <v>11</v>
      </c>
      <c r="I52" t="str">
        <f>_xlfn.XLOOKUP(Tabla1[[#This Row],[Dependencia]],Tabla2[Dependencia],Tabla2[Clasificación],"XXX",0)</f>
        <v>Gobierno del estado</v>
      </c>
      <c r="J52" t="str">
        <f>_xlfn.XLOOKUP(Tabla1[[#This Row],[Dependencia]],Tabla3[Dependencia],Tabla3[Nivel],"Otros",0)</f>
        <v>Gabinete</v>
      </c>
    </row>
    <row r="53" spans="1:10" ht="30" x14ac:dyDescent="0.25">
      <c r="A53" s="11">
        <v>46317</v>
      </c>
      <c r="B53" t="s">
        <v>80</v>
      </c>
      <c r="C53" s="5" t="s">
        <v>169</v>
      </c>
      <c r="D53" t="s">
        <v>12</v>
      </c>
      <c r="E53" t="s">
        <v>16</v>
      </c>
      <c r="F53" t="s">
        <v>170</v>
      </c>
      <c r="G53" t="s">
        <v>92</v>
      </c>
      <c r="H53" t="s">
        <v>11</v>
      </c>
      <c r="I53" t="str">
        <f>_xlfn.XLOOKUP(Tabla1[[#This Row],[Dependencia]],Tabla2[Dependencia],Tabla2[Clasificación],"XXX",0)</f>
        <v>Alcaldías</v>
      </c>
      <c r="J53" t="str">
        <f>_xlfn.XLOOKUP(Tabla1[[#This Row],[Dependencia]],Tabla3[Dependencia],Tabla3[Nivel],"Otros",0)</f>
        <v>Otros</v>
      </c>
    </row>
    <row r="54" spans="1:10" x14ac:dyDescent="0.25">
      <c r="A54" s="11">
        <v>46317</v>
      </c>
      <c r="B54" t="s">
        <v>80</v>
      </c>
      <c r="C54" s="5" t="s">
        <v>171</v>
      </c>
      <c r="D54" t="s">
        <v>12</v>
      </c>
      <c r="E54" t="s">
        <v>26</v>
      </c>
      <c r="F54" t="s">
        <v>2</v>
      </c>
      <c r="G54" t="s">
        <v>172</v>
      </c>
      <c r="H54" t="s">
        <v>11</v>
      </c>
      <c r="I54" t="str">
        <f>_xlfn.XLOOKUP(Tabla1[[#This Row],[Dependencia]],Tabla2[Dependencia],Tabla2[Clasificación],"XXX",0)</f>
        <v>Gobierno del estado</v>
      </c>
      <c r="J54" t="str">
        <f>_xlfn.XLOOKUP(Tabla1[[#This Row],[Dependencia]],Tabla3[Dependencia],Tabla3[Nivel],"Otros",0)</f>
        <v>Gabinete</v>
      </c>
    </row>
    <row r="55" spans="1:10" x14ac:dyDescent="0.25">
      <c r="A55" s="11">
        <v>46317</v>
      </c>
      <c r="B55" t="s">
        <v>80</v>
      </c>
      <c r="C55" s="5" t="s">
        <v>173</v>
      </c>
      <c r="D55" t="s">
        <v>12</v>
      </c>
      <c r="E55" t="s">
        <v>28</v>
      </c>
      <c r="F55" t="s">
        <v>28</v>
      </c>
      <c r="G55" t="s">
        <v>108</v>
      </c>
      <c r="H55" t="s">
        <v>72</v>
      </c>
      <c r="I55" t="str">
        <f>_xlfn.XLOOKUP(Tabla1[[#This Row],[Dependencia]],Tabla2[Dependencia],Tabla2[Clasificación],"XXX",0)</f>
        <v>Gobierno del estado</v>
      </c>
      <c r="J55" t="str">
        <f>_xlfn.XLOOKUP(Tabla1[[#This Row],[Dependencia]],Tabla3[Dependencia],Tabla3[Nivel],"Otros",0)</f>
        <v>Gabinete</v>
      </c>
    </row>
    <row r="56" spans="1:10" x14ac:dyDescent="0.25">
      <c r="A56" s="11">
        <v>46317</v>
      </c>
      <c r="B56" t="s">
        <v>80</v>
      </c>
      <c r="C56" s="5" t="s">
        <v>174</v>
      </c>
      <c r="D56" t="s">
        <v>78</v>
      </c>
      <c r="E56" t="s">
        <v>16</v>
      </c>
      <c r="F56" t="s">
        <v>16</v>
      </c>
      <c r="G56" t="s">
        <v>82</v>
      </c>
      <c r="H56" t="s">
        <v>11</v>
      </c>
      <c r="I56" t="str">
        <f>_xlfn.XLOOKUP(Tabla1[[#This Row],[Dependencia]],Tabla2[Dependencia],Tabla2[Clasificación],"XXX",0)</f>
        <v>Alcaldías</v>
      </c>
      <c r="J56" t="str">
        <f>_xlfn.XLOOKUP(Tabla1[[#This Row],[Dependencia]],Tabla3[Dependencia],Tabla3[Nivel],"Otros",0)</f>
        <v>Otros</v>
      </c>
    </row>
    <row r="57" spans="1:10" ht="30" x14ac:dyDescent="0.25">
      <c r="A57" s="11">
        <v>46317</v>
      </c>
      <c r="B57" t="s">
        <v>90</v>
      </c>
      <c r="C57" s="5" t="s">
        <v>175</v>
      </c>
      <c r="D57" t="s">
        <v>13</v>
      </c>
      <c r="E57" t="s">
        <v>16</v>
      </c>
      <c r="F57" t="s">
        <v>83</v>
      </c>
      <c r="G57" t="s">
        <v>92</v>
      </c>
      <c r="H57" t="s">
        <v>11</v>
      </c>
      <c r="I57" t="str">
        <f>_xlfn.XLOOKUP(Tabla1[[#This Row],[Dependencia]],Tabla2[Dependencia],Tabla2[Clasificación],"XXX",0)</f>
        <v>Alcaldías</v>
      </c>
      <c r="J57" t="str">
        <f>_xlfn.XLOOKUP(Tabla1[[#This Row],[Dependencia]],Tabla3[Dependencia],Tabla3[Nivel],"Otros",0)</f>
        <v>Otros</v>
      </c>
    </row>
    <row r="58" spans="1:10" ht="30" x14ac:dyDescent="0.25">
      <c r="A58" s="11">
        <v>46317</v>
      </c>
      <c r="B58" t="s">
        <v>90</v>
      </c>
      <c r="C58" s="5" t="s">
        <v>176</v>
      </c>
      <c r="D58" t="s">
        <v>12</v>
      </c>
      <c r="E58" t="s">
        <v>10</v>
      </c>
      <c r="F58" t="s">
        <v>10</v>
      </c>
      <c r="G58" t="s">
        <v>70</v>
      </c>
      <c r="H58" t="s">
        <v>11</v>
      </c>
      <c r="I58" t="str">
        <f>_xlfn.XLOOKUP(Tabla1[[#This Row],[Dependencia]],Tabla2[Dependencia],Tabla2[Clasificación],"XXX",0)</f>
        <v>Otros</v>
      </c>
      <c r="J58" t="str">
        <f>_xlfn.XLOOKUP(Tabla1[[#This Row],[Dependencia]],Tabla3[Dependencia],Tabla3[Nivel],"Otros",0)</f>
        <v>Otros</v>
      </c>
    </row>
    <row r="59" spans="1:10" ht="45" x14ac:dyDescent="0.25">
      <c r="A59" s="11">
        <v>46317</v>
      </c>
      <c r="B59" t="s">
        <v>90</v>
      </c>
      <c r="C59" s="5" t="s">
        <v>164</v>
      </c>
      <c r="D59" t="s">
        <v>12</v>
      </c>
      <c r="E59" t="s">
        <v>24</v>
      </c>
      <c r="F59" t="s">
        <v>24</v>
      </c>
      <c r="G59" t="s">
        <v>110</v>
      </c>
      <c r="H59" t="s">
        <v>72</v>
      </c>
      <c r="I59" t="str">
        <f>_xlfn.XLOOKUP(Tabla1[[#This Row],[Dependencia]],Tabla2[Dependencia],Tabla2[Clasificación],"XXX",0)</f>
        <v>Gobierno del estado</v>
      </c>
      <c r="J59" t="str">
        <f>_xlfn.XLOOKUP(Tabla1[[#This Row],[Dependencia]],Tabla3[Dependencia],Tabla3[Nivel],"Otros",0)</f>
        <v>Gobernador</v>
      </c>
    </row>
    <row r="60" spans="1:10" ht="30" x14ac:dyDescent="0.25">
      <c r="A60" s="11">
        <v>46317</v>
      </c>
      <c r="B60" t="s">
        <v>90</v>
      </c>
      <c r="C60" s="5" t="s">
        <v>177</v>
      </c>
      <c r="D60" t="s">
        <v>12</v>
      </c>
      <c r="E60" t="s">
        <v>19</v>
      </c>
      <c r="F60" t="s">
        <v>2</v>
      </c>
      <c r="G60" t="s">
        <v>84</v>
      </c>
      <c r="H60" t="s">
        <v>72</v>
      </c>
      <c r="I60" t="str">
        <f>_xlfn.XLOOKUP(Tabla1[[#This Row],[Dependencia]],Tabla2[Dependencia],Tabla2[Clasificación],"XXX",0)</f>
        <v>Gobierno del estado</v>
      </c>
      <c r="J60" t="str">
        <f>_xlfn.XLOOKUP(Tabla1[[#This Row],[Dependencia]],Tabla3[Dependencia],Tabla3[Nivel],"Otros",0)</f>
        <v>Gabinete</v>
      </c>
    </row>
    <row r="61" spans="1:10" ht="30" x14ac:dyDescent="0.25">
      <c r="A61" s="11">
        <v>46317</v>
      </c>
      <c r="B61" t="s">
        <v>90</v>
      </c>
      <c r="C61" s="5" t="s">
        <v>178</v>
      </c>
      <c r="D61" t="s">
        <v>12</v>
      </c>
      <c r="E61" t="s">
        <v>61</v>
      </c>
      <c r="F61" t="s">
        <v>146</v>
      </c>
      <c r="G61" t="s">
        <v>147</v>
      </c>
      <c r="H61" t="s">
        <v>68</v>
      </c>
      <c r="I61" t="str">
        <f>_xlfn.XLOOKUP(Tabla1[[#This Row],[Dependencia]],Tabla2[Dependencia],Tabla2[Clasificación],"XXX",0)</f>
        <v>Sucesión gubernamental</v>
      </c>
      <c r="J61" t="str">
        <f>_xlfn.XLOOKUP(Tabla1[[#This Row],[Dependencia]],Tabla3[Dependencia],Tabla3[Nivel],"Otros",0)</f>
        <v>Otros</v>
      </c>
    </row>
    <row r="62" spans="1:10" ht="30" x14ac:dyDescent="0.25">
      <c r="A62" s="11">
        <v>46317</v>
      </c>
      <c r="B62" t="s">
        <v>90</v>
      </c>
      <c r="C62" s="5" t="s">
        <v>178</v>
      </c>
      <c r="D62" t="s">
        <v>12</v>
      </c>
      <c r="E62" t="s">
        <v>149</v>
      </c>
      <c r="F62" t="s">
        <v>149</v>
      </c>
      <c r="G62" t="s">
        <v>147</v>
      </c>
      <c r="H62" t="s">
        <v>68</v>
      </c>
      <c r="I62" t="str">
        <f>_xlfn.XLOOKUP(Tabla1[[#This Row],[Dependencia]],Tabla2[Dependencia],Tabla2[Clasificación],"XXX",0)</f>
        <v>Partidos</v>
      </c>
      <c r="J62" t="str">
        <f>_xlfn.XLOOKUP(Tabla1[[#This Row],[Dependencia]],Tabla3[Dependencia],Tabla3[Nivel],"Otros",0)</f>
        <v>Otros</v>
      </c>
    </row>
    <row r="63" spans="1:10" x14ac:dyDescent="0.25">
      <c r="A63" s="11">
        <v>46317</v>
      </c>
      <c r="B63" t="s">
        <v>90</v>
      </c>
      <c r="C63" s="5" t="s">
        <v>93</v>
      </c>
      <c r="D63" t="s">
        <v>78</v>
      </c>
      <c r="E63" t="s">
        <v>16</v>
      </c>
      <c r="F63" t="s">
        <v>16</v>
      </c>
      <c r="G63" t="s">
        <v>82</v>
      </c>
      <c r="H63" t="s">
        <v>11</v>
      </c>
      <c r="I63" t="str">
        <f>_xlfn.XLOOKUP(Tabla1[[#This Row],[Dependencia]],Tabla2[Dependencia],Tabla2[Clasificación],"XXX",0)</f>
        <v>Alcaldías</v>
      </c>
      <c r="J63" t="str">
        <f>_xlfn.XLOOKUP(Tabla1[[#This Row],[Dependencia]],Tabla3[Dependencia],Tabla3[Nivel],"Otros",0)</f>
        <v>Otros</v>
      </c>
    </row>
    <row r="64" spans="1:10" x14ac:dyDescent="0.25">
      <c r="A64" s="11">
        <v>46317</v>
      </c>
      <c r="B64" t="s">
        <v>90</v>
      </c>
      <c r="C64" s="5" t="s">
        <v>179</v>
      </c>
      <c r="D64" t="s">
        <v>78</v>
      </c>
      <c r="E64" t="s">
        <v>20</v>
      </c>
      <c r="F64" t="s">
        <v>20</v>
      </c>
      <c r="G64" t="s">
        <v>180</v>
      </c>
      <c r="H64" t="s">
        <v>11</v>
      </c>
      <c r="I64" t="str">
        <f>_xlfn.XLOOKUP(Tabla1[[#This Row],[Dependencia]],Tabla2[Dependencia],Tabla2[Clasificación],"XXX",0)</f>
        <v>Gobierno del estado</v>
      </c>
      <c r="J64" t="str">
        <f>_xlfn.XLOOKUP(Tabla1[[#This Row],[Dependencia]],Tabla3[Dependencia],Tabla3[Nivel],"Otros",0)</f>
        <v>Gabinete</v>
      </c>
    </row>
  </sheetData>
  <conditionalFormatting sqref="I2:I64">
    <cfRule type="expression" dxfId="1" priority="1">
      <formula>$I2="XXX"</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E49"/>
  <sheetViews>
    <sheetView workbookViewId="0">
      <selection activeCell="B48" sqref="B48"/>
    </sheetView>
  </sheetViews>
  <sheetFormatPr baseColWidth="10" defaultRowHeight="15" x14ac:dyDescent="0.25"/>
  <cols>
    <col min="1" max="1" width="20.85546875" bestFit="1" customWidth="1"/>
    <col min="2" max="2" width="25.7109375" bestFit="1" customWidth="1"/>
    <col min="4" max="4" width="15.140625" customWidth="1"/>
  </cols>
  <sheetData>
    <row r="1" spans="1:5" x14ac:dyDescent="0.25">
      <c r="A1" t="s">
        <v>4</v>
      </c>
      <c r="B1" t="s">
        <v>30</v>
      </c>
      <c r="D1" s="7" t="s">
        <v>4</v>
      </c>
      <c r="E1" t="s">
        <v>65</v>
      </c>
    </row>
    <row r="2" spans="1:5" x14ac:dyDescent="0.25">
      <c r="A2" t="s">
        <v>61</v>
      </c>
      <c r="B2" t="s">
        <v>62</v>
      </c>
      <c r="D2" s="9" t="s">
        <v>19</v>
      </c>
      <c r="E2" t="s">
        <v>66</v>
      </c>
    </row>
    <row r="3" spans="1:5" x14ac:dyDescent="0.25">
      <c r="A3" t="s">
        <v>16</v>
      </c>
      <c r="B3" t="s">
        <v>31</v>
      </c>
      <c r="D3" s="8" t="s">
        <v>67</v>
      </c>
      <c r="E3" t="s">
        <v>66</v>
      </c>
    </row>
    <row r="4" spans="1:5" x14ac:dyDescent="0.25">
      <c r="A4" t="s">
        <v>19</v>
      </c>
      <c r="B4" t="s">
        <v>32</v>
      </c>
      <c r="D4" s="8" t="s">
        <v>34</v>
      </c>
      <c r="E4" t="s">
        <v>66</v>
      </c>
    </row>
    <row r="5" spans="1:5" x14ac:dyDescent="0.25">
      <c r="A5" t="s">
        <v>60</v>
      </c>
      <c r="B5" t="s">
        <v>10</v>
      </c>
      <c r="D5" s="9" t="s">
        <v>28</v>
      </c>
      <c r="E5" t="s">
        <v>66</v>
      </c>
    </row>
    <row r="6" spans="1:5" x14ac:dyDescent="0.25">
      <c r="A6" t="s">
        <v>67</v>
      </c>
      <c r="B6" t="s">
        <v>32</v>
      </c>
      <c r="D6" s="9" t="s">
        <v>35</v>
      </c>
      <c r="E6" t="s">
        <v>66</v>
      </c>
    </row>
    <row r="7" spans="1:5" x14ac:dyDescent="0.25">
      <c r="A7" t="s">
        <v>33</v>
      </c>
      <c r="B7" t="s">
        <v>10</v>
      </c>
      <c r="D7" s="8" t="s">
        <v>36</v>
      </c>
      <c r="E7" t="s">
        <v>66</v>
      </c>
    </row>
    <row r="8" spans="1:5" x14ac:dyDescent="0.25">
      <c r="A8" t="s">
        <v>34</v>
      </c>
      <c r="B8" t="s">
        <v>32</v>
      </c>
      <c r="D8" s="8" t="s">
        <v>36</v>
      </c>
      <c r="E8" t="s">
        <v>66</v>
      </c>
    </row>
    <row r="9" spans="1:5" x14ac:dyDescent="0.25">
      <c r="A9" t="s">
        <v>28</v>
      </c>
      <c r="B9" t="s">
        <v>32</v>
      </c>
      <c r="D9" s="8" t="s">
        <v>37</v>
      </c>
      <c r="E9" t="s">
        <v>66</v>
      </c>
    </row>
    <row r="10" spans="1:5" x14ac:dyDescent="0.25">
      <c r="A10" t="s">
        <v>25</v>
      </c>
      <c r="B10" t="s">
        <v>10</v>
      </c>
      <c r="D10" s="9" t="s">
        <v>24</v>
      </c>
      <c r="E10" t="s">
        <v>24</v>
      </c>
    </row>
    <row r="11" spans="1:5" x14ac:dyDescent="0.25">
      <c r="A11" t="s">
        <v>35</v>
      </c>
      <c r="B11" t="s">
        <v>32</v>
      </c>
      <c r="D11" s="8" t="s">
        <v>38</v>
      </c>
      <c r="E11" t="s">
        <v>66</v>
      </c>
    </row>
    <row r="12" spans="1:5" x14ac:dyDescent="0.25">
      <c r="A12" t="s">
        <v>36</v>
      </c>
      <c r="B12" t="s">
        <v>32</v>
      </c>
      <c r="D12" s="9" t="s">
        <v>39</v>
      </c>
      <c r="E12" t="s">
        <v>66</v>
      </c>
    </row>
    <row r="13" spans="1:5" x14ac:dyDescent="0.25">
      <c r="A13" t="s">
        <v>36</v>
      </c>
      <c r="B13" t="s">
        <v>32</v>
      </c>
      <c r="D13" s="9" t="s">
        <v>39</v>
      </c>
      <c r="E13" t="s">
        <v>66</v>
      </c>
    </row>
    <row r="14" spans="1:5" x14ac:dyDescent="0.25">
      <c r="A14" t="s">
        <v>63</v>
      </c>
      <c r="B14" t="s">
        <v>44</v>
      </c>
      <c r="D14" s="8" t="s">
        <v>21</v>
      </c>
      <c r="E14" t="s">
        <v>66</v>
      </c>
    </row>
    <row r="15" spans="1:5" x14ac:dyDescent="0.25">
      <c r="A15" t="s">
        <v>37</v>
      </c>
      <c r="B15" t="s">
        <v>32</v>
      </c>
      <c r="D15" s="9" t="s">
        <v>17</v>
      </c>
      <c r="E15" t="s">
        <v>66</v>
      </c>
    </row>
    <row r="16" spans="1:5" x14ac:dyDescent="0.25">
      <c r="A16" t="s">
        <v>24</v>
      </c>
      <c r="B16" t="s">
        <v>32</v>
      </c>
      <c r="D16" s="8" t="s">
        <v>47</v>
      </c>
      <c r="E16" t="s">
        <v>66</v>
      </c>
    </row>
    <row r="17" spans="1:5" x14ac:dyDescent="0.25">
      <c r="A17" t="s">
        <v>38</v>
      </c>
      <c r="B17" t="s">
        <v>32</v>
      </c>
      <c r="D17" s="8" t="s">
        <v>53</v>
      </c>
      <c r="E17" t="s">
        <v>66</v>
      </c>
    </row>
    <row r="18" spans="1:5" x14ac:dyDescent="0.25">
      <c r="A18" t="s">
        <v>39</v>
      </c>
      <c r="B18" t="s">
        <v>32</v>
      </c>
      <c r="D18" s="8" t="s">
        <v>54</v>
      </c>
      <c r="E18" t="s">
        <v>66</v>
      </c>
    </row>
    <row r="19" spans="1:5" x14ac:dyDescent="0.25">
      <c r="A19" t="s">
        <v>40</v>
      </c>
      <c r="B19" t="s">
        <v>10</v>
      </c>
      <c r="D19" s="8" t="s">
        <v>23</v>
      </c>
      <c r="E19" t="s">
        <v>66</v>
      </c>
    </row>
    <row r="20" spans="1:5" x14ac:dyDescent="0.25">
      <c r="A20" t="s">
        <v>41</v>
      </c>
      <c r="B20" t="s">
        <v>42</v>
      </c>
      <c r="D20" s="9" t="s">
        <v>20</v>
      </c>
      <c r="E20" t="s">
        <v>66</v>
      </c>
    </row>
    <row r="21" spans="1:5" x14ac:dyDescent="0.25">
      <c r="A21" t="s">
        <v>43</v>
      </c>
      <c r="B21" t="s">
        <v>44</v>
      </c>
      <c r="D21" s="8" t="s">
        <v>27</v>
      </c>
      <c r="E21" t="s">
        <v>66</v>
      </c>
    </row>
    <row r="22" spans="1:5" x14ac:dyDescent="0.25">
      <c r="A22" t="s">
        <v>18</v>
      </c>
      <c r="B22" t="s">
        <v>44</v>
      </c>
      <c r="D22" s="9" t="s">
        <v>26</v>
      </c>
      <c r="E22" t="s">
        <v>66</v>
      </c>
    </row>
    <row r="23" spans="1:5" x14ac:dyDescent="0.25">
      <c r="A23" t="s">
        <v>21</v>
      </c>
      <c r="B23" t="s">
        <v>32</v>
      </c>
      <c r="D23" s="8" t="s">
        <v>55</v>
      </c>
      <c r="E23" t="s">
        <v>66</v>
      </c>
    </row>
    <row r="24" spans="1:5" x14ac:dyDescent="0.25">
      <c r="A24" t="s">
        <v>10</v>
      </c>
      <c r="B24" t="s">
        <v>10</v>
      </c>
      <c r="D24" s="8" t="s">
        <v>15</v>
      </c>
      <c r="E24" t="s">
        <v>66</v>
      </c>
    </row>
    <row r="25" spans="1:5" x14ac:dyDescent="0.25">
      <c r="A25" t="s">
        <v>45</v>
      </c>
      <c r="B25" t="s">
        <v>44</v>
      </c>
      <c r="D25" s="9" t="s">
        <v>22</v>
      </c>
      <c r="E25" t="s">
        <v>66</v>
      </c>
    </row>
    <row r="26" spans="1:5" x14ac:dyDescent="0.25">
      <c r="A26" t="s">
        <v>46</v>
      </c>
      <c r="B26" t="s">
        <v>44</v>
      </c>
      <c r="D26" s="8" t="s">
        <v>56</v>
      </c>
      <c r="E26" t="s">
        <v>66</v>
      </c>
    </row>
    <row r="27" spans="1:5" x14ac:dyDescent="0.25">
      <c r="A27" t="s">
        <v>64</v>
      </c>
      <c r="B27" t="s">
        <v>44</v>
      </c>
      <c r="D27" s="10" t="s">
        <v>29</v>
      </c>
      <c r="E27" t="s">
        <v>66</v>
      </c>
    </row>
    <row r="28" spans="1:5" x14ac:dyDescent="0.25">
      <c r="A28" t="s">
        <v>17</v>
      </c>
      <c r="B28" t="s">
        <v>32</v>
      </c>
    </row>
    <row r="29" spans="1:5" x14ac:dyDescent="0.25">
      <c r="A29" t="s">
        <v>47</v>
      </c>
      <c r="B29" t="s">
        <v>32</v>
      </c>
    </row>
    <row r="30" spans="1:5" x14ac:dyDescent="0.25">
      <c r="A30" t="s">
        <v>48</v>
      </c>
      <c r="B30" t="s">
        <v>44</v>
      </c>
    </row>
    <row r="31" spans="1:5" x14ac:dyDescent="0.25">
      <c r="A31" t="s">
        <v>14</v>
      </c>
      <c r="B31" t="s">
        <v>49</v>
      </c>
    </row>
    <row r="32" spans="1:5" x14ac:dyDescent="0.25">
      <c r="A32" t="s">
        <v>50</v>
      </c>
      <c r="B32" t="s">
        <v>44</v>
      </c>
    </row>
    <row r="33" spans="1:2" x14ac:dyDescent="0.25">
      <c r="A33" t="s">
        <v>51</v>
      </c>
      <c r="B33" t="s">
        <v>44</v>
      </c>
    </row>
    <row r="34" spans="1:2" x14ac:dyDescent="0.25">
      <c r="A34" t="s">
        <v>52</v>
      </c>
      <c r="B34" t="s">
        <v>44</v>
      </c>
    </row>
    <row r="35" spans="1:2" x14ac:dyDescent="0.25">
      <c r="A35" t="s">
        <v>53</v>
      </c>
      <c r="B35" t="s">
        <v>32</v>
      </c>
    </row>
    <row r="36" spans="1:2" x14ac:dyDescent="0.25">
      <c r="A36" t="s">
        <v>54</v>
      </c>
      <c r="B36" t="s">
        <v>32</v>
      </c>
    </row>
    <row r="37" spans="1:2" x14ac:dyDescent="0.25">
      <c r="A37" t="s">
        <v>23</v>
      </c>
      <c r="B37" t="s">
        <v>32</v>
      </c>
    </row>
    <row r="38" spans="1:2" x14ac:dyDescent="0.25">
      <c r="A38" t="s">
        <v>20</v>
      </c>
      <c r="B38" t="s">
        <v>32</v>
      </c>
    </row>
    <row r="39" spans="1:2" x14ac:dyDescent="0.25">
      <c r="A39" t="s">
        <v>27</v>
      </c>
      <c r="B39" t="s">
        <v>32</v>
      </c>
    </row>
    <row r="40" spans="1:2" x14ac:dyDescent="0.25">
      <c r="A40" t="s">
        <v>26</v>
      </c>
      <c r="B40" t="s">
        <v>32</v>
      </c>
    </row>
    <row r="41" spans="1:2" x14ac:dyDescent="0.25">
      <c r="A41" t="s">
        <v>55</v>
      </c>
      <c r="B41" t="s">
        <v>32</v>
      </c>
    </row>
    <row r="42" spans="1:2" x14ac:dyDescent="0.25">
      <c r="A42" t="s">
        <v>15</v>
      </c>
      <c r="B42" t="s">
        <v>32</v>
      </c>
    </row>
    <row r="43" spans="1:2" x14ac:dyDescent="0.25">
      <c r="A43" t="s">
        <v>22</v>
      </c>
      <c r="B43" t="s">
        <v>32</v>
      </c>
    </row>
    <row r="44" spans="1:2" x14ac:dyDescent="0.25">
      <c r="A44" t="s">
        <v>56</v>
      </c>
      <c r="B44" t="s">
        <v>32</v>
      </c>
    </row>
    <row r="45" spans="1:2" x14ac:dyDescent="0.25">
      <c r="A45" t="s">
        <v>57</v>
      </c>
      <c r="B45" t="s">
        <v>10</v>
      </c>
    </row>
    <row r="46" spans="1:2" x14ac:dyDescent="0.25">
      <c r="A46" t="s">
        <v>58</v>
      </c>
      <c r="B46" t="s">
        <v>10</v>
      </c>
    </row>
    <row r="47" spans="1:2" x14ac:dyDescent="0.25">
      <c r="A47" t="s">
        <v>29</v>
      </c>
      <c r="B47" t="s">
        <v>32</v>
      </c>
    </row>
    <row r="48" spans="1:2" x14ac:dyDescent="0.25">
      <c r="A48" t="s">
        <v>59</v>
      </c>
      <c r="B48" t="s">
        <v>10</v>
      </c>
    </row>
    <row r="49" spans="1:2" x14ac:dyDescent="0.25">
      <c r="A49" t="s">
        <v>75</v>
      </c>
      <c r="B49" t="s">
        <v>44</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Hoja3</vt: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2026-10-22T15:31:33Z</dcterms:modified>
</cp:coreProperties>
</file>