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A78933FF-5FBC-4D18-AA38-B87100F57C8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</calcChain>
</file>

<file path=xl/sharedStrings.xml><?xml version="1.0" encoding="utf-8"?>
<sst xmlns="http://schemas.openxmlformats.org/spreadsheetml/2006/main" count="631" uniqueCount="196">
  <si>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</si>
  <si>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</si>
  <si>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</si>
  <si>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</si>
  <si>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</si>
  <si>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</si>
  <si>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</si>
  <si>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</si>
  <si>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</si>
  <si>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</si>
  <si>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</si>
  <si>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</si>
  <si>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</si>
  <si>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</si>
  <si>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</si>
  <si>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</si>
  <si>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</si>
  <si>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</si>
  <si>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</si>
  <si>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</si>
  <si>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</si>
  <si>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</si>
  <si>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</si>
  <si>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</si>
  <si>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</si>
  <si>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</si>
  <si>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</si>
  <si>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</si>
  <si>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</si>
  <si>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</si>
  <si>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</si>
  <si>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</si>
  <si>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</si>
  <si>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</si>
  <si>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</si>
  <si>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</si>
  <si>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</si>
  <si>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</si>
  <si>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</si>
  <si>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</si>
  <si>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</si>
  <si>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</si>
  <si>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</si>
  <si>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</si>
  <si>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</si>
  <si>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</si>
  <si>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</si>
  <si>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</si>
  <si>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</si>
  <si>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</si>
  <si>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</si>
  <si>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</si>
  <si>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</si>
  <si>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</si>
  <si>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</si>
  <si>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</si>
  <si>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</si>
  <si>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</si>
  <si>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</si>
  <si>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</si>
  <si>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</si>
  <si>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</si>
  <si>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</si>
  <si>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</si>
  <si>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</si>
  <si>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</si>
  <si>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</si>
  <si>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</si>
  <si>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</si>
  <si>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</si>
  <si>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</si>
  <si>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</si>
  <si>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</si>
  <si>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</si>
  <si>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</si>
  <si>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</si>
  <si>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Alcalde</t>
  </si>
  <si>
    <t>PAZ</t>
  </si>
  <si>
    <t>Feria Pachuca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</si>
  <si>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</si>
  <si>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</si>
  <si>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</si>
  <si>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</si>
  <si>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</si>
  <si>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</si>
  <si>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</si>
  <si>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OEEH</t>
  </si>
  <si>
    <t>Recuerda: la detección temprana salva vidas</t>
  </si>
  <si>
    <t>Prevención cáncer de mama</t>
  </si>
  <si>
    <t>Alianzas Electorales</t>
  </si>
  <si>
    <t>Conmemoración Aniversario</t>
  </si>
  <si>
    <t>Enriquecimiento ilícito</t>
  </si>
  <si>
    <t>Innovación tecnológica</t>
  </si>
  <si>
    <t>Policía municipal</t>
  </si>
  <si>
    <t>Alerta Meteorológica</t>
  </si>
  <si>
    <t>Definirán a coordinadores rumbo a 2027</t>
  </si>
  <si>
    <t>Celebran a San Francisco en Pachuca</t>
  </si>
  <si>
    <t>Fiesta patronal</t>
  </si>
  <si>
    <t>Concurrido Festival del Pulque y Maíz</t>
  </si>
  <si>
    <t>Festival Gastronómico</t>
  </si>
  <si>
    <t>Aumentan delitos de violencia familiar</t>
  </si>
  <si>
    <t>Violencia familiar</t>
  </si>
  <si>
    <t>Salario mínimo no cubre costo de vida</t>
  </si>
  <si>
    <t>Pobreza laboral</t>
  </si>
  <si>
    <t>Ferias son el sustento de los comerciantes</t>
  </si>
  <si>
    <t>Más de dos mil pesos para armar un disfraz</t>
  </si>
  <si>
    <t>Lluvias dejan vías cerradas y dos heridos</t>
  </si>
  <si>
    <t>Afectaciones Por Lluvias</t>
  </si>
  <si>
    <t>Reactiva Tribunal Colegiado proceso contra Sosa</t>
  </si>
  <si>
    <t>Grupo Universidad</t>
  </si>
  <si>
    <t>Más de 30 se registran por coordinaciones de Morena</t>
  </si>
  <si>
    <t>El Xantolo, una herencia de familia</t>
  </si>
  <si>
    <t>Xantolo</t>
  </si>
  <si>
    <t>Destaca Sheinbaum a las fuerzas armadas</t>
  </si>
  <si>
    <t>Toluca amarga debut de Tomé</t>
  </si>
  <si>
    <t>Por título en paralimpiada</t>
  </si>
  <si>
    <t>Inhide</t>
  </si>
  <si>
    <t>Paranacionales Conade</t>
  </si>
  <si>
    <t>Gabinete de Menchaca ha cambiado 13 veces</t>
  </si>
  <si>
    <t>Cambios En El Gabinete</t>
  </si>
  <si>
    <t>Se reportaron en septiembre 34 personas desaparecidas</t>
  </si>
  <si>
    <t>CBPEH</t>
  </si>
  <si>
    <t>Personas desaparecidas</t>
  </si>
  <si>
    <t>Celebra el partido guinda un húmedo XV aniversario</t>
  </si>
  <si>
    <t>Confirma PAZ y PES en Hidalgo la conformación de alianza para 2027</t>
  </si>
  <si>
    <t>Anticipa Rico Mercado más renuncias de funcionarios</t>
  </si>
  <si>
    <t>La 4T perfila a casi una veintena para 7 coordinaciones distritales</t>
  </si>
  <si>
    <t>Busca Miguel Tello coordinar el Ditrito seis</t>
  </si>
  <si>
    <t>Extitular</t>
  </si>
  <si>
    <t>Asociación de Alcaldes pugna por entrega clara</t>
  </si>
  <si>
    <t>Asociación de Alcaldes</t>
  </si>
  <si>
    <t>Nueve de cada diez imputados son vinculados a proceso: Inegi</t>
  </si>
  <si>
    <t>Vinculación A Proceso</t>
  </si>
  <si>
    <t>En 2025 registró el estado 497 víctimas de homicidio</t>
  </si>
  <si>
    <t>Homicidios</t>
  </si>
  <si>
    <t>Declara Protección Civil alerta amarilla en el estado</t>
  </si>
  <si>
    <t>PC</t>
  </si>
  <si>
    <t>Niegan un amparo a Sosa Castelán y reactivan juicio por lavado de dinero</t>
  </si>
  <si>
    <t>Readme, la app de las "citas de amor" entre lectores y libros</t>
  </si>
  <si>
    <t>Bolsonaro sacude a Lula y van a segunda vuelta</t>
  </si>
  <si>
    <t>Temas internacionales</t>
  </si>
  <si>
    <t>Orden a fuerzas armadas para reprimir, nunca</t>
  </si>
  <si>
    <t>Destinan 499.8 mdp para encauzar el Río de las Avenidas</t>
  </si>
  <si>
    <t>Sipdus</t>
  </si>
  <si>
    <t>Rehabilitación Vial</t>
  </si>
  <si>
    <t>Dirigente morenista desconoce estatus de proceso para diputaciones</t>
  </si>
  <si>
    <t>Bolsonaro junior manda a Lula a segunda vuelta</t>
  </si>
  <si>
    <t>Trabajan para reparar puente en Tepehuacán</t>
  </si>
  <si>
    <t>Atención Afectaciones Por Lluvias</t>
  </si>
  <si>
    <t>La amenaza ya no necesita una estructura criminal tradicional. No requiere jerarquías,  territorios ni financiamiento sofisticado. Puede bastar un teléfono, aislamiento,  resentimiento acumulado y una red de espacios virtuales que refuercen de forma  constante narrativas de victimización y agravios compartidos”.</t>
  </si>
  <si>
    <t>Lluvias provocan daños en más de 10 municipios de Hidalgo</t>
  </si>
  <si>
    <t>Nueve de cada 10 imputados por la PGJEH fueron vinculados a proceso</t>
  </si>
  <si>
    <t>Morena Hidalgo conmemora 15 años; llama a la unidad rumbo a 2027</t>
  </si>
  <si>
    <t>Sancionan al 80% de los notarios públicos en Hidlago al inicio de la administración</t>
  </si>
  <si>
    <t>Rojo busca frente opositor para 2028</t>
  </si>
  <si>
    <t>Lluvias provocan deslaves y cierres carreteros</t>
  </si>
  <si>
    <t>Cinco notarios de Hidalgo enfrentan procedimientos</t>
  </si>
  <si>
    <t>PAZ cofirma alianza con PES rumbo a 2027</t>
  </si>
  <si>
    <t>Defender a Viggiano siempre ha sido su papel""</t>
  </si>
  <si>
    <t>PRI</t>
  </si>
  <si>
    <t>Susana y Tania confirman registro en Morena</t>
  </si>
  <si>
    <t>Alertan nuevamente por fuertes lluvias en Hidalgo</t>
  </si>
  <si>
    <t>Mantienen Protección Civil atención y monitoreo por lluvias</t>
  </si>
  <si>
    <t>informa</t>
  </si>
  <si>
    <t>Más de 6.6 mdp fortalecen la productividad del campo de 8 municipios</t>
  </si>
  <si>
    <t>Entrega De Apoyos</t>
  </si>
  <si>
    <t>Lety Reyes inaugura la Expo Feria Tlahuelilpan 2026</t>
  </si>
  <si>
    <t>alcal</t>
  </si>
  <si>
    <t>Expo feria</t>
  </si>
  <si>
    <t>Zitlaly entrega material para mejorar la infraestructura vial en Rincón Norte de Tecomatlán</t>
  </si>
  <si>
    <t>Infraestructura vial</t>
  </si>
  <si>
    <t>Estudiantes de la UTVM participan en Master Class de Gastronomía</t>
  </si>
  <si>
    <t>Universidades</t>
  </si>
  <si>
    <t>Encuentro académico</t>
  </si>
  <si>
    <t>Refuerzan inclusión en la Feria de San Francisco Pachuca 2026</t>
  </si>
  <si>
    <t>ITESA desarrolla herramienta para mejorar el bienestar laboral en empresas</t>
  </si>
  <si>
    <t>Caravana Cultural llevará siete presentaciones de música y danza en Tlahuelilpan</t>
  </si>
  <si>
    <t>Caravanas Culturales</t>
  </si>
  <si>
    <t>Realizan trabajos para habilitar puente en la comunidad de Tamada</t>
  </si>
  <si>
    <t>Emprendimiento que fortalece</t>
  </si>
  <si>
    <t>Apoyo a emprendedores</t>
  </si>
  <si>
    <t>Pachuca Brilla</t>
  </si>
  <si>
    <t>Lluvias dejan estragos en regiones de Hidalgo</t>
  </si>
  <si>
    <t>Horóscopos pusieron el duranguense en el Palenque</t>
  </si>
  <si>
    <t>Costeño, Norteño y Teo hicieron reír a la feria</t>
  </si>
  <si>
    <t>Desmantelan puntos de narcomenudeo en Pachuca y Tizayuca</t>
  </si>
  <si>
    <t>Combate Al Narcomenudeo</t>
  </si>
  <si>
    <t>SEPH promueve bienestar animal con caminata ""Dejando Huella""</t>
  </si>
  <si>
    <t>Croquetón</t>
  </si>
  <si>
    <t>Tradición que sorprende</t>
  </si>
  <si>
    <t>Comparecerán 17 funcionarios por cuarto informe de gobierno</t>
  </si>
  <si>
    <t>Comparecencias</t>
  </si>
  <si>
    <t>Un total de 12 municipios afectados por las lluvias de ayer</t>
  </si>
  <si>
    <t>Como decían en otros  tiempos, la caballada está  flaca entre los suspirantes  a puestos de  elección popular,  de todos  los partidos  políticos…</t>
  </si>
  <si>
    <t>La SSPH desarticuló tres puntos de venta de drogas</t>
  </si>
  <si>
    <t>Bolsonaro y Lula irán a segunda vuelta en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</si>
</sst>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workbookViewId="0">
      <selection activeCell="A2" sqref="A2:H6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46300</v>
      </c>
      <c r="B2" t="s">
        <v>83</v>
      </c>
      <c r="C2" s="5" t="s">
        <v>95</v>
      </c>
      <c r="D2" t="s">
        <v>12</v>
      </c>
      <c r="E2" t="s">
        <v>18</v>
      </c>
      <c r="F2" t="s">
        <v>18</v>
      </c>
      <c r="G2" t="s">
        <v>42</v>
      </c>
      <c r="H2" t="s">
        <v>11</v>
      </c>
      <c r="I2" t="str">
        <f>_xlfn.XLOOKUP(Tabla1[[#This Row],[Dependencia]],Tabla2[Dependencia],Tabla2[Clasificación],"XXX",0)</f>
        <v>Partidos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46300</v>
      </c>
      <c r="B3" t="s">
        <v>83</v>
      </c>
      <c r="C3" s="5" t="s">
        <v>96</v>
      </c>
      <c r="D3" t="s">
        <v>9</v>
      </c>
      <c r="E3" t="s">
        <v>10</v>
      </c>
      <c r="F3" t="s">
        <v>10</v>
      </c>
      <c r="G3" t="s">
        <v>97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46300</v>
      </c>
      <c r="B4" t="s">
        <v>83</v>
      </c>
      <c r="C4" s="5" t="s">
        <v>98</v>
      </c>
      <c r="D4" t="s">
        <v>12</v>
      </c>
      <c r="E4" t="s">
        <v>10</v>
      </c>
      <c r="F4" t="s">
        <v>10</v>
      </c>
      <c r="G4" t="s">
        <v>99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46300</v>
      </c>
      <c r="B5" t="s">
        <v>83</v>
      </c>
      <c r="C5" s="5" t="s">
        <v>100</v>
      </c>
      <c r="D5" t="s">
        <v>12</v>
      </c>
      <c r="E5" t="s">
        <v>16</v>
      </c>
      <c r="F5" t="s">
        <v>16</v>
      </c>
      <c r="G5" t="s">
        <v>101</v>
      </c>
      <c r="H5" t="s">
        <v>68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46300</v>
      </c>
      <c r="B6" t="s">
        <v>83</v>
      </c>
      <c r="C6" s="5" t="s">
        <v>102</v>
      </c>
      <c r="D6" t="s">
        <v>13</v>
      </c>
      <c r="E6" t="s">
        <v>56</v>
      </c>
      <c r="F6" t="s">
        <v>56</v>
      </c>
      <c r="G6" t="s">
        <v>103</v>
      </c>
      <c r="H6" t="s">
        <v>68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46300</v>
      </c>
      <c r="B7" t="s">
        <v>83</v>
      </c>
      <c r="C7" s="5" t="s">
        <v>104</v>
      </c>
      <c r="D7" t="s">
        <v>12</v>
      </c>
      <c r="E7" t="s">
        <v>29</v>
      </c>
      <c r="F7" t="s">
        <v>86</v>
      </c>
      <c r="G7" t="s">
        <v>78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46300</v>
      </c>
      <c r="B8" t="s">
        <v>83</v>
      </c>
      <c r="C8" s="5" t="s">
        <v>105</v>
      </c>
      <c r="D8" t="s">
        <v>12</v>
      </c>
      <c r="E8" t="s">
        <v>10</v>
      </c>
      <c r="F8" t="s">
        <v>10</v>
      </c>
      <c r="G8" t="s">
        <v>80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46300</v>
      </c>
      <c r="B9" t="s">
        <v>69</v>
      </c>
      <c r="C9" s="5" t="s">
        <v>106</v>
      </c>
      <c r="D9" t="s">
        <v>9</v>
      </c>
      <c r="E9" t="s">
        <v>16</v>
      </c>
      <c r="F9" t="s">
        <v>93</v>
      </c>
      <c r="G9" t="s">
        <v>107</v>
      </c>
      <c r="H9" t="s">
        <v>11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46300</v>
      </c>
      <c r="B10" t="s">
        <v>69</v>
      </c>
      <c r="C10" s="5" t="s">
        <v>108</v>
      </c>
      <c r="D10" t="s">
        <v>12</v>
      </c>
      <c r="E10" t="s">
        <v>59</v>
      </c>
      <c r="F10" t="s">
        <v>59</v>
      </c>
      <c r="G10" t="s">
        <v>109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46300</v>
      </c>
      <c r="B11" t="s">
        <v>69</v>
      </c>
      <c r="C11" s="5" t="s">
        <v>110</v>
      </c>
      <c r="D11" t="s">
        <v>12</v>
      </c>
      <c r="E11" t="s">
        <v>18</v>
      </c>
      <c r="F11" t="s">
        <v>18</v>
      </c>
      <c r="G11" t="s">
        <v>61</v>
      </c>
      <c r="H11" t="s">
        <v>11</v>
      </c>
      <c r="I11" t="str">
        <f>_xlfn.XLOOKUP(Tabla1[[#This Row],[Dependencia]],Tabla2[Dependencia],Tabla2[Clasificación],"XXX",0)</f>
        <v>Partidos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46300</v>
      </c>
      <c r="B12" t="s">
        <v>69</v>
      </c>
      <c r="C12" s="5" t="s">
        <v>111</v>
      </c>
      <c r="D12" t="s">
        <v>12</v>
      </c>
      <c r="E12" t="s">
        <v>10</v>
      </c>
      <c r="F12" t="s">
        <v>10</v>
      </c>
      <c r="G12" t="s">
        <v>112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46300</v>
      </c>
      <c r="B13" t="s">
        <v>69</v>
      </c>
      <c r="C13" s="5" t="s">
        <v>113</v>
      </c>
      <c r="D13" t="s">
        <v>12</v>
      </c>
      <c r="E13" t="s">
        <v>14</v>
      </c>
      <c r="F13" t="s">
        <v>14</v>
      </c>
      <c r="G13" t="s">
        <v>90</v>
      </c>
      <c r="H13" t="s">
        <v>11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46300</v>
      </c>
      <c r="B14" t="s">
        <v>71</v>
      </c>
      <c r="C14" s="5" t="s">
        <v>114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46300</v>
      </c>
      <c r="B15" t="s">
        <v>71</v>
      </c>
      <c r="C15" s="5" t="s">
        <v>115</v>
      </c>
      <c r="D15" t="s">
        <v>12</v>
      </c>
      <c r="E15" t="s">
        <v>26</v>
      </c>
      <c r="F15" t="s">
        <v>116</v>
      </c>
      <c r="G15" t="s">
        <v>117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46300</v>
      </c>
      <c r="B16" t="s">
        <v>71</v>
      </c>
      <c r="C16" s="5" t="s">
        <v>118</v>
      </c>
      <c r="D16" t="s">
        <v>13</v>
      </c>
      <c r="E16" t="s">
        <v>38</v>
      </c>
      <c r="F16" t="s">
        <v>66</v>
      </c>
      <c r="G16" t="s">
        <v>119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46300</v>
      </c>
      <c r="B17" t="s">
        <v>71</v>
      </c>
      <c r="C17" s="5" t="s">
        <v>120</v>
      </c>
      <c r="D17" t="s">
        <v>12</v>
      </c>
      <c r="E17" t="s">
        <v>23</v>
      </c>
      <c r="F17" t="s">
        <v>121</v>
      </c>
      <c r="G17" t="s">
        <v>122</v>
      </c>
      <c r="H17" t="s">
        <v>68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46300</v>
      </c>
      <c r="B18" t="s">
        <v>71</v>
      </c>
      <c r="C18" s="5" t="s">
        <v>123</v>
      </c>
      <c r="D18" t="s">
        <v>9</v>
      </c>
      <c r="E18" t="s">
        <v>18</v>
      </c>
      <c r="F18" t="s">
        <v>18</v>
      </c>
      <c r="G18" t="s">
        <v>90</v>
      </c>
      <c r="H18" t="s">
        <v>11</v>
      </c>
      <c r="I18" t="str">
        <f>_xlfn.XLOOKUP(Tabla1[[#This Row],[Dependencia]],Tabla2[Dependencia],Tabla2[Clasificación],"XXX",0)</f>
        <v>Partidos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46300</v>
      </c>
      <c r="B19" t="s">
        <v>71</v>
      </c>
      <c r="C19" s="5" t="s">
        <v>124</v>
      </c>
      <c r="D19" t="s">
        <v>12</v>
      </c>
      <c r="E19" t="s">
        <v>64</v>
      </c>
      <c r="F19" t="s">
        <v>64</v>
      </c>
      <c r="G19" t="s">
        <v>89</v>
      </c>
      <c r="H19" t="s">
        <v>11</v>
      </c>
      <c r="I19" t="str">
        <f>_xlfn.XLOOKUP(Tabla1[[#This Row],[Dependencia]],Tabla2[Dependencia],Tabla2[Clasificación],"XXX",0)</f>
        <v>Partidos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46300</v>
      </c>
      <c r="B20" t="s">
        <v>71</v>
      </c>
      <c r="C20" s="5" t="s">
        <v>125</v>
      </c>
      <c r="D20" t="s">
        <v>12</v>
      </c>
      <c r="E20" t="s">
        <v>18</v>
      </c>
      <c r="F20" t="s">
        <v>2</v>
      </c>
      <c r="G20" t="s">
        <v>61</v>
      </c>
      <c r="H20" t="s">
        <v>11</v>
      </c>
      <c r="I20" t="str">
        <f>_xlfn.XLOOKUP(Tabla1[[#This Row],[Dependencia]],Tabla2[Dependencia],Tabla2[Clasificación],"XXX",0)</f>
        <v>Partidos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46300</v>
      </c>
      <c r="B21" t="s">
        <v>75</v>
      </c>
      <c r="C21" s="5" t="s">
        <v>126</v>
      </c>
      <c r="D21" t="s">
        <v>13</v>
      </c>
      <c r="E21" t="s">
        <v>18</v>
      </c>
      <c r="F21" t="s">
        <v>18</v>
      </c>
      <c r="G21" t="s">
        <v>61</v>
      </c>
      <c r="H21" t="s">
        <v>11</v>
      </c>
      <c r="I21" t="str">
        <f>_xlfn.XLOOKUP(Tabla1[[#This Row],[Dependencia]],Tabla2[Dependencia],Tabla2[Clasificación],"XXX",0)</f>
        <v>Partidos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46300</v>
      </c>
      <c r="B22" t="s">
        <v>75</v>
      </c>
      <c r="C22" s="5" t="s">
        <v>127</v>
      </c>
      <c r="D22" t="s">
        <v>12</v>
      </c>
      <c r="E22" t="s">
        <v>47</v>
      </c>
      <c r="F22" t="s">
        <v>128</v>
      </c>
      <c r="G22" t="s">
        <v>61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46300</v>
      </c>
      <c r="B23" t="s">
        <v>75</v>
      </c>
      <c r="C23" s="5" t="s">
        <v>129</v>
      </c>
      <c r="D23" t="s">
        <v>12</v>
      </c>
      <c r="E23" t="s">
        <v>10</v>
      </c>
      <c r="F23" t="s">
        <v>10</v>
      </c>
      <c r="G23" t="s">
        <v>130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46300</v>
      </c>
      <c r="B24" t="s">
        <v>75</v>
      </c>
      <c r="C24" s="5" t="s">
        <v>131</v>
      </c>
      <c r="D24" t="s">
        <v>12</v>
      </c>
      <c r="E24" t="s">
        <v>17</v>
      </c>
      <c r="F24" t="s">
        <v>17</v>
      </c>
      <c r="G24" t="s">
        <v>132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46300</v>
      </c>
      <c r="B25" t="s">
        <v>75</v>
      </c>
      <c r="C25" s="5" t="s">
        <v>133</v>
      </c>
      <c r="D25" t="s">
        <v>12</v>
      </c>
      <c r="E25" t="s">
        <v>17</v>
      </c>
      <c r="F25" t="s">
        <v>17</v>
      </c>
      <c r="G25" t="s">
        <v>134</v>
      </c>
      <c r="H25" t="s">
        <v>68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46300</v>
      </c>
      <c r="B26" t="s">
        <v>75</v>
      </c>
      <c r="C26" s="5" t="s">
        <v>135</v>
      </c>
      <c r="D26" t="s">
        <v>9</v>
      </c>
      <c r="E26" t="s">
        <v>23</v>
      </c>
      <c r="F26" t="s">
        <v>136</v>
      </c>
      <c r="G26" t="s">
        <v>94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11">
        <v>46300</v>
      </c>
      <c r="B27" t="s">
        <v>75</v>
      </c>
      <c r="C27" s="5" t="s">
        <v>137</v>
      </c>
      <c r="D27" t="s">
        <v>12</v>
      </c>
      <c r="E27" t="s">
        <v>59</v>
      </c>
      <c r="F27" t="s">
        <v>59</v>
      </c>
      <c r="G27" t="s">
        <v>109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46300</v>
      </c>
      <c r="B28" t="s">
        <v>75</v>
      </c>
      <c r="C28" s="5" t="s">
        <v>138</v>
      </c>
      <c r="D28" t="s">
        <v>12</v>
      </c>
      <c r="E28" t="s">
        <v>10</v>
      </c>
      <c r="F28" t="s">
        <v>10</v>
      </c>
      <c r="G28" t="s">
        <v>80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46300</v>
      </c>
      <c r="B29" t="s">
        <v>75</v>
      </c>
      <c r="C29" s="5" t="s">
        <v>139</v>
      </c>
      <c r="D29" t="s">
        <v>12</v>
      </c>
      <c r="E29" t="s">
        <v>10</v>
      </c>
      <c r="F29" t="s">
        <v>10</v>
      </c>
      <c r="G29" t="s">
        <v>140</v>
      </c>
      <c r="H29" t="s">
        <v>68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46300</v>
      </c>
      <c r="B30" t="s">
        <v>75</v>
      </c>
      <c r="C30" s="5" t="s">
        <v>141</v>
      </c>
      <c r="D30" t="s">
        <v>12</v>
      </c>
      <c r="E30" t="s">
        <v>14</v>
      </c>
      <c r="F30" t="s">
        <v>14</v>
      </c>
      <c r="G30" t="s">
        <v>90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46300</v>
      </c>
      <c r="B31" t="s">
        <v>81</v>
      </c>
      <c r="C31" s="5" t="s">
        <v>142</v>
      </c>
      <c r="D31" t="s">
        <v>13</v>
      </c>
      <c r="E31" t="s">
        <v>143</v>
      </c>
      <c r="F31" t="s">
        <v>143</v>
      </c>
      <c r="G31" t="s">
        <v>144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11">
        <v>46300</v>
      </c>
      <c r="B32" t="s">
        <v>81</v>
      </c>
      <c r="C32" s="5" t="s">
        <v>145</v>
      </c>
      <c r="D32" t="s">
        <v>12</v>
      </c>
      <c r="E32" t="s">
        <v>18</v>
      </c>
      <c r="F32" t="s">
        <v>2</v>
      </c>
      <c r="G32" t="s">
        <v>42</v>
      </c>
      <c r="H32" t="s">
        <v>11</v>
      </c>
      <c r="I32" t="str">
        <f>_xlfn.XLOOKUP(Tabla1[[#This Row],[Dependencia]],Tabla2[Dependencia],Tabla2[Clasificación],"XXX",0)</f>
        <v>Partidos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46300</v>
      </c>
      <c r="B33" t="s">
        <v>81</v>
      </c>
      <c r="C33" s="5" t="s">
        <v>146</v>
      </c>
      <c r="D33" t="s">
        <v>12</v>
      </c>
      <c r="E33" t="s">
        <v>10</v>
      </c>
      <c r="F33" t="s">
        <v>10</v>
      </c>
      <c r="G33" t="s">
        <v>140</v>
      </c>
      <c r="H33" t="s">
        <v>68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11">
        <v>46300</v>
      </c>
      <c r="B34" t="s">
        <v>81</v>
      </c>
      <c r="C34" s="5" t="s">
        <v>147</v>
      </c>
      <c r="D34" t="s">
        <v>9</v>
      </c>
      <c r="E34" t="s">
        <v>143</v>
      </c>
      <c r="F34" t="s">
        <v>143</v>
      </c>
      <c r="G34" t="s">
        <v>148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90" x14ac:dyDescent="0.25">
      <c r="A35" s="11">
        <v>46300</v>
      </c>
      <c r="B35" t="s">
        <v>81</v>
      </c>
      <c r="C35" s="5" t="s">
        <v>149</v>
      </c>
      <c r="D35" t="s">
        <v>12</v>
      </c>
      <c r="E35" t="s">
        <v>10</v>
      </c>
      <c r="F35" t="s">
        <v>10</v>
      </c>
      <c r="G35" t="s">
        <v>80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46300</v>
      </c>
      <c r="B36" t="s">
        <v>74</v>
      </c>
      <c r="C36" s="5" t="s">
        <v>150</v>
      </c>
      <c r="D36" t="s">
        <v>13</v>
      </c>
      <c r="E36" t="s">
        <v>143</v>
      </c>
      <c r="F36" t="s">
        <v>143</v>
      </c>
      <c r="G36" t="s">
        <v>107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46300</v>
      </c>
      <c r="B37" t="s">
        <v>74</v>
      </c>
      <c r="C37" s="5" t="s">
        <v>151</v>
      </c>
      <c r="D37" t="s">
        <v>12</v>
      </c>
      <c r="E37" t="s">
        <v>17</v>
      </c>
      <c r="F37" t="s">
        <v>17</v>
      </c>
      <c r="G37" t="s">
        <v>132</v>
      </c>
      <c r="H37" t="s">
        <v>72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46300</v>
      </c>
      <c r="B38" t="s">
        <v>74</v>
      </c>
      <c r="C38" s="5" t="s">
        <v>152</v>
      </c>
      <c r="D38" t="s">
        <v>12</v>
      </c>
      <c r="E38" t="s">
        <v>18</v>
      </c>
      <c r="F38" t="s">
        <v>18</v>
      </c>
      <c r="G38" t="s">
        <v>90</v>
      </c>
      <c r="H38" t="s">
        <v>11</v>
      </c>
      <c r="I38" t="str">
        <f>_xlfn.XLOOKUP(Tabla1[[#This Row],[Dependencia]],Tabla2[Dependencia],Tabla2[Clasificación],"XXX",0)</f>
        <v>Partidos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46300</v>
      </c>
      <c r="B39" t="s">
        <v>74</v>
      </c>
      <c r="C39" s="5" t="s">
        <v>153</v>
      </c>
      <c r="D39" t="s">
        <v>12</v>
      </c>
      <c r="E39" t="s">
        <v>10</v>
      </c>
      <c r="F39" t="s">
        <v>10</v>
      </c>
      <c r="G39" t="s">
        <v>80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46300</v>
      </c>
      <c r="B40" t="s">
        <v>73</v>
      </c>
      <c r="C40" s="5" t="s">
        <v>154</v>
      </c>
      <c r="D40" t="s">
        <v>13</v>
      </c>
      <c r="E40" t="s">
        <v>10</v>
      </c>
      <c r="F40" t="s">
        <v>10</v>
      </c>
      <c r="G40" t="s">
        <v>42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46300</v>
      </c>
      <c r="B41" t="s">
        <v>73</v>
      </c>
      <c r="C41" s="5" t="s">
        <v>155</v>
      </c>
      <c r="D41" t="s">
        <v>12</v>
      </c>
      <c r="E41" t="s">
        <v>143</v>
      </c>
      <c r="F41" t="s">
        <v>143</v>
      </c>
      <c r="G41" t="s">
        <v>107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46300</v>
      </c>
      <c r="B42" t="s">
        <v>73</v>
      </c>
      <c r="C42" s="5" t="s">
        <v>156</v>
      </c>
      <c r="D42" t="s">
        <v>12</v>
      </c>
      <c r="E42" t="s">
        <v>10</v>
      </c>
      <c r="F42" t="s">
        <v>10</v>
      </c>
      <c r="G42" t="s">
        <v>80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46300</v>
      </c>
      <c r="B43" t="s">
        <v>73</v>
      </c>
      <c r="C43" s="5" t="s">
        <v>157</v>
      </c>
      <c r="D43" t="s">
        <v>12</v>
      </c>
      <c r="E43" t="s">
        <v>64</v>
      </c>
      <c r="F43" t="s">
        <v>64</v>
      </c>
      <c r="G43" t="s">
        <v>89</v>
      </c>
      <c r="H43" t="s">
        <v>11</v>
      </c>
      <c r="I43" t="str">
        <f>_xlfn.XLOOKUP(Tabla1[[#This Row],[Dependencia]],Tabla2[Dependencia],Tabla2[Clasificación],"XXX",0)</f>
        <v>Partidos</v>
      </c>
      <c r="J43" t="str">
        <f>_xlfn.XLOOKUP(Tabla1[[#This Row],[Dependencia]],Tabla3[Dependencia],Tabla3[Nivel],"Otros",0)</f>
        <v>Otros</v>
      </c>
    </row>
    <row r="44" spans="1:10" x14ac:dyDescent="0.25">
      <c r="A44" s="11">
        <v>46300</v>
      </c>
      <c r="B44" t="s">
        <v>73</v>
      </c>
      <c r="C44" s="5" t="s">
        <v>158</v>
      </c>
      <c r="D44" t="s">
        <v>12</v>
      </c>
      <c r="E44" t="s">
        <v>159</v>
      </c>
      <c r="F44" t="s">
        <v>159</v>
      </c>
      <c r="G44" t="s">
        <v>91</v>
      </c>
      <c r="H44" t="s">
        <v>68</v>
      </c>
      <c r="I44" t="str">
        <f>_xlfn.XLOOKUP(Tabla1[[#This Row],[Dependencia]],Tabla2[Dependencia],Tabla2[Clasificación],"XXX",0)</f>
        <v>Partidos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46300</v>
      </c>
      <c r="B45" t="s">
        <v>73</v>
      </c>
      <c r="C45" s="5" t="s">
        <v>160</v>
      </c>
      <c r="D45" t="s">
        <v>12</v>
      </c>
      <c r="E45" t="s">
        <v>18</v>
      </c>
      <c r="F45" t="s">
        <v>18</v>
      </c>
      <c r="G45" t="s">
        <v>61</v>
      </c>
      <c r="H45" t="s">
        <v>11</v>
      </c>
      <c r="I45" t="str">
        <f>_xlfn.XLOOKUP(Tabla1[[#This Row],[Dependencia]],Tabla2[Dependencia],Tabla2[Clasificación],"XXX",0)</f>
        <v>Partidos</v>
      </c>
      <c r="J45" t="str">
        <f>_xlfn.XLOOKUP(Tabla1[[#This Row],[Dependencia]],Tabla3[Dependencia],Tabla3[Nivel],"Otros",0)</f>
        <v>Otros</v>
      </c>
    </row>
    <row r="46" spans="1:10" x14ac:dyDescent="0.25">
      <c r="A46" s="11">
        <v>46300</v>
      </c>
      <c r="B46" t="s">
        <v>84</v>
      </c>
      <c r="C46" s="5" t="s">
        <v>161</v>
      </c>
      <c r="D46" t="s">
        <v>85</v>
      </c>
      <c r="E46" t="s">
        <v>23</v>
      </c>
      <c r="F46" t="s">
        <v>136</v>
      </c>
      <c r="G46" t="s">
        <v>94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46300</v>
      </c>
      <c r="B47" t="s">
        <v>84</v>
      </c>
      <c r="C47" s="5" t="s">
        <v>162</v>
      </c>
      <c r="D47" t="s">
        <v>12</v>
      </c>
      <c r="E47" t="s">
        <v>23</v>
      </c>
      <c r="F47" t="s">
        <v>136</v>
      </c>
      <c r="G47" t="s">
        <v>148</v>
      </c>
      <c r="H47" t="s">
        <v>163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46300</v>
      </c>
      <c r="B48" t="s">
        <v>84</v>
      </c>
      <c r="C48" s="5" t="s">
        <v>164</v>
      </c>
      <c r="D48" t="s">
        <v>13</v>
      </c>
      <c r="E48" t="s">
        <v>53</v>
      </c>
      <c r="F48" t="s">
        <v>53</v>
      </c>
      <c r="G48" t="s">
        <v>165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46300</v>
      </c>
      <c r="B49" t="s">
        <v>84</v>
      </c>
      <c r="C49" s="5" t="s">
        <v>166</v>
      </c>
      <c r="D49" t="s">
        <v>12</v>
      </c>
      <c r="E49" t="s">
        <v>16</v>
      </c>
      <c r="F49" t="s">
        <v>167</v>
      </c>
      <c r="G49" t="s">
        <v>168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46300</v>
      </c>
      <c r="B50" t="s">
        <v>84</v>
      </c>
      <c r="C50" s="5" t="s">
        <v>169</v>
      </c>
      <c r="D50" t="s">
        <v>12</v>
      </c>
      <c r="E50" t="s">
        <v>16</v>
      </c>
      <c r="F50" t="s">
        <v>76</v>
      </c>
      <c r="G50" t="s">
        <v>170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46300</v>
      </c>
      <c r="B51" t="s">
        <v>84</v>
      </c>
      <c r="C51" s="5" t="s">
        <v>171</v>
      </c>
      <c r="D51" t="s">
        <v>12</v>
      </c>
      <c r="E51" t="s">
        <v>26</v>
      </c>
      <c r="F51" t="s">
        <v>172</v>
      </c>
      <c r="G51" t="s">
        <v>173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46300</v>
      </c>
      <c r="B52" t="s">
        <v>84</v>
      </c>
      <c r="C52" s="5" t="s">
        <v>174</v>
      </c>
      <c r="D52" t="s">
        <v>12</v>
      </c>
      <c r="E52" t="s">
        <v>29</v>
      </c>
      <c r="F52" t="s">
        <v>86</v>
      </c>
      <c r="G52" t="s">
        <v>78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46300</v>
      </c>
      <c r="B53" t="s">
        <v>84</v>
      </c>
      <c r="C53" s="5" t="s">
        <v>175</v>
      </c>
      <c r="D53" t="s">
        <v>12</v>
      </c>
      <c r="E53" t="s">
        <v>26</v>
      </c>
      <c r="F53" t="s">
        <v>172</v>
      </c>
      <c r="G53" t="s">
        <v>92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46300</v>
      </c>
      <c r="B54" t="s">
        <v>84</v>
      </c>
      <c r="C54" s="5" t="s">
        <v>176</v>
      </c>
      <c r="D54" t="s">
        <v>12</v>
      </c>
      <c r="E54" t="s">
        <v>28</v>
      </c>
      <c r="F54" t="s">
        <v>28</v>
      </c>
      <c r="G54" t="s">
        <v>177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46300</v>
      </c>
      <c r="B55" t="s">
        <v>84</v>
      </c>
      <c r="C55" s="5" t="s">
        <v>178</v>
      </c>
      <c r="D55" t="s">
        <v>12</v>
      </c>
      <c r="E55" t="s">
        <v>143</v>
      </c>
      <c r="F55" t="s">
        <v>143</v>
      </c>
      <c r="G55" t="s">
        <v>148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46300</v>
      </c>
      <c r="B56" t="s">
        <v>84</v>
      </c>
      <c r="C56" s="5" t="s">
        <v>179</v>
      </c>
      <c r="D56" t="s">
        <v>82</v>
      </c>
      <c r="E56" t="s">
        <v>53</v>
      </c>
      <c r="F56" t="s">
        <v>53</v>
      </c>
      <c r="G56" t="s">
        <v>180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46300</v>
      </c>
      <c r="B57" t="s">
        <v>181</v>
      </c>
      <c r="C57" s="5" t="s">
        <v>182</v>
      </c>
      <c r="D57" t="s">
        <v>13</v>
      </c>
      <c r="E57" t="s">
        <v>10</v>
      </c>
      <c r="F57" t="s">
        <v>10</v>
      </c>
      <c r="G57" t="s">
        <v>107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46300</v>
      </c>
      <c r="B58" t="s">
        <v>181</v>
      </c>
      <c r="C58" s="5" t="s">
        <v>183</v>
      </c>
      <c r="D58" t="s">
        <v>12</v>
      </c>
      <c r="E58" t="s">
        <v>29</v>
      </c>
      <c r="F58" t="s">
        <v>86</v>
      </c>
      <c r="G58" t="s">
        <v>78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46300</v>
      </c>
      <c r="B59" t="s">
        <v>181</v>
      </c>
      <c r="C59" s="5" t="s">
        <v>184</v>
      </c>
      <c r="D59" t="s">
        <v>12</v>
      </c>
      <c r="E59" t="s">
        <v>29</v>
      </c>
      <c r="F59" t="s">
        <v>86</v>
      </c>
      <c r="G59" t="s">
        <v>78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46300</v>
      </c>
      <c r="B60" t="s">
        <v>181</v>
      </c>
      <c r="C60" s="5" t="s">
        <v>185</v>
      </c>
      <c r="D60" t="s">
        <v>12</v>
      </c>
      <c r="E60" t="s">
        <v>22</v>
      </c>
      <c r="F60" t="s">
        <v>22</v>
      </c>
      <c r="G60" t="s">
        <v>186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46300</v>
      </c>
      <c r="B61" t="s">
        <v>181</v>
      </c>
      <c r="C61" s="5" t="s">
        <v>187</v>
      </c>
      <c r="D61" t="s">
        <v>12</v>
      </c>
      <c r="E61" t="s">
        <v>26</v>
      </c>
      <c r="F61" t="s">
        <v>26</v>
      </c>
      <c r="G61" t="s">
        <v>188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25">
      <c r="A62" s="11">
        <v>46300</v>
      </c>
      <c r="B62" t="s">
        <v>181</v>
      </c>
      <c r="C62" s="5" t="s">
        <v>189</v>
      </c>
      <c r="D62" t="s">
        <v>82</v>
      </c>
      <c r="E62" t="s">
        <v>19</v>
      </c>
      <c r="F62" t="s">
        <v>19</v>
      </c>
      <c r="G62" t="s">
        <v>78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46300</v>
      </c>
      <c r="B63" t="s">
        <v>181</v>
      </c>
      <c r="C63" s="5" t="s">
        <v>87</v>
      </c>
      <c r="D63" t="s">
        <v>82</v>
      </c>
      <c r="E63" t="s">
        <v>16</v>
      </c>
      <c r="F63" t="s">
        <v>16</v>
      </c>
      <c r="G63" t="s">
        <v>88</v>
      </c>
      <c r="H63" t="s">
        <v>11</v>
      </c>
      <c r="I63" t="str">
        <f>_xlfn.XLOOKUP(Tabla1[[#This Row],[Dependencia]],Tabla2[Dependencia],Tabla2[Clasificación],"XXX",0)</f>
        <v>Alcaldías</v>
      </c>
      <c r="J63" t="str">
        <f>_xlfn.XLOOKUP(Tabla1[[#This Row],[Dependencia]],Tabla3[Dependencia],Tabla3[Nivel],"Otros",0)</f>
        <v>Otros</v>
      </c>
    </row>
    <row r="64" spans="1:10" ht="30" x14ac:dyDescent="0.25">
      <c r="A64" s="11">
        <v>46300</v>
      </c>
      <c r="B64" t="s">
        <v>79</v>
      </c>
      <c r="C64" s="5" t="s">
        <v>190</v>
      </c>
      <c r="D64" t="s">
        <v>13</v>
      </c>
      <c r="E64" t="s">
        <v>38</v>
      </c>
      <c r="F64" t="s">
        <v>66</v>
      </c>
      <c r="G64" t="s">
        <v>191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11">
        <v>46300</v>
      </c>
      <c r="B65" t="s">
        <v>79</v>
      </c>
      <c r="C65" s="5" t="s">
        <v>192</v>
      </c>
      <c r="D65" t="s">
        <v>12</v>
      </c>
      <c r="E65" t="s">
        <v>23</v>
      </c>
      <c r="F65" t="s">
        <v>136</v>
      </c>
      <c r="G65" t="s">
        <v>107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45" x14ac:dyDescent="0.25">
      <c r="A66" s="11">
        <v>46300</v>
      </c>
      <c r="B66" t="s">
        <v>79</v>
      </c>
      <c r="C66" s="5" t="s">
        <v>193</v>
      </c>
      <c r="D66" t="s">
        <v>12</v>
      </c>
      <c r="E66" t="s">
        <v>10</v>
      </c>
      <c r="F66" t="s">
        <v>10</v>
      </c>
      <c r="G66" t="s">
        <v>61</v>
      </c>
      <c r="H66" t="s">
        <v>68</v>
      </c>
      <c r="I66" t="str">
        <f>_xlfn.XLOOKUP(Tabla1[[#This Row],[Dependencia]],Tabla2[Dependencia],Tabla2[Clasificación],"XXX",0)</f>
        <v>Otros</v>
      </c>
      <c r="J66" t="str">
        <f>_xlfn.XLOOKUP(Tabla1[[#This Row],[Dependencia]],Tabla3[Dependencia],Tabla3[Nivel],"Otros",0)</f>
        <v>Otros</v>
      </c>
    </row>
    <row r="67" spans="1:10" x14ac:dyDescent="0.25">
      <c r="A67" s="11">
        <v>46300</v>
      </c>
      <c r="B67" t="s">
        <v>79</v>
      </c>
      <c r="C67" s="5" t="s">
        <v>194</v>
      </c>
      <c r="D67" t="s">
        <v>12</v>
      </c>
      <c r="E67" t="s">
        <v>22</v>
      </c>
      <c r="F67" t="s">
        <v>22</v>
      </c>
      <c r="G67" t="s">
        <v>186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25">
      <c r="A68" s="11">
        <v>46300</v>
      </c>
      <c r="B68" t="s">
        <v>79</v>
      </c>
      <c r="C68" s="5" t="s">
        <v>195</v>
      </c>
      <c r="D68" t="s">
        <v>12</v>
      </c>
      <c r="E68" t="s">
        <v>10</v>
      </c>
      <c r="F68" t="s">
        <v>10</v>
      </c>
      <c r="G68" t="s">
        <v>140</v>
      </c>
      <c r="H68" t="s">
        <v>68</v>
      </c>
      <c r="I68" t="str">
        <f>_xlfn.XLOOKUP(Tabla1[[#This Row],[Dependencia]],Tabla2[Dependencia],Tabla2[Clasificación],"XXX",0)</f>
        <v>Otros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77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2026-10-05T14:55:01Z</dcterms:modified>
</cp:coreProperties>
</file>