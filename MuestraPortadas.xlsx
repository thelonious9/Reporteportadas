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68231680-A902-4A3A-86FE-BE90B41033B9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I2" i="1"/>
  <c r="J2" i="1"/>
</calcChain>
</file>

<file path=xl/sharedStrings.xml><?xml version="1.0" encoding="utf-8"?>
<sst xmlns="http://schemas.openxmlformats.org/spreadsheetml/2006/main" count="559" uniqueCount="179">
  <si>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</si>
  <si>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</si>
  <si>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</si>
  <si>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</si>
  <si>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</si>
  <si>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</si>
  <si>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</si>
  <si>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</si>
  <si>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</si>
  <si>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</si>
  <si>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</si>
  <si>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</si>
  <si>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</si>
  <si>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</si>
  <si>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</si>
  <si>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</si>
  <si>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</si>
  <si>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</si>
  <si>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</si>
  <si>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</si>
  <si>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</si>
  <si>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</si>
  <si>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</si>
  <si>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</si>
  <si>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</si>
  <si>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</si>
  <si>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</si>
  <si>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</si>
  <si>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</si>
  <si>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</si>
  <si>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</si>
  <si>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</si>
  <si>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</si>
  <si>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</si>
  <si>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</si>
  <si>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</si>
  <si>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</si>
  <si>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</si>
  <si>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</si>
  <si>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</si>
  <si>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</si>
  <si>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</si>
  <si>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</si>
  <si>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</si>
  <si>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</si>
  <si>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</si>
  <si>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</si>
  <si>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</si>
  <si>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</si>
  <si>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</si>
  <si>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</si>
  <si>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</si>
  <si>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</si>
  <si>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</si>
  <si>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</si>
  <si>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</si>
  <si>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</si>
  <si>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</si>
  <si>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</si>
  <si>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</si>
  <si>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</si>
  <si>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</si>
  <si>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</si>
  <si>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</si>
  <si>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</si>
  <si>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</si>
  <si>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</si>
  <si>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</si>
  <si>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</si>
  <si>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</si>
  <si>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</si>
  <si>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</si>
  <si>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Temas varios</t>
  </si>
  <si>
    <t>Deportes</t>
  </si>
  <si>
    <t>Criterio</t>
  </si>
  <si>
    <t>Marfeca</t>
  </si>
  <si>
    <t>Cintillo</t>
  </si>
  <si>
    <t>Positiva</t>
  </si>
  <si>
    <t>Síntesis</t>
  </si>
  <si>
    <t>Milenio Hidalgo</t>
  </si>
  <si>
    <t>Temas internacionales</t>
  </si>
  <si>
    <t>Alcalde</t>
  </si>
  <si>
    <t>Zunoticia</t>
  </si>
  <si>
    <t>Plaza Juárez</t>
  </si>
  <si>
    <t>Editorial</t>
  </si>
  <si>
    <t>Reunión Gabinete De Seguridad</t>
  </si>
  <si>
    <t>Relleno Sanitario</t>
  </si>
  <si>
    <t>Candidaturas</t>
  </si>
  <si>
    <t>Effetá</t>
  </si>
  <si>
    <t>Piden a papás mayor vigilancia en sus hijos</t>
  </si>
  <si>
    <t>Retienen al alcalde del municipio de San Salvador</t>
  </si>
  <si>
    <t>Retención alcalde</t>
  </si>
  <si>
    <t>San Ildefonso y Conejos, pendientes para el Tren</t>
  </si>
  <si>
    <t>SICT</t>
  </si>
  <si>
    <t>Tren AIFA</t>
  </si>
  <si>
    <t>Solicita la reactivación de su línea telefónica</t>
  </si>
  <si>
    <t>Registro de celulares</t>
  </si>
  <si>
    <t>Suspenden el relleno sanitario de Tezontepec</t>
  </si>
  <si>
    <t>Tarjetas no recogidas, pierden apoyo económico</t>
  </si>
  <si>
    <t>Programas Del Bienestar</t>
  </si>
  <si>
    <t>Jalonean, empujan y retienen al edil de San Salvador</t>
  </si>
  <si>
    <t>Candidatos de Morena por encuesta y tómbola</t>
  </si>
  <si>
    <t>Usan nanotecnología vs contaminación</t>
  </si>
  <si>
    <t>Universidades</t>
  </si>
  <si>
    <t>Innovación tecnológica</t>
  </si>
  <si>
    <t>Alista DIF festival de adultos mayores</t>
  </si>
  <si>
    <t>Mes Del Adulto Mayor</t>
  </si>
  <si>
    <t>Presenta Aladro su 4to informe</t>
  </si>
  <si>
    <t>Informe TSJEH</t>
  </si>
  <si>
    <t>Alista DIFH festejo para los adultos en plenitud</t>
  </si>
  <si>
    <t>TEEH contrata salón para tercer informe reserva costo del edificio</t>
  </si>
  <si>
    <t>Opacidad</t>
  </si>
  <si>
    <t>Entre incongruencias y violencia: Centros LIBRE</t>
  </si>
  <si>
    <t>IHM</t>
  </si>
  <si>
    <t>Abuso laboral</t>
  </si>
  <si>
    <t>El Pachuca revive viejos fantasmas</t>
  </si>
  <si>
    <t>Rebeca Aladro rinde cuarto informe de actividades</t>
  </si>
  <si>
    <t>Chucky cadena vuelve a medirse con Del Toro</t>
  </si>
  <si>
    <t>Atilano plantea una policía metropolitana</t>
  </si>
  <si>
    <t>Policía metropolitana</t>
  </si>
  <si>
    <t>Mi prioridad hoy es el Judicial; después veré dónde servir"": Aladro</t>
  </si>
  <si>
    <t>Habrá consulta indígena en los 84 municipios</t>
  </si>
  <si>
    <t>Consulta Indígena</t>
  </si>
  <si>
    <t>Descarta el INE que haya focos rojos de cara a la elección</t>
  </si>
  <si>
    <t>Elecciones</t>
  </si>
  <si>
    <t>La titular del TSJ entregó a los titulares del Ejecutivo y del Legislativo el informe correspondiente al cuarto año</t>
  </si>
  <si>
    <t>Condena Guillermo Olivares acciones en San Salvador</t>
  </si>
  <si>
    <t>¿Qué pierden los estudiantes cuando se rinden ante la IA?</t>
  </si>
  <si>
    <t>Inteligencia Artificial</t>
  </si>
  <si>
    <t>DEA ve a García Harfuch ""socio de confianza y buen amigo de EStados Unidos""</t>
  </si>
  <si>
    <t>Cómo un imitador chino de Air Jordan se deshizo de Nike</t>
  </si>
  <si>
    <t>Tulancingo gastará casi $500 mil en viaje a Colombia</t>
  </si>
  <si>
    <t>Viaje al extranjero</t>
  </si>
  <si>
    <t>Aladro resalta modelo de justicia cercana en su cuarto informe</t>
  </si>
  <si>
    <t>Dispone CSP dejar de mencionar a periodistas</t>
  </si>
  <si>
    <t>Libertad de expresión</t>
  </si>
  <si>
    <t>Al rendir su cuarto informe de actividades, la magistrada presidenta Rebeca Aladro Echeverría informó que el TSJEH alcanzó una  cobertura estatal de 100% en el sistema de información jurisdiccional, al permitir una gestión digital plena en materias civil, familiar y  mercantil.</t>
  </si>
  <si>
    <t>El destino de Adán Augusto como coordinador de los trabajos en Hidalgo  será igual que el del dirigente estatal Marco Antonio Rico Mercado,  obedecer y atender con sus viejos oficios y artimañas a los grupos que  pudieran sentirse afectados por las decisiones”.</t>
  </si>
  <si>
    <t>Trabajo partidista</t>
  </si>
  <si>
    <t>El relleno sanitario de Siete Mezquites permanecerá cerrado indefinidamente</t>
  </si>
  <si>
    <t>Fortalece Poder Judicial de Hidalgo estrategias para una justicia cercana</t>
  </si>
  <si>
    <t>No fueron las formas adecuadas"": Olivares Reyna sobre retención de alcalde de San Salvador</t>
  </si>
  <si>
    <t>Julio Menchaca convoca a los tres Poderes a trabajar por la entidad</t>
  </si>
  <si>
    <t>Temporada de frentes fríos</t>
  </si>
  <si>
    <t>Alerta Meteorológica</t>
  </si>
  <si>
    <t>Reforzarán la seguridad ante el retorno a clases</t>
  </si>
  <si>
    <t>regreso a l</t>
  </si>
  <si>
    <t>SEPH y Conafor impulsan educación ambiental</t>
  </si>
  <si>
    <t>Educación Ambiental</t>
  </si>
  <si>
    <t>La creatividad te abre puertas: Gustavo Vázquez</t>
  </si>
  <si>
    <t>No me quita el sueño"" ser candidata a gobernador</t>
  </si>
  <si>
    <t>Irrumpen en presidencia y sacan al alcalde</t>
  </si>
  <si>
    <t>En Nopala Descartan riesgo para la gobernabilidad tras quema de patrulla</t>
  </si>
  <si>
    <t>Gobernabilidad</t>
  </si>
  <si>
    <t>Hocicón y mentiroso"" vs ""corrupto y traicionero""</t>
  </si>
  <si>
    <t>Enfrentamiento Político</t>
  </si>
  <si>
    <t>IEEH enfrenta dos juicios</t>
  </si>
  <si>
    <t>Juicio Político</t>
  </si>
  <si>
    <t>Abren 2a convocatoria de Embajadores Juventud 2026</t>
  </si>
  <si>
    <t>Embajadores de la juventud</t>
  </si>
  <si>
    <t>Niega alcaldesa de Tizayuca inconformidad por tren AIFA-Pachuca</t>
  </si>
  <si>
    <t>Menchaca convoca a los tres poderes a trabajar por la entidad</t>
  </si>
  <si>
    <t>Semarnath mantiene suspensión indefinida del relleno sanitario de Siete Mezquites</t>
  </si>
  <si>
    <t>Gobierno de Hidalgo recupera más de 7 millones de combustible ilícito en casi cuatro años</t>
  </si>
  <si>
    <t>Chocan 3 tráileres en el Arco Norte a la altura de Atitalaquia</t>
  </si>
  <si>
    <t>Accidente Carretero</t>
  </si>
  <si>
    <t>Hidalgo reconoce la innovación y creatividad del sector turístico con Galardones a la Innovación</t>
  </si>
  <si>
    <t>Innovación Turística</t>
  </si>
  <si>
    <t>Se lleva a cabo segunda sesión del Consejo Municipal de Población de Tulancingo</t>
  </si>
  <si>
    <t>Publican convocatoria para renovar dirigencia del Sindicato del Municipio de Pachuca</t>
  </si>
  <si>
    <t>SUTSMP</t>
  </si>
  <si>
    <t>Sheinbaum exige a EE.UU. pruebas contra López Beltrán</t>
  </si>
  <si>
    <t>Constantemente las autoridades aseguran huachicol en Hidalgo, delito que siempre va asociado a la violencia y todo tipo de delitos</t>
  </si>
  <si>
    <t>gober</t>
  </si>
  <si>
    <t>Combate Al Huachicol</t>
  </si>
  <si>
    <t>Aparece el cuerpo de hombre encobijado en Río de las Avenidas</t>
  </si>
  <si>
    <t>Localización de cuerpo</t>
  </si>
  <si>
    <t>Aseguran más de cuatro mil litros de hidrocarburo</t>
  </si>
  <si>
    <t>FGR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</si>
</sst>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8" totalsRowShown="0" headerRowDxfId="5" headerRowBorderDxfId="4">
  <autoFilter ref="A1:J58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8"/>
  <sheetViews>
    <sheetView tabSelected="1" topLeftCell="D49" workbookViewId="0">
      <selection activeCell="J58" sqref="J58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46253</v>
      </c>
      <c r="B2" t="s">
        <v>67</v>
      </c>
      <c r="C2" s="5" t="s">
        <v>89</v>
      </c>
      <c r="D2" t="s">
        <v>12</v>
      </c>
      <c r="E2" t="s">
        <v>10</v>
      </c>
      <c r="F2" t="s">
        <v>10</v>
      </c>
      <c r="G2" t="s">
        <v>72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46253</v>
      </c>
      <c r="B3" t="s">
        <v>67</v>
      </c>
      <c r="C3" s="5" t="s">
        <v>90</v>
      </c>
      <c r="D3" t="s">
        <v>12</v>
      </c>
      <c r="E3" t="s">
        <v>16</v>
      </c>
      <c r="F3" t="s">
        <v>81</v>
      </c>
      <c r="G3" t="s">
        <v>91</v>
      </c>
      <c r="H3" t="s">
        <v>70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35">
      <c r="A4" s="11">
        <v>46253</v>
      </c>
      <c r="B4" t="s">
        <v>67</v>
      </c>
      <c r="C4" s="5" t="s">
        <v>92</v>
      </c>
      <c r="D4" t="s">
        <v>13</v>
      </c>
      <c r="E4" t="s">
        <v>14</v>
      </c>
      <c r="F4" t="s">
        <v>93</v>
      </c>
      <c r="G4" t="s">
        <v>94</v>
      </c>
      <c r="H4" t="s">
        <v>11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46253</v>
      </c>
      <c r="B5" t="s">
        <v>67</v>
      </c>
      <c r="C5" s="5" t="s">
        <v>95</v>
      </c>
      <c r="D5" t="s">
        <v>12</v>
      </c>
      <c r="E5" t="s">
        <v>14</v>
      </c>
      <c r="F5" t="s">
        <v>14</v>
      </c>
      <c r="G5" t="s">
        <v>96</v>
      </c>
      <c r="H5" t="s">
        <v>70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46253</v>
      </c>
      <c r="B6" t="s">
        <v>67</v>
      </c>
      <c r="C6" s="5" t="s">
        <v>97</v>
      </c>
      <c r="D6" t="s">
        <v>12</v>
      </c>
      <c r="E6" t="s">
        <v>20</v>
      </c>
      <c r="F6" t="s">
        <v>20</v>
      </c>
      <c r="G6" t="s">
        <v>86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11">
        <v>46253</v>
      </c>
      <c r="B7" t="s">
        <v>67</v>
      </c>
      <c r="C7" s="5" t="s">
        <v>98</v>
      </c>
      <c r="D7" t="s">
        <v>12</v>
      </c>
      <c r="E7" t="s">
        <v>19</v>
      </c>
      <c r="F7" t="s">
        <v>19</v>
      </c>
      <c r="G7" t="s">
        <v>99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11">
        <v>46253</v>
      </c>
      <c r="B8" t="s">
        <v>71</v>
      </c>
      <c r="C8" s="5" t="s">
        <v>100</v>
      </c>
      <c r="D8" t="s">
        <v>12</v>
      </c>
      <c r="E8" t="s">
        <v>16</v>
      </c>
      <c r="F8" t="s">
        <v>81</v>
      </c>
      <c r="G8" t="s">
        <v>91</v>
      </c>
      <c r="H8" t="s">
        <v>70</v>
      </c>
      <c r="I8" t="str">
        <f>_xlfn.XLOOKUP(Tabla1[[#This Row],[Dependencia]],Tabla2[Dependencia],Tabla2[Clasificación],"XXX",0)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46253</v>
      </c>
      <c r="B9" t="s">
        <v>71</v>
      </c>
      <c r="C9" s="5" t="s">
        <v>101</v>
      </c>
      <c r="D9" t="s">
        <v>12</v>
      </c>
      <c r="E9" t="s">
        <v>18</v>
      </c>
      <c r="F9" t="s">
        <v>18</v>
      </c>
      <c r="G9" t="s">
        <v>87</v>
      </c>
      <c r="H9" t="s">
        <v>11</v>
      </c>
      <c r="I9" t="str">
        <f>_xlfn.XLOOKUP(Tabla1[[#This Row],[Dependencia]],Tabla2[Dependencia],Tabla2[Clasificación],"XXX",0)</f>
        <v>Partidos</v>
      </c>
      <c r="J9" t="str">
        <f>_xlfn.XLOOKUP(Tabla1[[#This Row],[Dependencia]],Tabla3[Dependencia],Tabla3[Nivel],"Otros",0)</f>
        <v>Otros</v>
      </c>
    </row>
    <row r="10" spans="1:10" x14ac:dyDescent="0.35">
      <c r="A10" s="11">
        <v>46253</v>
      </c>
      <c r="B10" t="s">
        <v>71</v>
      </c>
      <c r="C10" s="5" t="s">
        <v>102</v>
      </c>
      <c r="D10" t="s">
        <v>9</v>
      </c>
      <c r="E10" t="s">
        <v>26</v>
      </c>
      <c r="F10" t="s">
        <v>103</v>
      </c>
      <c r="G10" t="s">
        <v>104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11">
        <v>46253</v>
      </c>
      <c r="B11" t="s">
        <v>71</v>
      </c>
      <c r="C11" s="5" t="s">
        <v>105</v>
      </c>
      <c r="D11" t="s">
        <v>12</v>
      </c>
      <c r="E11" t="s">
        <v>36</v>
      </c>
      <c r="F11" t="s">
        <v>2</v>
      </c>
      <c r="G11" t="s">
        <v>106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11">
        <v>46253</v>
      </c>
      <c r="B12" t="s">
        <v>71</v>
      </c>
      <c r="C12" s="5" t="s">
        <v>107</v>
      </c>
      <c r="D12" t="s">
        <v>12</v>
      </c>
      <c r="E12" t="s">
        <v>58</v>
      </c>
      <c r="F12" t="s">
        <v>2</v>
      </c>
      <c r="G12" t="s">
        <v>108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11">
        <v>46253</v>
      </c>
      <c r="B13" t="s">
        <v>74</v>
      </c>
      <c r="C13" s="5" t="s">
        <v>109</v>
      </c>
      <c r="D13" t="s">
        <v>12</v>
      </c>
      <c r="E13" t="s">
        <v>36</v>
      </c>
      <c r="F13" t="s">
        <v>2</v>
      </c>
      <c r="G13" t="s">
        <v>106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ht="29" x14ac:dyDescent="0.35">
      <c r="A14" s="11">
        <v>46253</v>
      </c>
      <c r="B14" t="s">
        <v>74</v>
      </c>
      <c r="C14" s="5" t="s">
        <v>110</v>
      </c>
      <c r="D14" t="s">
        <v>12</v>
      </c>
      <c r="E14" t="s">
        <v>57</v>
      </c>
      <c r="F14" t="s">
        <v>57</v>
      </c>
      <c r="G14" t="s">
        <v>111</v>
      </c>
      <c r="H14" t="s">
        <v>70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46253</v>
      </c>
      <c r="B15" t="s">
        <v>74</v>
      </c>
      <c r="C15" s="5" t="s">
        <v>112</v>
      </c>
      <c r="D15" t="s">
        <v>13</v>
      </c>
      <c r="E15" t="s">
        <v>23</v>
      </c>
      <c r="F15" t="s">
        <v>113</v>
      </c>
      <c r="G15" t="s">
        <v>114</v>
      </c>
      <c r="H15" t="s">
        <v>70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11">
        <v>46253</v>
      </c>
      <c r="B16" t="s">
        <v>74</v>
      </c>
      <c r="C16" s="5" t="s">
        <v>115</v>
      </c>
      <c r="D16" t="s">
        <v>9</v>
      </c>
      <c r="E16" t="s">
        <v>10</v>
      </c>
      <c r="F16" t="s">
        <v>10</v>
      </c>
      <c r="G16" t="s">
        <v>73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11">
        <v>46253</v>
      </c>
      <c r="B17" t="s">
        <v>74</v>
      </c>
      <c r="C17" s="5" t="s">
        <v>116</v>
      </c>
      <c r="D17" t="s">
        <v>12</v>
      </c>
      <c r="E17" t="s">
        <v>58</v>
      </c>
      <c r="F17" t="s">
        <v>2</v>
      </c>
      <c r="G17" t="s">
        <v>108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11">
        <v>46253</v>
      </c>
      <c r="B18" t="s">
        <v>74</v>
      </c>
      <c r="C18" s="5" t="s">
        <v>117</v>
      </c>
      <c r="D18" t="s">
        <v>12</v>
      </c>
      <c r="E18" t="s">
        <v>10</v>
      </c>
      <c r="F18" t="s">
        <v>10</v>
      </c>
      <c r="G18" t="s">
        <v>73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46253</v>
      </c>
      <c r="B19" t="s">
        <v>74</v>
      </c>
      <c r="C19" s="5" t="s">
        <v>118</v>
      </c>
      <c r="D19" t="s">
        <v>12</v>
      </c>
      <c r="E19" t="s">
        <v>16</v>
      </c>
      <c r="F19" t="s">
        <v>81</v>
      </c>
      <c r="G19" t="s">
        <v>119</v>
      </c>
      <c r="H19" t="s">
        <v>11</v>
      </c>
      <c r="I19" t="str">
        <f>_xlfn.XLOOKUP(Tabla1[[#This Row],[Dependencia]],Tabla2[Dependencia],Tabla2[Clasificación],"XXX",0)</f>
        <v>Alcaldías</v>
      </c>
      <c r="J19" t="str">
        <f>_xlfn.XLOOKUP(Tabla1[[#This Row],[Dependencia]],Tabla3[Dependencia],Tabla3[Nivel],"Otros",0)</f>
        <v>Otros</v>
      </c>
    </row>
    <row r="20" spans="1:10" ht="29" x14ac:dyDescent="0.35">
      <c r="A20" s="11">
        <v>46253</v>
      </c>
      <c r="B20" t="s">
        <v>79</v>
      </c>
      <c r="C20" s="5" t="s">
        <v>120</v>
      </c>
      <c r="D20" t="s">
        <v>13</v>
      </c>
      <c r="E20" t="s">
        <v>58</v>
      </c>
      <c r="F20" t="s">
        <v>2</v>
      </c>
      <c r="G20" t="s">
        <v>108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11">
        <v>46253</v>
      </c>
      <c r="B21" t="s">
        <v>79</v>
      </c>
      <c r="C21" s="5" t="s">
        <v>121</v>
      </c>
      <c r="D21" t="s">
        <v>12</v>
      </c>
      <c r="E21" t="s">
        <v>33</v>
      </c>
      <c r="F21" t="s">
        <v>33</v>
      </c>
      <c r="G21" t="s">
        <v>122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11">
        <v>46253</v>
      </c>
      <c r="B22" t="s">
        <v>79</v>
      </c>
      <c r="C22" s="5" t="s">
        <v>123</v>
      </c>
      <c r="D22" t="s">
        <v>12</v>
      </c>
      <c r="E22" t="s">
        <v>10</v>
      </c>
      <c r="F22" t="s">
        <v>10</v>
      </c>
      <c r="G22" t="s">
        <v>124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ht="29" x14ac:dyDescent="0.35">
      <c r="A23" s="11">
        <v>46253</v>
      </c>
      <c r="B23" t="s">
        <v>79</v>
      </c>
      <c r="C23" s="5" t="s">
        <v>125</v>
      </c>
      <c r="D23" t="s">
        <v>9</v>
      </c>
      <c r="E23" t="s">
        <v>24</v>
      </c>
      <c r="F23" t="s">
        <v>24</v>
      </c>
      <c r="G23" t="s">
        <v>108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35">
      <c r="A24" s="11">
        <v>46253</v>
      </c>
      <c r="B24" t="s">
        <v>79</v>
      </c>
      <c r="C24" s="5" t="s">
        <v>126</v>
      </c>
      <c r="D24" t="s">
        <v>12</v>
      </c>
      <c r="E24" t="s">
        <v>23</v>
      </c>
      <c r="F24" t="s">
        <v>2</v>
      </c>
      <c r="G24" t="s">
        <v>91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11">
        <v>46253</v>
      </c>
      <c r="B25" t="s">
        <v>79</v>
      </c>
      <c r="C25" s="5" t="s">
        <v>127</v>
      </c>
      <c r="D25" t="s">
        <v>12</v>
      </c>
      <c r="E25" t="s">
        <v>10</v>
      </c>
      <c r="F25" t="s">
        <v>10</v>
      </c>
      <c r="G25" t="s">
        <v>128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29" x14ac:dyDescent="0.35">
      <c r="A26" s="11">
        <v>46253</v>
      </c>
      <c r="B26" t="s">
        <v>79</v>
      </c>
      <c r="C26" s="5" t="s">
        <v>129</v>
      </c>
      <c r="D26" t="s">
        <v>12</v>
      </c>
      <c r="E26" t="s">
        <v>14</v>
      </c>
      <c r="F26" t="s">
        <v>14</v>
      </c>
      <c r="G26" t="s">
        <v>80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35">
      <c r="A27" s="11">
        <v>46253</v>
      </c>
      <c r="B27" t="s">
        <v>79</v>
      </c>
      <c r="C27" s="5" t="s">
        <v>130</v>
      </c>
      <c r="D27" t="s">
        <v>12</v>
      </c>
      <c r="E27" t="s">
        <v>10</v>
      </c>
      <c r="F27" t="s">
        <v>10</v>
      </c>
      <c r="G27" t="s">
        <v>72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46253</v>
      </c>
      <c r="B28" t="s">
        <v>68</v>
      </c>
      <c r="C28" s="5" t="s">
        <v>131</v>
      </c>
      <c r="D28" t="s">
        <v>12</v>
      </c>
      <c r="E28" t="s">
        <v>16</v>
      </c>
      <c r="F28" t="s">
        <v>16</v>
      </c>
      <c r="G28" t="s">
        <v>132</v>
      </c>
      <c r="H28" t="s">
        <v>70</v>
      </c>
      <c r="I28" t="str">
        <f>_xlfn.XLOOKUP(Tabla1[[#This Row],[Dependencia]],Tabla2[Dependencia],Tabla2[Clasificación],"XXX",0)</f>
        <v>Alcaldías</v>
      </c>
      <c r="J28" t="str">
        <f>_xlfn.XLOOKUP(Tabla1[[#This Row],[Dependencia]],Tabla3[Dependencia],Tabla3[Nivel],"Otros",0)</f>
        <v>Otros</v>
      </c>
    </row>
    <row r="29" spans="1:10" ht="29" x14ac:dyDescent="0.35">
      <c r="A29" s="11">
        <v>46253</v>
      </c>
      <c r="B29" t="s">
        <v>68</v>
      </c>
      <c r="C29" s="5" t="s">
        <v>133</v>
      </c>
      <c r="D29" t="s">
        <v>13</v>
      </c>
      <c r="E29" t="s">
        <v>58</v>
      </c>
      <c r="F29" t="s">
        <v>2</v>
      </c>
      <c r="G29" t="s">
        <v>108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11">
        <v>46253</v>
      </c>
      <c r="B30" t="s">
        <v>68</v>
      </c>
      <c r="C30" s="5" t="s">
        <v>134</v>
      </c>
      <c r="D30" t="s">
        <v>12</v>
      </c>
      <c r="E30" t="s">
        <v>14</v>
      </c>
      <c r="F30" t="s">
        <v>14</v>
      </c>
      <c r="G30" t="s">
        <v>135</v>
      </c>
      <c r="H30" t="s">
        <v>11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ht="72.5" x14ac:dyDescent="0.35">
      <c r="A31" s="11">
        <v>46253</v>
      </c>
      <c r="B31" t="s">
        <v>68</v>
      </c>
      <c r="C31" s="5" t="s">
        <v>136</v>
      </c>
      <c r="D31" t="s">
        <v>9</v>
      </c>
      <c r="E31" t="s">
        <v>24</v>
      </c>
      <c r="F31" t="s">
        <v>24</v>
      </c>
      <c r="G31" t="s">
        <v>108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Gobernador</v>
      </c>
    </row>
    <row r="32" spans="1:10" ht="72.5" x14ac:dyDescent="0.35">
      <c r="A32" s="11">
        <v>46253</v>
      </c>
      <c r="B32" t="s">
        <v>68</v>
      </c>
      <c r="C32" s="5" t="s">
        <v>137</v>
      </c>
      <c r="D32" t="s">
        <v>12</v>
      </c>
      <c r="E32" t="s">
        <v>18</v>
      </c>
      <c r="F32" t="s">
        <v>18</v>
      </c>
      <c r="G32" t="s">
        <v>138</v>
      </c>
      <c r="H32" t="s">
        <v>11</v>
      </c>
      <c r="I32" t="str">
        <f>_xlfn.XLOOKUP(Tabla1[[#This Row],[Dependencia]],Tabla2[Dependencia],Tabla2[Clasificación],"XXX",0)</f>
        <v>Partidos</v>
      </c>
      <c r="J32" t="str">
        <f>_xlfn.XLOOKUP(Tabla1[[#This Row],[Dependencia]],Tabla3[Dependencia],Tabla3[Nivel],"Otros",0)</f>
        <v>Otros</v>
      </c>
    </row>
    <row r="33" spans="1:10" ht="29" x14ac:dyDescent="0.35">
      <c r="A33" s="11">
        <v>46253</v>
      </c>
      <c r="B33" t="s">
        <v>78</v>
      </c>
      <c r="C33" s="5" t="s">
        <v>139</v>
      </c>
      <c r="D33" t="s">
        <v>13</v>
      </c>
      <c r="E33" t="s">
        <v>20</v>
      </c>
      <c r="F33" t="s">
        <v>20</v>
      </c>
      <c r="G33" t="s">
        <v>86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11">
        <v>46253</v>
      </c>
      <c r="B34" t="s">
        <v>78</v>
      </c>
      <c r="C34" s="5" t="s">
        <v>140</v>
      </c>
      <c r="D34" t="s">
        <v>12</v>
      </c>
      <c r="E34" t="s">
        <v>58</v>
      </c>
      <c r="F34" t="s">
        <v>2</v>
      </c>
      <c r="G34" t="s">
        <v>108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11">
        <v>46253</v>
      </c>
      <c r="B35" t="s">
        <v>78</v>
      </c>
      <c r="C35" s="5" t="s">
        <v>141</v>
      </c>
      <c r="D35" t="s">
        <v>12</v>
      </c>
      <c r="E35" t="s">
        <v>23</v>
      </c>
      <c r="F35" t="s">
        <v>2</v>
      </c>
      <c r="G35" t="s">
        <v>91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11">
        <v>46253</v>
      </c>
      <c r="B36" t="s">
        <v>82</v>
      </c>
      <c r="C36" s="5" t="s">
        <v>142</v>
      </c>
      <c r="D36" t="s">
        <v>13</v>
      </c>
      <c r="E36" t="s">
        <v>24</v>
      </c>
      <c r="F36" t="s">
        <v>24</v>
      </c>
      <c r="G36" t="s">
        <v>108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35">
      <c r="A37" s="11">
        <v>46253</v>
      </c>
      <c r="B37" t="s">
        <v>82</v>
      </c>
      <c r="C37" s="5" t="s">
        <v>143</v>
      </c>
      <c r="D37" t="s">
        <v>12</v>
      </c>
      <c r="E37" t="s">
        <v>10</v>
      </c>
      <c r="F37" t="s">
        <v>10</v>
      </c>
      <c r="G37" t="s">
        <v>144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x14ac:dyDescent="0.35">
      <c r="A38" s="11">
        <v>46253</v>
      </c>
      <c r="B38" t="s">
        <v>82</v>
      </c>
      <c r="C38" s="5" t="s">
        <v>145</v>
      </c>
      <c r="D38" t="s">
        <v>12</v>
      </c>
      <c r="E38" t="s">
        <v>10</v>
      </c>
      <c r="F38" t="s">
        <v>10</v>
      </c>
      <c r="G38" t="s">
        <v>146</v>
      </c>
      <c r="H38" t="s">
        <v>11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x14ac:dyDescent="0.35">
      <c r="A39" s="11">
        <v>46253</v>
      </c>
      <c r="B39" t="s">
        <v>82</v>
      </c>
      <c r="C39" s="5" t="s">
        <v>147</v>
      </c>
      <c r="D39" t="s">
        <v>12</v>
      </c>
      <c r="E39" t="s">
        <v>26</v>
      </c>
      <c r="F39" t="s">
        <v>26</v>
      </c>
      <c r="G39" t="s">
        <v>148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35">
      <c r="A40" s="11">
        <v>46253</v>
      </c>
      <c r="B40" t="s">
        <v>82</v>
      </c>
      <c r="C40" s="5" t="s">
        <v>149</v>
      </c>
      <c r="D40" t="s">
        <v>12</v>
      </c>
      <c r="E40" t="s">
        <v>10</v>
      </c>
      <c r="F40" t="s">
        <v>10</v>
      </c>
      <c r="G40" t="s">
        <v>72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35">
      <c r="A41" s="11">
        <v>46253</v>
      </c>
      <c r="B41" t="s">
        <v>88</v>
      </c>
      <c r="C41" s="5" t="s">
        <v>150</v>
      </c>
      <c r="D41" t="s">
        <v>12</v>
      </c>
      <c r="E41" t="s">
        <v>58</v>
      </c>
      <c r="F41" t="s">
        <v>2</v>
      </c>
      <c r="G41" t="s">
        <v>108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35">
      <c r="A42" s="11">
        <v>46253</v>
      </c>
      <c r="B42" t="s">
        <v>88</v>
      </c>
      <c r="C42" s="5" t="s">
        <v>151</v>
      </c>
      <c r="D42" t="s">
        <v>13</v>
      </c>
      <c r="E42" t="s">
        <v>16</v>
      </c>
      <c r="F42" t="s">
        <v>81</v>
      </c>
      <c r="G42" t="s">
        <v>91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29" x14ac:dyDescent="0.35">
      <c r="A43" s="11">
        <v>46253</v>
      </c>
      <c r="B43" t="s">
        <v>88</v>
      </c>
      <c r="C43" s="5" t="s">
        <v>152</v>
      </c>
      <c r="D43" t="s">
        <v>12</v>
      </c>
      <c r="E43" t="s">
        <v>16</v>
      </c>
      <c r="F43" t="s">
        <v>16</v>
      </c>
      <c r="G43" t="s">
        <v>153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x14ac:dyDescent="0.35">
      <c r="A44" s="11">
        <v>46253</v>
      </c>
      <c r="B44" t="s">
        <v>88</v>
      </c>
      <c r="C44" s="5" t="s">
        <v>154</v>
      </c>
      <c r="D44" t="s">
        <v>12</v>
      </c>
      <c r="E44" t="s">
        <v>10</v>
      </c>
      <c r="F44" t="s">
        <v>10</v>
      </c>
      <c r="G44" t="s">
        <v>155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x14ac:dyDescent="0.35">
      <c r="A45" s="11">
        <v>46253</v>
      </c>
      <c r="B45" t="s">
        <v>88</v>
      </c>
      <c r="C45" s="5" t="s">
        <v>156</v>
      </c>
      <c r="D45" t="s">
        <v>12</v>
      </c>
      <c r="E45" t="s">
        <v>40</v>
      </c>
      <c r="F45" t="s">
        <v>40</v>
      </c>
      <c r="G45" t="s">
        <v>157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x14ac:dyDescent="0.35">
      <c r="A46" s="11">
        <v>46253</v>
      </c>
      <c r="B46" t="s">
        <v>75</v>
      </c>
      <c r="C46" s="5" t="s">
        <v>158</v>
      </c>
      <c r="D46" t="s">
        <v>76</v>
      </c>
      <c r="E46" t="s">
        <v>19</v>
      </c>
      <c r="F46" t="s">
        <v>19</v>
      </c>
      <c r="G46" t="s">
        <v>159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11">
        <v>46253</v>
      </c>
      <c r="B47" t="s">
        <v>75</v>
      </c>
      <c r="C47" s="5" t="s">
        <v>160</v>
      </c>
      <c r="D47" t="s">
        <v>12</v>
      </c>
      <c r="E47" t="s">
        <v>16</v>
      </c>
      <c r="F47" t="s">
        <v>81</v>
      </c>
      <c r="G47" t="s">
        <v>94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29" x14ac:dyDescent="0.35">
      <c r="A48" s="11">
        <v>46253</v>
      </c>
      <c r="B48" t="s">
        <v>75</v>
      </c>
      <c r="C48" s="5" t="s">
        <v>161</v>
      </c>
      <c r="D48" t="s">
        <v>13</v>
      </c>
      <c r="E48" t="s">
        <v>24</v>
      </c>
      <c r="F48" t="s">
        <v>24</v>
      </c>
      <c r="G48" t="s">
        <v>108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ht="29" x14ac:dyDescent="0.35">
      <c r="A49" s="11">
        <v>46253</v>
      </c>
      <c r="B49" t="s">
        <v>75</v>
      </c>
      <c r="C49" s="5" t="s">
        <v>162</v>
      </c>
      <c r="D49" t="s">
        <v>12</v>
      </c>
      <c r="E49" t="s">
        <v>20</v>
      </c>
      <c r="F49" t="s">
        <v>20</v>
      </c>
      <c r="G49" t="s">
        <v>86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29" x14ac:dyDescent="0.35">
      <c r="A50" s="11">
        <v>46253</v>
      </c>
      <c r="B50" t="s">
        <v>75</v>
      </c>
      <c r="C50" s="5" t="s">
        <v>163</v>
      </c>
      <c r="D50" t="s">
        <v>12</v>
      </c>
      <c r="E50" t="s">
        <v>24</v>
      </c>
      <c r="F50" t="s">
        <v>24</v>
      </c>
      <c r="G50" t="s">
        <v>85</v>
      </c>
      <c r="H50" t="s">
        <v>77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x14ac:dyDescent="0.35">
      <c r="A51" s="11">
        <v>46253</v>
      </c>
      <c r="B51" t="s">
        <v>75</v>
      </c>
      <c r="C51" s="5" t="s">
        <v>164</v>
      </c>
      <c r="D51" t="s">
        <v>12</v>
      </c>
      <c r="E51" t="s">
        <v>10</v>
      </c>
      <c r="F51" t="s">
        <v>10</v>
      </c>
      <c r="G51" t="s">
        <v>165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ht="29" x14ac:dyDescent="0.35">
      <c r="A52" s="11">
        <v>46253</v>
      </c>
      <c r="B52" t="s">
        <v>75</v>
      </c>
      <c r="C52" s="5" t="s">
        <v>166</v>
      </c>
      <c r="D52" t="s">
        <v>12</v>
      </c>
      <c r="E52" t="s">
        <v>29</v>
      </c>
      <c r="F52" t="s">
        <v>2</v>
      </c>
      <c r="G52" t="s">
        <v>167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29" x14ac:dyDescent="0.35">
      <c r="A53" s="11">
        <v>46253</v>
      </c>
      <c r="B53" t="s">
        <v>75</v>
      </c>
      <c r="C53" s="5" t="s">
        <v>168</v>
      </c>
      <c r="D53" t="s">
        <v>12</v>
      </c>
      <c r="E53" t="s">
        <v>16</v>
      </c>
      <c r="F53" t="s">
        <v>16</v>
      </c>
      <c r="G53" t="s">
        <v>72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29" x14ac:dyDescent="0.35">
      <c r="A54" s="11">
        <v>46253</v>
      </c>
      <c r="B54" t="s">
        <v>83</v>
      </c>
      <c r="C54" s="5" t="s">
        <v>169</v>
      </c>
      <c r="D54" t="s">
        <v>13</v>
      </c>
      <c r="E54" t="s">
        <v>16</v>
      </c>
      <c r="F54" t="s">
        <v>16</v>
      </c>
      <c r="G54" t="s">
        <v>170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x14ac:dyDescent="0.35">
      <c r="A55" s="11">
        <v>46253</v>
      </c>
      <c r="B55" t="s">
        <v>83</v>
      </c>
      <c r="C55" s="5" t="s">
        <v>171</v>
      </c>
      <c r="D55" t="s">
        <v>12</v>
      </c>
      <c r="E55" t="s">
        <v>14</v>
      </c>
      <c r="F55" t="s">
        <v>14</v>
      </c>
      <c r="G55" t="s">
        <v>80</v>
      </c>
      <c r="H55" t="s">
        <v>11</v>
      </c>
      <c r="I55" t="str">
        <f>_xlfn.XLOOKUP(Tabla1[[#This Row],[Dependencia]],Tabla2[Dependencia],Tabla2[Clasificación],"XXX",0)</f>
        <v>Presidencia de la República</v>
      </c>
      <c r="J55" t="str">
        <f>_xlfn.XLOOKUP(Tabla1[[#This Row],[Dependencia]],Tabla3[Dependencia],Tabla3[Nivel],"Otros",0)</f>
        <v>Otros</v>
      </c>
    </row>
    <row r="56" spans="1:10" ht="43.5" x14ac:dyDescent="0.35">
      <c r="A56" s="11">
        <v>46253</v>
      </c>
      <c r="B56" t="s">
        <v>83</v>
      </c>
      <c r="C56" s="5" t="s">
        <v>172</v>
      </c>
      <c r="D56" t="s">
        <v>84</v>
      </c>
      <c r="E56" t="s">
        <v>38</v>
      </c>
      <c r="F56" t="s">
        <v>173</v>
      </c>
      <c r="G56" t="s">
        <v>174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29" x14ac:dyDescent="0.35">
      <c r="A57" s="11">
        <v>46253</v>
      </c>
      <c r="B57" t="s">
        <v>83</v>
      </c>
      <c r="C57" s="5" t="s">
        <v>175</v>
      </c>
      <c r="D57" t="s">
        <v>12</v>
      </c>
      <c r="E57" t="s">
        <v>22</v>
      </c>
      <c r="F57" t="s">
        <v>22</v>
      </c>
      <c r="G57" t="s">
        <v>176</v>
      </c>
      <c r="H57" t="s">
        <v>70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11">
        <v>46253</v>
      </c>
      <c r="B58" t="s">
        <v>83</v>
      </c>
      <c r="C58" s="5" t="s">
        <v>177</v>
      </c>
      <c r="D58" t="s">
        <v>12</v>
      </c>
      <c r="E58" t="s">
        <v>14</v>
      </c>
      <c r="F58" t="s">
        <v>178</v>
      </c>
      <c r="G58" t="s">
        <v>174</v>
      </c>
      <c r="H58" t="s">
        <v>11</v>
      </c>
      <c r="I58" t="str">
        <f>_xlfn.XLOOKUP(Tabla1[[#This Row],[Dependencia]],Tabla2[Dependencia],Tabla2[Clasificación],"XXX",0)</f>
        <v>Presidencia de la República</v>
      </c>
      <c r="J5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69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69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2026-08-19T22:35:16Z</dcterms:modified>
</cp:coreProperties>
</file>