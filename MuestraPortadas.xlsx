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DDF28F3D-F9BF-4A23-89E3-DA26E2C6B297}"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alcChain>
</file>

<file path=xl/sharedStrings.xml><?xml version="1.0" encoding="utf-8"?>
<sst xmlns="http://schemas.openxmlformats.org/spreadsheetml/2006/main" count="540" uniqueCount="172">
  <si>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</si>
  <si>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</si>
  <si>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</si>
  <si>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</si>
  <si>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</si>
  <si>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</si>
  <si>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</si>
  <si>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</si>
  <si>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</si>
  <si>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</si>
  <si>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</si>
  <si>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</si>
  <si>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</si>
  <si>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</si>
  <si>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</si>
  <si>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</si>
  <si>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</si>
  <si>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</si>
  <si>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</si>
  <si>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</si>
  <si>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</si>
  <si>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</si>
  <si>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</si>
  <si>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</si>
  <si>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</si>
  <si>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</si>
  <si>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</si>
  <si>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</si>
  <si>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</si>
  <si>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</si>
  <si>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</si>
  <si>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</si>
  <si>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</si>
  <si>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</si>
  <si>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</si>
  <si>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</si>
  <si>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</si>
  <si>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</si>
  <si>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</si>
  <si>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</si>
  <si>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</si>
  <si>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</si>
  <si>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</si>
  <si>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</si>
  <si>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</si>
  <si>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</si>
  <si>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</si>
  <si>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</si>
  <si>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</si>
  <si>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</si>
  <si>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</si>
  <si>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</si>
  <si>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</si>
  <si>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</si>
  <si>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</si>
  <si>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</si>
  <si>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</si>
  <si>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</si>
  <si>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</si>
  <si>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</si>
  <si>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</si>
  <si>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</si>
  <si>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</si>
  <si>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</si>
  <si>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</si>
  <si>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</si>
  <si>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</si>
  <si>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</si>
  <si>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</si>
  <si>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</si>
  <si>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</si>
  <si>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</si>
  <si>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Deportes</t>
  </si>
  <si>
    <t>Criterio</t>
  </si>
  <si>
    <t>Positiva</t>
  </si>
  <si>
    <t>Effetá</t>
  </si>
  <si>
    <t>Plaza Juárez</t>
  </si>
  <si>
    <t>Síntesis</t>
  </si>
  <si>
    <t>Marfeca</t>
  </si>
  <si>
    <t>Milenio Hidalgo</t>
  </si>
  <si>
    <t>Alcalde</t>
  </si>
  <si>
    <t>Informe De Gobierno</t>
  </si>
  <si>
    <t>Publicidad</t>
  </si>
  <si>
    <t>Informe Alcalde</t>
  </si>
  <si>
    <t>Temas varios</t>
  </si>
  <si>
    <t>Afectaciones Por Lluvias</t>
  </si>
  <si>
    <t>Fotonota</t>
  </si>
  <si>
    <t>PAZ</t>
  </si>
  <si>
    <t>Conmemoración Aniversario</t>
  </si>
  <si>
    <t>Cintillo</t>
  </si>
  <si>
    <t>Sipdus</t>
  </si>
  <si>
    <t>Rehabilitación Vial</t>
  </si>
  <si>
    <t>34,279 luminarias modernizadas</t>
  </si>
  <si>
    <t>Pirotécnicos señalan pérdidas en ventas</t>
  </si>
  <si>
    <t>Pirotecnia</t>
  </si>
  <si>
    <t>Concluye FUL, Estados Unidos próximo invitado</t>
  </si>
  <si>
    <t>Feria Del Libro</t>
  </si>
  <si>
    <t>Sheinbaum anuncia 13 nuevas escuelas</t>
  </si>
  <si>
    <t>Visita Sheinbaum</t>
  </si>
  <si>
    <t>El PRI está vivo y listo para las elecciones 2027</t>
  </si>
  <si>
    <t>PRI</t>
  </si>
  <si>
    <t>Elecciones</t>
  </si>
  <si>
    <t>Serán 5 mil elementos en operativo patrio</t>
  </si>
  <si>
    <t>Fiestas Patrias</t>
  </si>
  <si>
    <t>Reconoce Sheinbaum labor de Menchaca por los hidalguenses</t>
  </si>
  <si>
    <t>Despliegan a 5 mil policías para El Grito</t>
  </si>
  <si>
    <t>Congreso discute hoy la reforma electoral</t>
  </si>
  <si>
    <t>Reforma Electoral</t>
  </si>
  <si>
    <t>Lluivas arrasan puestos den dos tianguis de Tizayuca</t>
  </si>
  <si>
    <t>Rondón aún tiene cuerda</t>
  </si>
  <si>
    <t>Guadalajara, nuevo líder</t>
  </si>
  <si>
    <t>Incrementan intentos de suicidio y depresión</t>
  </si>
  <si>
    <t>Suicidio</t>
  </si>
  <si>
    <t>Alito asegura que en Hidalgo Morena se está hundiendo: es el Morenatanic</t>
  </si>
  <si>
    <t>Evento partidista</t>
  </si>
  <si>
    <t>Sheinbaum rinde informe sobre los avances en varios proyectos</t>
  </si>
  <si>
    <t>Planea Cenhies ampliar oferta académica</t>
  </si>
  <si>
    <t>Oferta académica</t>
  </si>
  <si>
    <t>Vigilarán las fiestas patrias 5 mil policías</t>
  </si>
  <si>
    <t>Destaca Sheinbaum para Hidalgo apoyos, trenes, inversión</t>
  </si>
  <si>
    <t>Reitera el gobernador su apoyo a proyectos federales</t>
  </si>
  <si>
    <t>La IP ve alta incidencia en el robo al transporte</t>
  </si>
  <si>
    <t>Inseguridad Carretera</t>
  </si>
  <si>
    <t>Prevén adelanto de fechas para el registro de candidaturas</t>
  </si>
  <si>
    <t>Pendientes por resolver 50 carpetas por delitos electorales</t>
  </si>
  <si>
    <t>Delitos Electorales</t>
  </si>
  <si>
    <t>Con asistencia histórica cierra feria del libro</t>
  </si>
  <si>
    <t>CJNG y Chapiza extienden lavado a diez sectores de la economía</t>
  </si>
  <si>
    <t>Crimen Organizado</t>
  </si>
  <si>
    <t>Stellantis busca armara 500 mil autos el próximo año</t>
  </si>
  <si>
    <t>Disminuye la práctica de la charrería en la entidad</t>
  </si>
  <si>
    <t>Sheinbaum subraya inversiones para la entidad en Informe</t>
  </si>
  <si>
    <t>Como parte de su gira por los 32 estados del país para presentar su segundo Informe de Gobierno, la presidenta de la República,  Claudia Sheinbaum Pardo, se presentó en las instalaciones de la Feria de Pachuca. La mandataria informó que, hasta el momento, más  de 330 mil personas en todo el país fueron impactadas con la rendición de cuentas regionales.</t>
  </si>
  <si>
    <t>Hallan dos cuerpos junto al Tren Maya</t>
  </si>
  <si>
    <t>FGR</t>
  </si>
  <si>
    <t>Ejecuciones</t>
  </si>
  <si>
    <t>La movilidad se ha vuelto insostenible en Pachuca. La ciudadanía está  colapsada en diversas avenidas y colonias, situación que se complica  aún más con las lluvias. Es una queja constante que, al parecer, solo a las  autoridades no les importa”.</t>
  </si>
  <si>
    <t>Movilidad urbana</t>
  </si>
  <si>
    <t>Sheinbaum entrega a hidalguenses balance de obras, apoyos y megaproyectos</t>
  </si>
  <si>
    <t>Conmemoran el 179 aniversario de la Gesta Heroica de Chapultepec</t>
  </si>
  <si>
    <t>Desplegarán más de 5 mil elementos de seguridad por fiestas patrias en Hidalgo</t>
  </si>
  <si>
    <t>Llegarán 2 mil libros de la Fundación Elena Poniatowska a escuelas de la entidad</t>
  </si>
  <si>
    <t>Donación de libros</t>
  </si>
  <si>
    <t>Reciben programas del Bienestar 1.1 millones de hidalguenses</t>
  </si>
  <si>
    <t>El PRI es inmortal""</t>
  </si>
  <si>
    <t>Alianzas Electorales</t>
  </si>
  <si>
    <t>Cerrarán lateral del bulevar Felipe Ángeles durante 45 días</t>
  </si>
  <si>
    <t>Jorge Reyes anuncia rehabilitación de cuatro parques emblemáticos</t>
  </si>
  <si>
    <t>alcalde</t>
  </si>
  <si>
    <t>Rehabilitación de espacios públicos</t>
  </si>
  <si>
    <t>Congreso prevé aprobar reforma electoral a un día del plazo límite</t>
  </si>
  <si>
    <t>"En Hidalgo tienen un ejército de mujeres y hombres con gran disposición", afirma Menchaca a Sheinbaum</t>
  </si>
  <si>
    <t>Anuncia Semot plan operativo para las fiestas patrias 2026</t>
  </si>
  <si>
    <t>Refuerzan seguridad y llaman a revisar balcones para el Grito en Hidalgo</t>
  </si>
  <si>
    <t>En 2° informe, Tere Olivares destaca saneamiento financiero, obra pública y atención social</t>
  </si>
  <si>
    <t>Parques, Protección Civil, bienestar animal y atención social, entre los nuevos proyectos anunciados por Jorge Reyes para Pachuca</t>
  </si>
  <si>
    <t>Con manifestación y sin evento público, Tania Valdez presenta 2° informe</t>
  </si>
  <si>
    <t>El arte de soiñar llega a Atitalaquia con la exposición ""Sueno""</t>
  </si>
  <si>
    <t>Exposición Artística</t>
  </si>
  <si>
    <t>José José Sinfónico</t>
  </si>
  <si>
    <t>Cecultah</t>
  </si>
  <si>
    <t>Concierto Sinfónico</t>
  </si>
  <si>
    <t>Sheinbaum destaca Tren CDMX-Pachuca para próximo año; Menchaca refrenda apoyo de Hidalgo</t>
  </si>
  <si>
    <t>Jorge Reyes anunció nuevos proyectos para Pachuca</t>
  </si>
  <si>
    <t>Recibe SEPH donación de 2 mil libros de la Fundación Elena Poniatowska</t>
  </si>
  <si>
    <t>Estudiantes de El Mexe se manifiestan; Segob los atiende</t>
  </si>
  <si>
    <t>Gobernación</t>
  </si>
  <si>
    <t>El Mexe</t>
  </si>
  <si>
    <t>Continúan obras en lateral de bulevar Felipe Ángeles</t>
  </si>
  <si>
    <t>Al grito de Hidalgo</t>
  </si>
  <si>
    <t>Grito De Independencia</t>
  </si>
  <si>
    <t>Programas sociales  benefician a más de un millón de hidalguenses: Sheinbaum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</si>
</sst>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55" totalsRowShown="0" headerRowDxfId="5" headerRowBorderDxfId="4">
  <autoFilter ref="A1:J55"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9" totalsRowShown="0">
  <autoFilter ref="A1:B49"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55"/>
  <sheetViews>
    <sheetView tabSelected="1" topLeftCell="A36" workbookViewId="0">
      <selection activeCell="J55" sqref="J55"/>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46279</v>
      </c>
      <c r="B2" t="s">
        <v>67</v>
      </c>
      <c r="C2" s="5" t="s">
        <v>93</v>
      </c>
      <c r="D2" t="s">
        <v>12</v>
      </c>
      <c r="E2" t="s">
        <v>10</v>
      </c>
      <c r="F2" t="s">
        <v>10</v>
      </c>
      <c r="G2" t="s">
        <v>94</v>
      </c>
      <c r="H2" t="s">
        <v>11</v>
      </c>
      <c r="I2" t="str">
        <f>_xlfn.XLOOKUP(Tabla1[[#This Row],[Dependencia]],Tabla2[Dependencia],Tabla2[Clasificación],"XXX",0)</f>
        <v>Otros</v>
      </c>
      <c r="J2" t="str">
        <f>_xlfn.XLOOKUP(Tabla1[[#This Row],[Dependencia]],Tabla3[Dependencia],Tabla3[Nivel],"Otros",0)</f>
        <v>Otros</v>
      </c>
    </row>
    <row r="3" spans="1:10" x14ac:dyDescent="0.25">
      <c r="A3" s="11">
        <v>46279</v>
      </c>
      <c r="B3" t="s">
        <v>67</v>
      </c>
      <c r="C3" s="5" t="s">
        <v>95</v>
      </c>
      <c r="D3" t="s">
        <v>12</v>
      </c>
      <c r="E3" t="s">
        <v>59</v>
      </c>
      <c r="F3" t="s">
        <v>59</v>
      </c>
      <c r="G3" t="s">
        <v>96</v>
      </c>
      <c r="H3" t="s">
        <v>11</v>
      </c>
      <c r="I3" t="str">
        <f>_xlfn.XLOOKUP(Tabla1[[#This Row],[Dependencia]],Tabla2[Dependencia],Tabla2[Clasificación],"XXX",0)</f>
        <v>Otros</v>
      </c>
      <c r="J3" t="str">
        <f>_xlfn.XLOOKUP(Tabla1[[#This Row],[Dependencia]],Tabla3[Dependencia],Tabla3[Nivel],"Otros",0)</f>
        <v>Otros</v>
      </c>
    </row>
    <row r="4" spans="1:10" x14ac:dyDescent="0.25">
      <c r="A4" s="11">
        <v>46279</v>
      </c>
      <c r="B4" t="s">
        <v>67</v>
      </c>
      <c r="C4" s="5" t="s">
        <v>97</v>
      </c>
      <c r="D4" t="s">
        <v>13</v>
      </c>
      <c r="E4" t="s">
        <v>24</v>
      </c>
      <c r="F4" t="s">
        <v>24</v>
      </c>
      <c r="G4" t="s">
        <v>98</v>
      </c>
      <c r="H4" t="s">
        <v>74</v>
      </c>
      <c r="I4" t="str">
        <f>_xlfn.XLOOKUP(Tabla1[[#This Row],[Dependencia]],Tabla2[Dependencia],Tabla2[Clasificación],"XXX",0)</f>
        <v>Gobierno del estado</v>
      </c>
      <c r="J4" t="str">
        <f>_xlfn.XLOOKUP(Tabla1[[#This Row],[Dependencia]],Tabla3[Dependencia],Tabla3[Nivel],"Otros",0)</f>
        <v>Gobernador</v>
      </c>
    </row>
    <row r="5" spans="1:10" x14ac:dyDescent="0.25">
      <c r="A5" s="11">
        <v>46279</v>
      </c>
      <c r="B5" t="s">
        <v>67</v>
      </c>
      <c r="C5" s="5" t="s">
        <v>99</v>
      </c>
      <c r="D5" t="s">
        <v>12</v>
      </c>
      <c r="E5" t="s">
        <v>100</v>
      </c>
      <c r="F5" t="s">
        <v>100</v>
      </c>
      <c r="G5" t="s">
        <v>101</v>
      </c>
      <c r="H5" t="s">
        <v>11</v>
      </c>
      <c r="I5" t="str">
        <f>_xlfn.XLOOKUP(Tabla1[[#This Row],[Dependencia]],Tabla2[Dependencia],Tabla2[Clasificación],"XXX",0)</f>
        <v>Partidos</v>
      </c>
      <c r="J5" t="str">
        <f>_xlfn.XLOOKUP(Tabla1[[#This Row],[Dependencia]],Tabla3[Dependencia],Tabla3[Nivel],"Otros",0)</f>
        <v>Otros</v>
      </c>
    </row>
    <row r="6" spans="1:10" x14ac:dyDescent="0.25">
      <c r="A6" s="11">
        <v>46279</v>
      </c>
      <c r="B6" t="s">
        <v>67</v>
      </c>
      <c r="C6" s="5" t="s">
        <v>102</v>
      </c>
      <c r="D6" t="s">
        <v>12</v>
      </c>
      <c r="E6" t="s">
        <v>22</v>
      </c>
      <c r="F6" t="s">
        <v>22</v>
      </c>
      <c r="G6" t="s">
        <v>103</v>
      </c>
      <c r="H6" t="s">
        <v>11</v>
      </c>
      <c r="I6" t="str">
        <f>_xlfn.XLOOKUP(Tabla1[[#This Row],[Dependencia]],Tabla2[Dependencia],Tabla2[Clasificación],"XXX",0)</f>
        <v>Gobierno del estado</v>
      </c>
      <c r="J6" t="str">
        <f>_xlfn.XLOOKUP(Tabla1[[#This Row],[Dependencia]],Tabla3[Dependencia],Tabla3[Nivel],"Otros",0)</f>
        <v>Gabinete</v>
      </c>
    </row>
    <row r="7" spans="1:10" ht="30" x14ac:dyDescent="0.25">
      <c r="A7" s="11">
        <v>46279</v>
      </c>
      <c r="B7" t="s">
        <v>71</v>
      </c>
      <c r="C7" s="5" t="s">
        <v>104</v>
      </c>
      <c r="D7" t="s">
        <v>13</v>
      </c>
      <c r="E7" t="s">
        <v>24</v>
      </c>
      <c r="F7" t="s">
        <v>24</v>
      </c>
      <c r="G7" t="s">
        <v>98</v>
      </c>
      <c r="H7" t="s">
        <v>74</v>
      </c>
      <c r="I7" t="str">
        <f>_xlfn.XLOOKUP(Tabla1[[#This Row],[Dependencia]],Tabla2[Dependencia],Tabla2[Clasificación],"XXX",0)</f>
        <v>Gobierno del estado</v>
      </c>
      <c r="J7" t="str">
        <f>_xlfn.XLOOKUP(Tabla1[[#This Row],[Dependencia]],Tabla3[Dependencia],Tabla3[Nivel],"Otros",0)</f>
        <v>Gobernador</v>
      </c>
    </row>
    <row r="8" spans="1:10" x14ac:dyDescent="0.25">
      <c r="A8" s="11">
        <v>46279</v>
      </c>
      <c r="B8" t="s">
        <v>71</v>
      </c>
      <c r="C8" s="5" t="s">
        <v>105</v>
      </c>
      <c r="D8" t="s">
        <v>12</v>
      </c>
      <c r="E8" t="s">
        <v>22</v>
      </c>
      <c r="F8" t="s">
        <v>22</v>
      </c>
      <c r="G8" t="s">
        <v>103</v>
      </c>
      <c r="H8" t="s">
        <v>11</v>
      </c>
      <c r="I8" t="str">
        <f>_xlfn.XLOOKUP(Tabla1[[#This Row],[Dependencia]],Tabla2[Dependencia],Tabla2[Clasificación],"XXX",0)</f>
        <v>Gobierno del estado</v>
      </c>
      <c r="J8" t="str">
        <f>_xlfn.XLOOKUP(Tabla1[[#This Row],[Dependencia]],Tabla3[Dependencia],Tabla3[Nivel],"Otros",0)</f>
        <v>Gabinete</v>
      </c>
    </row>
    <row r="9" spans="1:10" x14ac:dyDescent="0.25">
      <c r="A9" s="11">
        <v>46279</v>
      </c>
      <c r="B9" t="s">
        <v>71</v>
      </c>
      <c r="C9" s="5" t="s">
        <v>106</v>
      </c>
      <c r="D9" t="s">
        <v>12</v>
      </c>
      <c r="E9" t="s">
        <v>33</v>
      </c>
      <c r="F9" t="s">
        <v>33</v>
      </c>
      <c r="G9" t="s">
        <v>107</v>
      </c>
      <c r="H9" t="s">
        <v>11</v>
      </c>
      <c r="I9" t="str">
        <f>_xlfn.XLOOKUP(Tabla1[[#This Row],[Dependencia]],Tabla2[Dependencia],Tabla2[Clasificación],"XXX",0)</f>
        <v>Otros</v>
      </c>
      <c r="J9" t="str">
        <f>_xlfn.XLOOKUP(Tabla1[[#This Row],[Dependencia]],Tabla3[Dependencia],Tabla3[Nivel],"Otros",0)</f>
        <v>Otros</v>
      </c>
    </row>
    <row r="10" spans="1:10" x14ac:dyDescent="0.25">
      <c r="A10" s="11">
        <v>46279</v>
      </c>
      <c r="B10" t="s">
        <v>71</v>
      </c>
      <c r="C10" s="5" t="s">
        <v>108</v>
      </c>
      <c r="D10" t="s">
        <v>12</v>
      </c>
      <c r="E10" t="s">
        <v>10</v>
      </c>
      <c r="F10" t="s">
        <v>10</v>
      </c>
      <c r="G10" t="s">
        <v>85</v>
      </c>
      <c r="H10" t="s">
        <v>11</v>
      </c>
      <c r="I10" t="str">
        <f>_xlfn.XLOOKUP(Tabla1[[#This Row],[Dependencia]],Tabla2[Dependencia],Tabla2[Clasificación],"XXX",0)</f>
        <v>Otros</v>
      </c>
      <c r="J10" t="str">
        <f>_xlfn.XLOOKUP(Tabla1[[#This Row],[Dependencia]],Tabla3[Dependencia],Tabla3[Nivel],"Otros",0)</f>
        <v>Otros</v>
      </c>
    </row>
    <row r="11" spans="1:10" x14ac:dyDescent="0.25">
      <c r="A11" s="11">
        <v>46279</v>
      </c>
      <c r="B11" t="s">
        <v>73</v>
      </c>
      <c r="C11" s="5" t="s">
        <v>109</v>
      </c>
      <c r="D11" t="s">
        <v>12</v>
      </c>
      <c r="E11" t="s">
        <v>10</v>
      </c>
      <c r="F11" t="s">
        <v>10</v>
      </c>
      <c r="G11" t="s">
        <v>72</v>
      </c>
      <c r="H11" t="s">
        <v>11</v>
      </c>
      <c r="I11" t="str">
        <f>_xlfn.XLOOKUP(Tabla1[[#This Row],[Dependencia]],Tabla2[Dependencia],Tabla2[Clasificación],"XXX",0)</f>
        <v>Otros</v>
      </c>
      <c r="J11" t="str">
        <f>_xlfn.XLOOKUP(Tabla1[[#This Row],[Dependencia]],Tabla3[Dependencia],Tabla3[Nivel],"Otros",0)</f>
        <v>Otros</v>
      </c>
    </row>
    <row r="12" spans="1:10" x14ac:dyDescent="0.25">
      <c r="A12" s="11">
        <v>46279</v>
      </c>
      <c r="B12" t="s">
        <v>73</v>
      </c>
      <c r="C12" s="5" t="s">
        <v>110</v>
      </c>
      <c r="D12" t="s">
        <v>12</v>
      </c>
      <c r="E12" t="s">
        <v>10</v>
      </c>
      <c r="F12" t="s">
        <v>10</v>
      </c>
      <c r="G12" t="s">
        <v>72</v>
      </c>
      <c r="H12" t="s">
        <v>11</v>
      </c>
      <c r="I12" t="str">
        <f>_xlfn.XLOOKUP(Tabla1[[#This Row],[Dependencia]],Tabla2[Dependencia],Tabla2[Clasificación],"XXX",0)</f>
        <v>Otros</v>
      </c>
      <c r="J12" t="str">
        <f>_xlfn.XLOOKUP(Tabla1[[#This Row],[Dependencia]],Tabla3[Dependencia],Tabla3[Nivel],"Otros",0)</f>
        <v>Otros</v>
      </c>
    </row>
    <row r="13" spans="1:10" x14ac:dyDescent="0.25">
      <c r="A13" s="11">
        <v>46279</v>
      </c>
      <c r="B13" t="s">
        <v>73</v>
      </c>
      <c r="C13" s="5" t="s">
        <v>111</v>
      </c>
      <c r="D13" t="s">
        <v>13</v>
      </c>
      <c r="E13" t="s">
        <v>15</v>
      </c>
      <c r="F13" t="s">
        <v>15</v>
      </c>
      <c r="G13" t="s">
        <v>112</v>
      </c>
      <c r="H13" t="s">
        <v>11</v>
      </c>
      <c r="I13" t="str">
        <f>_xlfn.XLOOKUP(Tabla1[[#This Row],[Dependencia]],Tabla2[Dependencia],Tabla2[Clasificación],"XXX",0)</f>
        <v>Gobierno del estado</v>
      </c>
      <c r="J13" t="str">
        <f>_xlfn.XLOOKUP(Tabla1[[#This Row],[Dependencia]],Tabla3[Dependencia],Tabla3[Nivel],"Otros",0)</f>
        <v>Gabinete</v>
      </c>
    </row>
    <row r="14" spans="1:10" ht="30" x14ac:dyDescent="0.25">
      <c r="A14" s="11">
        <v>46279</v>
      </c>
      <c r="B14" t="s">
        <v>73</v>
      </c>
      <c r="C14" s="5" t="s">
        <v>113</v>
      </c>
      <c r="D14" t="s">
        <v>12</v>
      </c>
      <c r="E14" t="s">
        <v>100</v>
      </c>
      <c r="F14" t="s">
        <v>100</v>
      </c>
      <c r="G14" t="s">
        <v>114</v>
      </c>
      <c r="H14" t="s">
        <v>11</v>
      </c>
      <c r="I14" t="str">
        <f>_xlfn.XLOOKUP(Tabla1[[#This Row],[Dependencia]],Tabla2[Dependencia],Tabla2[Clasificación],"XXX",0)</f>
        <v>Partidos</v>
      </c>
      <c r="J14" t="str">
        <f>_xlfn.XLOOKUP(Tabla1[[#This Row],[Dependencia]],Tabla3[Dependencia],Tabla3[Nivel],"Otros",0)</f>
        <v>Otros</v>
      </c>
    </row>
    <row r="15" spans="1:10" ht="30" x14ac:dyDescent="0.25">
      <c r="A15" s="11">
        <v>46279</v>
      </c>
      <c r="B15" t="s">
        <v>73</v>
      </c>
      <c r="C15" s="5" t="s">
        <v>115</v>
      </c>
      <c r="D15" t="s">
        <v>9</v>
      </c>
      <c r="E15" t="s">
        <v>14</v>
      </c>
      <c r="F15" t="s">
        <v>14</v>
      </c>
      <c r="G15" t="s">
        <v>98</v>
      </c>
      <c r="H15" t="s">
        <v>11</v>
      </c>
      <c r="I15" t="str">
        <f>_xlfn.XLOOKUP(Tabla1[[#This Row],[Dependencia]],Tabla2[Dependencia],Tabla2[Clasificación],"XXX",0)</f>
        <v>Presidencia de la República</v>
      </c>
      <c r="J15" t="str">
        <f>_xlfn.XLOOKUP(Tabla1[[#This Row],[Dependencia]],Tabla3[Dependencia],Tabla3[Nivel],"Otros",0)</f>
        <v>Otros</v>
      </c>
    </row>
    <row r="16" spans="1:10" x14ac:dyDescent="0.25">
      <c r="A16" s="11">
        <v>46279</v>
      </c>
      <c r="B16" t="s">
        <v>73</v>
      </c>
      <c r="C16" s="5" t="s">
        <v>116</v>
      </c>
      <c r="D16" t="s">
        <v>12</v>
      </c>
      <c r="E16" t="s">
        <v>10</v>
      </c>
      <c r="F16" t="s">
        <v>10</v>
      </c>
      <c r="G16" t="s">
        <v>117</v>
      </c>
      <c r="H16" t="s">
        <v>11</v>
      </c>
      <c r="I16" t="str">
        <f>_xlfn.XLOOKUP(Tabla1[[#This Row],[Dependencia]],Tabla2[Dependencia],Tabla2[Clasificación],"XXX",0)</f>
        <v>Otros</v>
      </c>
      <c r="J16" t="str">
        <f>_xlfn.XLOOKUP(Tabla1[[#This Row],[Dependencia]],Tabla3[Dependencia],Tabla3[Nivel],"Otros",0)</f>
        <v>Otros</v>
      </c>
    </row>
    <row r="17" spans="1:10" x14ac:dyDescent="0.25">
      <c r="A17" s="11">
        <v>46279</v>
      </c>
      <c r="B17" t="s">
        <v>73</v>
      </c>
      <c r="C17" s="5" t="s">
        <v>118</v>
      </c>
      <c r="D17" t="s">
        <v>12</v>
      </c>
      <c r="E17" t="s">
        <v>22</v>
      </c>
      <c r="F17" t="s">
        <v>22</v>
      </c>
      <c r="G17" t="s">
        <v>103</v>
      </c>
      <c r="H17" t="s">
        <v>11</v>
      </c>
      <c r="I17" t="str">
        <f>_xlfn.XLOOKUP(Tabla1[[#This Row],[Dependencia]],Tabla2[Dependencia],Tabla2[Clasificación],"XXX",0)</f>
        <v>Gobierno del estado</v>
      </c>
      <c r="J17" t="str">
        <f>_xlfn.XLOOKUP(Tabla1[[#This Row],[Dependencia]],Tabla3[Dependencia],Tabla3[Nivel],"Otros",0)</f>
        <v>Gabinete</v>
      </c>
    </row>
    <row r="18" spans="1:10" ht="30" x14ac:dyDescent="0.25">
      <c r="A18" s="11">
        <v>46279</v>
      </c>
      <c r="B18" t="s">
        <v>79</v>
      </c>
      <c r="C18" s="5" t="s">
        <v>119</v>
      </c>
      <c r="D18" t="s">
        <v>13</v>
      </c>
      <c r="E18" t="s">
        <v>14</v>
      </c>
      <c r="F18" t="s">
        <v>14</v>
      </c>
      <c r="G18" t="s">
        <v>98</v>
      </c>
      <c r="H18" t="s">
        <v>74</v>
      </c>
      <c r="I18" t="str">
        <f>_xlfn.XLOOKUP(Tabla1[[#This Row],[Dependencia]],Tabla2[Dependencia],Tabla2[Clasificación],"XXX",0)</f>
        <v>Presidencia de la República</v>
      </c>
      <c r="J18" t="str">
        <f>_xlfn.XLOOKUP(Tabla1[[#This Row],[Dependencia]],Tabla3[Dependencia],Tabla3[Nivel],"Otros",0)</f>
        <v>Otros</v>
      </c>
    </row>
    <row r="19" spans="1:10" x14ac:dyDescent="0.25">
      <c r="A19" s="11">
        <v>46279</v>
      </c>
      <c r="B19" t="s">
        <v>79</v>
      </c>
      <c r="C19" s="5" t="s">
        <v>120</v>
      </c>
      <c r="D19" t="s">
        <v>12</v>
      </c>
      <c r="E19" t="s">
        <v>24</v>
      </c>
      <c r="F19" t="s">
        <v>24</v>
      </c>
      <c r="G19" t="s">
        <v>98</v>
      </c>
      <c r="H19" t="s">
        <v>11</v>
      </c>
      <c r="I19" t="str">
        <f>_xlfn.XLOOKUP(Tabla1[[#This Row],[Dependencia]],Tabla2[Dependencia],Tabla2[Clasificación],"XXX",0)</f>
        <v>Gobierno del estado</v>
      </c>
      <c r="J19" t="str">
        <f>_xlfn.XLOOKUP(Tabla1[[#This Row],[Dependencia]],Tabla3[Dependencia],Tabla3[Nivel],"Otros",0)</f>
        <v>Gobernador</v>
      </c>
    </row>
    <row r="20" spans="1:10" x14ac:dyDescent="0.25">
      <c r="A20" s="11">
        <v>46279</v>
      </c>
      <c r="B20" t="s">
        <v>79</v>
      </c>
      <c r="C20" s="5" t="s">
        <v>121</v>
      </c>
      <c r="D20" t="s">
        <v>12</v>
      </c>
      <c r="E20" t="s">
        <v>10</v>
      </c>
      <c r="F20" t="s">
        <v>10</v>
      </c>
      <c r="G20" t="s">
        <v>122</v>
      </c>
      <c r="H20" t="s">
        <v>70</v>
      </c>
      <c r="I20" t="str">
        <f>_xlfn.XLOOKUP(Tabla1[[#This Row],[Dependencia]],Tabla2[Dependencia],Tabla2[Clasificación],"XXX",0)</f>
        <v>Otros</v>
      </c>
      <c r="J20" t="str">
        <f>_xlfn.XLOOKUP(Tabla1[[#This Row],[Dependencia]],Tabla3[Dependencia],Tabla3[Nivel],"Otros",0)</f>
        <v>Otros</v>
      </c>
    </row>
    <row r="21" spans="1:10" ht="30" x14ac:dyDescent="0.25">
      <c r="A21" s="11">
        <v>46279</v>
      </c>
      <c r="B21" t="s">
        <v>79</v>
      </c>
      <c r="C21" s="5" t="s">
        <v>123</v>
      </c>
      <c r="D21" t="s">
        <v>12</v>
      </c>
      <c r="E21" t="s">
        <v>33</v>
      </c>
      <c r="F21" t="s">
        <v>33</v>
      </c>
      <c r="G21" t="s">
        <v>107</v>
      </c>
      <c r="H21" t="s">
        <v>11</v>
      </c>
      <c r="I21" t="str">
        <f>_xlfn.XLOOKUP(Tabla1[[#This Row],[Dependencia]],Tabla2[Dependencia],Tabla2[Clasificación],"XXX",0)</f>
        <v>Otros</v>
      </c>
      <c r="J21" t="str">
        <f>_xlfn.XLOOKUP(Tabla1[[#This Row],[Dependencia]],Tabla3[Dependencia],Tabla3[Nivel],"Otros",0)</f>
        <v>Otros</v>
      </c>
    </row>
    <row r="22" spans="1:10" ht="30" x14ac:dyDescent="0.25">
      <c r="A22" s="11">
        <v>46279</v>
      </c>
      <c r="B22" t="s">
        <v>79</v>
      </c>
      <c r="C22" s="5" t="s">
        <v>124</v>
      </c>
      <c r="D22" t="s">
        <v>12</v>
      </c>
      <c r="E22" t="s">
        <v>17</v>
      </c>
      <c r="F22" t="s">
        <v>17</v>
      </c>
      <c r="G22" t="s">
        <v>125</v>
      </c>
      <c r="H22" t="s">
        <v>70</v>
      </c>
      <c r="I22" t="str">
        <f>_xlfn.XLOOKUP(Tabla1[[#This Row],[Dependencia]],Tabla2[Dependencia],Tabla2[Clasificación],"XXX",0)</f>
        <v>Gobierno del estado</v>
      </c>
      <c r="J22" t="str">
        <f>_xlfn.XLOOKUP(Tabla1[[#This Row],[Dependencia]],Tabla3[Dependencia],Tabla3[Nivel],"Otros",0)</f>
        <v>Gabinete</v>
      </c>
    </row>
    <row r="23" spans="1:10" x14ac:dyDescent="0.25">
      <c r="A23" s="11">
        <v>46279</v>
      </c>
      <c r="B23" t="s">
        <v>79</v>
      </c>
      <c r="C23" s="5" t="s">
        <v>126</v>
      </c>
      <c r="D23" t="s">
        <v>12</v>
      </c>
      <c r="E23" t="s">
        <v>59</v>
      </c>
      <c r="F23" t="s">
        <v>59</v>
      </c>
      <c r="G23" t="s">
        <v>96</v>
      </c>
      <c r="H23" t="s">
        <v>11</v>
      </c>
      <c r="I23" t="str">
        <f>_xlfn.XLOOKUP(Tabla1[[#This Row],[Dependencia]],Tabla2[Dependencia],Tabla2[Clasificación],"XXX",0)</f>
        <v>Otros</v>
      </c>
      <c r="J23" t="str">
        <f>_xlfn.XLOOKUP(Tabla1[[#This Row],[Dependencia]],Tabla3[Dependencia],Tabla3[Nivel],"Otros",0)</f>
        <v>Otros</v>
      </c>
    </row>
    <row r="24" spans="1:10" ht="30" x14ac:dyDescent="0.25">
      <c r="A24" s="11">
        <v>46279</v>
      </c>
      <c r="B24" t="s">
        <v>79</v>
      </c>
      <c r="C24" s="5" t="s">
        <v>127</v>
      </c>
      <c r="D24" t="s">
        <v>12</v>
      </c>
      <c r="E24" t="s">
        <v>10</v>
      </c>
      <c r="F24" t="s">
        <v>10</v>
      </c>
      <c r="G24" t="s">
        <v>128</v>
      </c>
      <c r="H24" t="s">
        <v>70</v>
      </c>
      <c r="I24" t="str">
        <f>_xlfn.XLOOKUP(Tabla1[[#This Row],[Dependencia]],Tabla2[Dependencia],Tabla2[Clasificación],"XXX",0)</f>
        <v>Otros</v>
      </c>
      <c r="J24" t="str">
        <f>_xlfn.XLOOKUP(Tabla1[[#This Row],[Dependencia]],Tabla3[Dependencia],Tabla3[Nivel],"Otros",0)</f>
        <v>Otros</v>
      </c>
    </row>
    <row r="25" spans="1:10" x14ac:dyDescent="0.25">
      <c r="A25" s="11">
        <v>46279</v>
      </c>
      <c r="B25" t="s">
        <v>79</v>
      </c>
      <c r="C25" s="5" t="s">
        <v>129</v>
      </c>
      <c r="D25" t="s">
        <v>12</v>
      </c>
      <c r="E25" t="s">
        <v>10</v>
      </c>
      <c r="F25" t="s">
        <v>10</v>
      </c>
      <c r="G25" t="s">
        <v>84</v>
      </c>
      <c r="H25" t="s">
        <v>11</v>
      </c>
      <c r="I25" t="str">
        <f>_xlfn.XLOOKUP(Tabla1[[#This Row],[Dependencia]],Tabla2[Dependencia],Tabla2[Clasificación],"XXX",0)</f>
        <v>Otros</v>
      </c>
      <c r="J25" t="str">
        <f>_xlfn.XLOOKUP(Tabla1[[#This Row],[Dependencia]],Tabla3[Dependencia],Tabla3[Nivel],"Otros",0)</f>
        <v>Otros</v>
      </c>
    </row>
    <row r="26" spans="1:10" x14ac:dyDescent="0.25">
      <c r="A26" s="11">
        <v>46279</v>
      </c>
      <c r="B26" t="s">
        <v>68</v>
      </c>
      <c r="C26" s="5" t="s">
        <v>130</v>
      </c>
      <c r="D26" t="s">
        <v>12</v>
      </c>
      <c r="E26" t="s">
        <v>10</v>
      </c>
      <c r="F26" t="s">
        <v>10</v>
      </c>
      <c r="G26" t="s">
        <v>72</v>
      </c>
      <c r="H26" t="s">
        <v>11</v>
      </c>
      <c r="I26" t="str">
        <f>_xlfn.XLOOKUP(Tabla1[[#This Row],[Dependencia]],Tabla2[Dependencia],Tabla2[Clasificación],"XXX",0)</f>
        <v>Otros</v>
      </c>
      <c r="J26" t="str">
        <f>_xlfn.XLOOKUP(Tabla1[[#This Row],[Dependencia]],Tabla3[Dependencia],Tabla3[Nivel],"Otros",0)</f>
        <v>Otros</v>
      </c>
    </row>
    <row r="27" spans="1:10" ht="30" x14ac:dyDescent="0.25">
      <c r="A27" s="11">
        <v>46279</v>
      </c>
      <c r="B27" t="s">
        <v>68</v>
      </c>
      <c r="C27" s="5" t="s">
        <v>131</v>
      </c>
      <c r="D27" t="s">
        <v>13</v>
      </c>
      <c r="E27" t="s">
        <v>14</v>
      </c>
      <c r="F27" t="s">
        <v>14</v>
      </c>
      <c r="G27" t="s">
        <v>98</v>
      </c>
      <c r="H27" t="s">
        <v>11</v>
      </c>
      <c r="I27" t="str">
        <f>_xlfn.XLOOKUP(Tabla1[[#This Row],[Dependencia]],Tabla2[Dependencia],Tabla2[Clasificación],"XXX",0)</f>
        <v>Presidencia de la República</v>
      </c>
      <c r="J27" t="str">
        <f>_xlfn.XLOOKUP(Tabla1[[#This Row],[Dependencia]],Tabla3[Dependencia],Tabla3[Nivel],"Otros",0)</f>
        <v>Otros</v>
      </c>
    </row>
    <row r="28" spans="1:10" ht="120" x14ac:dyDescent="0.25">
      <c r="A28" s="11">
        <v>46279</v>
      </c>
      <c r="B28" t="s">
        <v>68</v>
      </c>
      <c r="C28" s="5" t="s">
        <v>132</v>
      </c>
      <c r="D28" t="s">
        <v>86</v>
      </c>
      <c r="E28" t="s">
        <v>24</v>
      </c>
      <c r="F28" t="s">
        <v>24</v>
      </c>
      <c r="G28" t="s">
        <v>98</v>
      </c>
      <c r="H28" t="s">
        <v>11</v>
      </c>
      <c r="I28" t="str">
        <f>_xlfn.XLOOKUP(Tabla1[[#This Row],[Dependencia]],Tabla2[Dependencia],Tabla2[Clasificación],"XXX",0)</f>
        <v>Gobierno del estado</v>
      </c>
      <c r="J28" t="str">
        <f>_xlfn.XLOOKUP(Tabla1[[#This Row],[Dependencia]],Tabla3[Dependencia],Tabla3[Nivel],"Otros",0)</f>
        <v>Gobernador</v>
      </c>
    </row>
    <row r="29" spans="1:10" x14ac:dyDescent="0.25">
      <c r="A29" s="11">
        <v>46279</v>
      </c>
      <c r="B29" t="s">
        <v>68</v>
      </c>
      <c r="C29" s="5" t="s">
        <v>133</v>
      </c>
      <c r="D29" t="s">
        <v>12</v>
      </c>
      <c r="E29" t="s">
        <v>14</v>
      </c>
      <c r="F29" t="s">
        <v>134</v>
      </c>
      <c r="G29" t="s">
        <v>135</v>
      </c>
      <c r="H29" t="s">
        <v>70</v>
      </c>
      <c r="I29" t="str">
        <f>_xlfn.XLOOKUP(Tabla1[[#This Row],[Dependencia]],Tabla2[Dependencia],Tabla2[Clasificación],"XXX",0)</f>
        <v>Presidencia de la República</v>
      </c>
      <c r="J29" t="str">
        <f>_xlfn.XLOOKUP(Tabla1[[#This Row],[Dependencia]],Tabla3[Dependencia],Tabla3[Nivel],"Otros",0)</f>
        <v>Otros</v>
      </c>
    </row>
    <row r="30" spans="1:10" ht="75" x14ac:dyDescent="0.25">
      <c r="A30" s="11">
        <v>46279</v>
      </c>
      <c r="B30" t="s">
        <v>68</v>
      </c>
      <c r="C30" s="5" t="s">
        <v>136</v>
      </c>
      <c r="D30" t="s">
        <v>12</v>
      </c>
      <c r="E30" t="s">
        <v>38</v>
      </c>
      <c r="F30" t="s">
        <v>38</v>
      </c>
      <c r="G30" t="s">
        <v>137</v>
      </c>
      <c r="H30" t="s">
        <v>70</v>
      </c>
      <c r="I30" t="str">
        <f>_xlfn.XLOOKUP(Tabla1[[#This Row],[Dependencia]],Tabla2[Dependencia],Tabla2[Clasificación],"XXX",0)</f>
        <v>Gobierno del estado</v>
      </c>
      <c r="J30" t="str">
        <f>_xlfn.XLOOKUP(Tabla1[[#This Row],[Dependencia]],Tabla3[Dependencia],Tabla3[Nivel],"Otros",0)</f>
        <v>Gabinete</v>
      </c>
    </row>
    <row r="31" spans="1:10" ht="30" x14ac:dyDescent="0.25">
      <c r="A31" s="11">
        <v>46279</v>
      </c>
      <c r="B31" t="s">
        <v>77</v>
      </c>
      <c r="C31" s="5" t="s">
        <v>138</v>
      </c>
      <c r="D31" t="s">
        <v>13</v>
      </c>
      <c r="E31" t="s">
        <v>14</v>
      </c>
      <c r="F31" t="s">
        <v>14</v>
      </c>
      <c r="G31" t="s">
        <v>98</v>
      </c>
      <c r="H31" t="s">
        <v>74</v>
      </c>
      <c r="I31" t="str">
        <f>_xlfn.XLOOKUP(Tabla1[[#This Row],[Dependencia]],Tabla2[Dependencia],Tabla2[Clasificación],"XXX",0)</f>
        <v>Presidencia de la República</v>
      </c>
      <c r="J31" t="str">
        <f>_xlfn.XLOOKUP(Tabla1[[#This Row],[Dependencia]],Tabla3[Dependencia],Tabla3[Nivel],"Otros",0)</f>
        <v>Otros</v>
      </c>
    </row>
    <row r="32" spans="1:10" ht="30" x14ac:dyDescent="0.25">
      <c r="A32" s="11">
        <v>46279</v>
      </c>
      <c r="B32" t="s">
        <v>77</v>
      </c>
      <c r="C32" s="5" t="s">
        <v>139</v>
      </c>
      <c r="D32" t="s">
        <v>12</v>
      </c>
      <c r="E32" t="s">
        <v>23</v>
      </c>
      <c r="F32" t="s">
        <v>2</v>
      </c>
      <c r="G32" t="s">
        <v>88</v>
      </c>
      <c r="H32" t="s">
        <v>11</v>
      </c>
      <c r="I32" t="str">
        <f>_xlfn.XLOOKUP(Tabla1[[#This Row],[Dependencia]],Tabla2[Dependencia],Tabla2[Clasificación],"XXX",0)</f>
        <v>Gobierno del estado</v>
      </c>
      <c r="J32" t="str">
        <f>_xlfn.XLOOKUP(Tabla1[[#This Row],[Dependencia]],Tabla3[Dependencia],Tabla3[Nivel],"Otros",0)</f>
        <v>Gabinete</v>
      </c>
    </row>
    <row r="33" spans="1:10" ht="30" x14ac:dyDescent="0.25">
      <c r="A33" s="11">
        <v>46279</v>
      </c>
      <c r="B33" t="s">
        <v>77</v>
      </c>
      <c r="C33" s="5" t="s">
        <v>140</v>
      </c>
      <c r="D33" t="s">
        <v>12</v>
      </c>
      <c r="E33" t="s">
        <v>22</v>
      </c>
      <c r="F33" t="s">
        <v>22</v>
      </c>
      <c r="G33" t="s">
        <v>103</v>
      </c>
      <c r="H33" t="s">
        <v>11</v>
      </c>
      <c r="I33" t="str">
        <f>_xlfn.XLOOKUP(Tabla1[[#This Row],[Dependencia]],Tabla2[Dependencia],Tabla2[Clasificación],"XXX",0)</f>
        <v>Gobierno del estado</v>
      </c>
      <c r="J33" t="str">
        <f>_xlfn.XLOOKUP(Tabla1[[#This Row],[Dependencia]],Tabla3[Dependencia],Tabla3[Nivel],"Otros",0)</f>
        <v>Gabinete</v>
      </c>
    </row>
    <row r="34" spans="1:10" ht="30" x14ac:dyDescent="0.25">
      <c r="A34" s="11">
        <v>46279</v>
      </c>
      <c r="B34" t="s">
        <v>77</v>
      </c>
      <c r="C34" s="5" t="s">
        <v>141</v>
      </c>
      <c r="D34" t="s">
        <v>12</v>
      </c>
      <c r="E34" t="s">
        <v>26</v>
      </c>
      <c r="F34" t="s">
        <v>26</v>
      </c>
      <c r="G34" t="s">
        <v>142</v>
      </c>
      <c r="H34" t="s">
        <v>11</v>
      </c>
      <c r="I34" t="str">
        <f>_xlfn.XLOOKUP(Tabla1[[#This Row],[Dependencia]],Tabla2[Dependencia],Tabla2[Clasificación],"XXX",0)</f>
        <v>Gobierno del estado</v>
      </c>
      <c r="J34" t="str">
        <f>_xlfn.XLOOKUP(Tabla1[[#This Row],[Dependencia]],Tabla3[Dependencia],Tabla3[Nivel],"Otros",0)</f>
        <v>Gabinete</v>
      </c>
    </row>
    <row r="35" spans="1:10" ht="30" x14ac:dyDescent="0.25">
      <c r="A35" s="11">
        <v>46279</v>
      </c>
      <c r="B35" t="s">
        <v>75</v>
      </c>
      <c r="C35" s="5" t="s">
        <v>143</v>
      </c>
      <c r="D35" t="s">
        <v>13</v>
      </c>
      <c r="E35" t="s">
        <v>14</v>
      </c>
      <c r="F35" t="s">
        <v>14</v>
      </c>
      <c r="G35" t="s">
        <v>98</v>
      </c>
      <c r="H35" t="s">
        <v>11</v>
      </c>
      <c r="I35" t="str">
        <f>_xlfn.XLOOKUP(Tabla1[[#This Row],[Dependencia]],Tabla2[Dependencia],Tabla2[Clasificación],"XXX",0)</f>
        <v>Presidencia de la República</v>
      </c>
      <c r="J35" t="str">
        <f>_xlfn.XLOOKUP(Tabla1[[#This Row],[Dependencia]],Tabla3[Dependencia],Tabla3[Nivel],"Otros",0)</f>
        <v>Otros</v>
      </c>
    </row>
    <row r="36" spans="1:10" x14ac:dyDescent="0.25">
      <c r="A36" s="11">
        <v>46279</v>
      </c>
      <c r="B36" t="s">
        <v>75</v>
      </c>
      <c r="C36" s="5" t="s">
        <v>144</v>
      </c>
      <c r="D36" t="s">
        <v>9</v>
      </c>
      <c r="E36" t="s">
        <v>100</v>
      </c>
      <c r="F36" t="s">
        <v>100</v>
      </c>
      <c r="G36" t="s">
        <v>145</v>
      </c>
      <c r="H36" t="s">
        <v>11</v>
      </c>
      <c r="I36" t="str">
        <f>_xlfn.XLOOKUP(Tabla1[[#This Row],[Dependencia]],Tabla2[Dependencia],Tabla2[Clasificación],"XXX",0)</f>
        <v>Partidos</v>
      </c>
      <c r="J36" t="str">
        <f>_xlfn.XLOOKUP(Tabla1[[#This Row],[Dependencia]],Tabla3[Dependencia],Tabla3[Nivel],"Otros",0)</f>
        <v>Otros</v>
      </c>
    </row>
    <row r="37" spans="1:10" ht="30" x14ac:dyDescent="0.25">
      <c r="A37" s="11">
        <v>46279</v>
      </c>
      <c r="B37" t="s">
        <v>75</v>
      </c>
      <c r="C37" s="5" t="s">
        <v>146</v>
      </c>
      <c r="D37" t="s">
        <v>12</v>
      </c>
      <c r="E37" t="s">
        <v>90</v>
      </c>
      <c r="F37" t="s">
        <v>90</v>
      </c>
      <c r="G37" t="s">
        <v>91</v>
      </c>
      <c r="H37" t="s">
        <v>11</v>
      </c>
      <c r="I37" t="str">
        <f>_xlfn.XLOOKUP(Tabla1[[#This Row],[Dependencia]],Tabla2[Dependencia],Tabla2[Clasificación],"XXX",0)</f>
        <v>Gobierno del estado</v>
      </c>
      <c r="J37" t="str">
        <f>_xlfn.XLOOKUP(Tabla1[[#This Row],[Dependencia]],Tabla3[Dependencia],Tabla3[Nivel],"Otros",0)</f>
        <v>Gabinete</v>
      </c>
    </row>
    <row r="38" spans="1:10" ht="30" x14ac:dyDescent="0.25">
      <c r="A38" s="11">
        <v>46279</v>
      </c>
      <c r="B38" t="s">
        <v>75</v>
      </c>
      <c r="C38" s="5" t="s">
        <v>147</v>
      </c>
      <c r="D38" t="s">
        <v>12</v>
      </c>
      <c r="E38" t="s">
        <v>16</v>
      </c>
      <c r="F38" t="s">
        <v>148</v>
      </c>
      <c r="G38" t="s">
        <v>149</v>
      </c>
      <c r="H38" t="s">
        <v>11</v>
      </c>
      <c r="I38" t="str">
        <f>_xlfn.XLOOKUP(Tabla1[[#This Row],[Dependencia]],Tabla2[Dependencia],Tabla2[Clasificación],"XXX",0)</f>
        <v>Alcaldías</v>
      </c>
      <c r="J38" t="str">
        <f>_xlfn.XLOOKUP(Tabla1[[#This Row],[Dependencia]],Tabla3[Dependencia],Tabla3[Nivel],"Otros",0)</f>
        <v>Otros</v>
      </c>
    </row>
    <row r="39" spans="1:10" ht="30" x14ac:dyDescent="0.25">
      <c r="A39" s="11">
        <v>46279</v>
      </c>
      <c r="B39" t="s">
        <v>75</v>
      </c>
      <c r="C39" s="5" t="s">
        <v>150</v>
      </c>
      <c r="D39" t="s">
        <v>12</v>
      </c>
      <c r="E39" t="s">
        <v>33</v>
      </c>
      <c r="F39" t="s">
        <v>33</v>
      </c>
      <c r="G39" t="s">
        <v>107</v>
      </c>
      <c r="H39" t="s">
        <v>70</v>
      </c>
      <c r="I39" t="str">
        <f>_xlfn.XLOOKUP(Tabla1[[#This Row],[Dependencia]],Tabla2[Dependencia],Tabla2[Clasificación],"XXX",0)</f>
        <v>Otros</v>
      </c>
      <c r="J39" t="str">
        <f>_xlfn.XLOOKUP(Tabla1[[#This Row],[Dependencia]],Tabla3[Dependencia],Tabla3[Nivel],"Otros",0)</f>
        <v>Otros</v>
      </c>
    </row>
    <row r="40" spans="1:10" ht="30" x14ac:dyDescent="0.25">
      <c r="A40" s="11">
        <v>46279</v>
      </c>
      <c r="B40" t="s">
        <v>78</v>
      </c>
      <c r="C40" s="5" t="s">
        <v>151</v>
      </c>
      <c r="D40" t="s">
        <v>13</v>
      </c>
      <c r="E40" t="s">
        <v>24</v>
      </c>
      <c r="F40" t="s">
        <v>24</v>
      </c>
      <c r="G40" t="s">
        <v>98</v>
      </c>
      <c r="H40" t="s">
        <v>74</v>
      </c>
      <c r="I40" t="str">
        <f>_xlfn.XLOOKUP(Tabla1[[#This Row],[Dependencia]],Tabla2[Dependencia],Tabla2[Clasificación],"XXX",0)</f>
        <v>Gobierno del estado</v>
      </c>
      <c r="J40" t="str">
        <f>_xlfn.XLOOKUP(Tabla1[[#This Row],[Dependencia]],Tabla3[Dependencia],Tabla3[Nivel],"Otros",0)</f>
        <v>Gobernador</v>
      </c>
    </row>
    <row r="41" spans="1:10" ht="30" x14ac:dyDescent="0.25">
      <c r="A41" s="11">
        <v>46279</v>
      </c>
      <c r="B41" t="s">
        <v>78</v>
      </c>
      <c r="C41" s="5" t="s">
        <v>152</v>
      </c>
      <c r="D41" t="s">
        <v>89</v>
      </c>
      <c r="E41" t="s">
        <v>27</v>
      </c>
      <c r="F41" t="s">
        <v>27</v>
      </c>
      <c r="G41" t="s">
        <v>103</v>
      </c>
      <c r="H41" t="s">
        <v>11</v>
      </c>
      <c r="I41" t="str">
        <f>_xlfn.XLOOKUP(Tabla1[[#This Row],[Dependencia]],Tabla2[Dependencia],Tabla2[Clasificación],"XXX",0)</f>
        <v>Gobierno del estado</v>
      </c>
      <c r="J41" t="str">
        <f>_xlfn.XLOOKUP(Tabla1[[#This Row],[Dependencia]],Tabla3[Dependencia],Tabla3[Nivel],"Otros",0)</f>
        <v>Gabinete</v>
      </c>
    </row>
    <row r="42" spans="1:10" ht="30" x14ac:dyDescent="0.25">
      <c r="A42" s="11">
        <v>46279</v>
      </c>
      <c r="B42" t="s">
        <v>78</v>
      </c>
      <c r="C42" s="5" t="s">
        <v>153</v>
      </c>
      <c r="D42" t="s">
        <v>12</v>
      </c>
      <c r="E42" t="s">
        <v>23</v>
      </c>
      <c r="F42" t="s">
        <v>23</v>
      </c>
      <c r="G42" t="s">
        <v>103</v>
      </c>
      <c r="H42" t="s">
        <v>11</v>
      </c>
      <c r="I42" t="str">
        <f>_xlfn.XLOOKUP(Tabla1[[#This Row],[Dependencia]],Tabla2[Dependencia],Tabla2[Clasificación],"XXX",0)</f>
        <v>Gobierno del estado</v>
      </c>
      <c r="J42" t="str">
        <f>_xlfn.XLOOKUP(Tabla1[[#This Row],[Dependencia]],Tabla3[Dependencia],Tabla3[Nivel],"Otros",0)</f>
        <v>Gabinete</v>
      </c>
    </row>
    <row r="43" spans="1:10" ht="30" x14ac:dyDescent="0.25">
      <c r="A43" s="11">
        <v>46279</v>
      </c>
      <c r="B43" t="s">
        <v>78</v>
      </c>
      <c r="C43" s="5" t="s">
        <v>154</v>
      </c>
      <c r="D43" t="s">
        <v>12</v>
      </c>
      <c r="E43" t="s">
        <v>23</v>
      </c>
      <c r="F43" t="s">
        <v>2</v>
      </c>
      <c r="G43" t="s">
        <v>83</v>
      </c>
      <c r="H43" t="s">
        <v>11</v>
      </c>
      <c r="I43" t="str">
        <f>_xlfn.XLOOKUP(Tabla1[[#This Row],[Dependencia]],Tabla2[Dependencia],Tabla2[Clasificación],"XXX",0)</f>
        <v>Gobierno del estado</v>
      </c>
      <c r="J43" t="str">
        <f>_xlfn.XLOOKUP(Tabla1[[#This Row],[Dependencia]],Tabla3[Dependencia],Tabla3[Nivel],"Otros",0)</f>
        <v>Gabinete</v>
      </c>
    </row>
    <row r="44" spans="1:10" ht="45" x14ac:dyDescent="0.25">
      <c r="A44" s="11">
        <v>46279</v>
      </c>
      <c r="B44" t="s">
        <v>78</v>
      </c>
      <c r="C44" s="5" t="s">
        <v>155</v>
      </c>
      <c r="D44" t="s">
        <v>12</v>
      </c>
      <c r="E44" t="s">
        <v>16</v>
      </c>
      <c r="F44" t="s">
        <v>80</v>
      </c>
      <c r="G44" t="s">
        <v>83</v>
      </c>
      <c r="H44" t="s">
        <v>11</v>
      </c>
      <c r="I44" t="str">
        <f>_xlfn.XLOOKUP(Tabla1[[#This Row],[Dependencia]],Tabla2[Dependencia],Tabla2[Clasificación],"XXX",0)</f>
        <v>Alcaldías</v>
      </c>
      <c r="J44" t="str">
        <f>_xlfn.XLOOKUP(Tabla1[[#This Row],[Dependencia]],Tabla3[Dependencia],Tabla3[Nivel],"Otros",0)</f>
        <v>Otros</v>
      </c>
    </row>
    <row r="45" spans="1:10" ht="30" x14ac:dyDescent="0.25">
      <c r="A45" s="11">
        <v>46279</v>
      </c>
      <c r="B45" t="s">
        <v>78</v>
      </c>
      <c r="C45" s="5" t="s">
        <v>156</v>
      </c>
      <c r="D45" t="s">
        <v>12</v>
      </c>
      <c r="E45" t="s">
        <v>16</v>
      </c>
      <c r="F45" t="s">
        <v>80</v>
      </c>
      <c r="G45" t="s">
        <v>83</v>
      </c>
      <c r="H45" t="s">
        <v>11</v>
      </c>
      <c r="I45" t="str">
        <f>_xlfn.XLOOKUP(Tabla1[[#This Row],[Dependencia]],Tabla2[Dependencia],Tabla2[Clasificación],"XXX",0)</f>
        <v>Alcaldías</v>
      </c>
      <c r="J45" t="str">
        <f>_xlfn.XLOOKUP(Tabla1[[#This Row],[Dependencia]],Tabla3[Dependencia],Tabla3[Nivel],"Otros",0)</f>
        <v>Otros</v>
      </c>
    </row>
    <row r="46" spans="1:10" ht="30" x14ac:dyDescent="0.25">
      <c r="A46" s="11">
        <v>46279</v>
      </c>
      <c r="B46" t="s">
        <v>78</v>
      </c>
      <c r="C46" s="5" t="s">
        <v>157</v>
      </c>
      <c r="D46" t="s">
        <v>12</v>
      </c>
      <c r="E46" t="s">
        <v>16</v>
      </c>
      <c r="F46" t="s">
        <v>16</v>
      </c>
      <c r="G46" t="s">
        <v>158</v>
      </c>
      <c r="H46" t="s">
        <v>11</v>
      </c>
      <c r="I46" t="str">
        <f>_xlfn.XLOOKUP(Tabla1[[#This Row],[Dependencia]],Tabla2[Dependencia],Tabla2[Clasificación],"XXX",0)</f>
        <v>Alcaldías</v>
      </c>
      <c r="J46" t="str">
        <f>_xlfn.XLOOKUP(Tabla1[[#This Row],[Dependencia]],Tabla3[Dependencia],Tabla3[Nivel],"Otros",0)</f>
        <v>Otros</v>
      </c>
    </row>
    <row r="47" spans="1:10" x14ac:dyDescent="0.25">
      <c r="A47" s="11">
        <v>46279</v>
      </c>
      <c r="B47" t="s">
        <v>78</v>
      </c>
      <c r="C47" s="5" t="s">
        <v>159</v>
      </c>
      <c r="D47" t="s">
        <v>82</v>
      </c>
      <c r="E47" t="s">
        <v>28</v>
      </c>
      <c r="F47" t="s">
        <v>160</v>
      </c>
      <c r="G47" t="s">
        <v>161</v>
      </c>
      <c r="H47" t="s">
        <v>11</v>
      </c>
      <c r="I47" t="str">
        <f>_xlfn.XLOOKUP(Tabla1[[#This Row],[Dependencia]],Tabla2[Dependencia],Tabla2[Clasificación],"XXX",0)</f>
        <v>Gobierno del estado</v>
      </c>
      <c r="J47" t="str">
        <f>_xlfn.XLOOKUP(Tabla1[[#This Row],[Dependencia]],Tabla3[Dependencia],Tabla3[Nivel],"Otros",0)</f>
        <v>Gabinete</v>
      </c>
    </row>
    <row r="48" spans="1:10" ht="30" x14ac:dyDescent="0.25">
      <c r="A48" s="11">
        <v>46279</v>
      </c>
      <c r="B48" t="s">
        <v>78</v>
      </c>
      <c r="C48" s="5" t="s">
        <v>162</v>
      </c>
      <c r="D48" t="s">
        <v>13</v>
      </c>
      <c r="E48" t="s">
        <v>14</v>
      </c>
      <c r="F48" t="s">
        <v>14</v>
      </c>
      <c r="G48" t="s">
        <v>98</v>
      </c>
      <c r="H48" t="s">
        <v>11</v>
      </c>
      <c r="I48" t="str">
        <f>_xlfn.XLOOKUP(Tabla1[[#This Row],[Dependencia]],Tabla2[Dependencia],Tabla2[Clasificación],"XXX",0)</f>
        <v>Presidencia de la República</v>
      </c>
      <c r="J48" t="str">
        <f>_xlfn.XLOOKUP(Tabla1[[#This Row],[Dependencia]],Tabla3[Dependencia],Tabla3[Nivel],"Otros",0)</f>
        <v>Otros</v>
      </c>
    </row>
    <row r="49" spans="1:10" x14ac:dyDescent="0.25">
      <c r="A49" s="11">
        <v>46279</v>
      </c>
      <c r="B49" t="s">
        <v>78</v>
      </c>
      <c r="C49" s="5" t="s">
        <v>163</v>
      </c>
      <c r="D49" t="s">
        <v>12</v>
      </c>
      <c r="E49" t="s">
        <v>16</v>
      </c>
      <c r="F49" t="s">
        <v>80</v>
      </c>
      <c r="G49" t="s">
        <v>83</v>
      </c>
      <c r="H49" t="s">
        <v>11</v>
      </c>
      <c r="I49" t="str">
        <f>_xlfn.XLOOKUP(Tabla1[[#This Row],[Dependencia]],Tabla2[Dependencia],Tabla2[Clasificación],"XXX",0)</f>
        <v>Alcaldías</v>
      </c>
      <c r="J49" t="str">
        <f>_xlfn.XLOOKUP(Tabla1[[#This Row],[Dependencia]],Tabla3[Dependencia],Tabla3[Nivel],"Otros",0)</f>
        <v>Otros</v>
      </c>
    </row>
    <row r="50" spans="1:10" ht="30" x14ac:dyDescent="0.25">
      <c r="A50" s="11">
        <v>46279</v>
      </c>
      <c r="B50" t="s">
        <v>78</v>
      </c>
      <c r="C50" s="5" t="s">
        <v>164</v>
      </c>
      <c r="D50" t="s">
        <v>12</v>
      </c>
      <c r="E50" t="s">
        <v>26</v>
      </c>
      <c r="F50" t="s">
        <v>26</v>
      </c>
      <c r="G50" t="s">
        <v>142</v>
      </c>
      <c r="H50" t="s">
        <v>11</v>
      </c>
      <c r="I50" t="str">
        <f>_xlfn.XLOOKUP(Tabla1[[#This Row],[Dependencia]],Tabla2[Dependencia],Tabla2[Clasificación],"XXX",0)</f>
        <v>Gobierno del estado</v>
      </c>
      <c r="J50" t="str">
        <f>_xlfn.XLOOKUP(Tabla1[[#This Row],[Dependencia]],Tabla3[Dependencia],Tabla3[Nivel],"Otros",0)</f>
        <v>Gabinete</v>
      </c>
    </row>
    <row r="51" spans="1:10" ht="30" x14ac:dyDescent="0.25">
      <c r="A51" s="11">
        <v>46279</v>
      </c>
      <c r="B51" t="s">
        <v>78</v>
      </c>
      <c r="C51" s="5" t="s">
        <v>165</v>
      </c>
      <c r="D51" t="s">
        <v>12</v>
      </c>
      <c r="E51" t="s">
        <v>14</v>
      </c>
      <c r="F51" t="s">
        <v>166</v>
      </c>
      <c r="G51" t="s">
        <v>167</v>
      </c>
      <c r="H51" t="s">
        <v>11</v>
      </c>
      <c r="I51" t="str">
        <f>_xlfn.XLOOKUP(Tabla1[[#This Row],[Dependencia]],Tabla2[Dependencia],Tabla2[Clasificación],"XXX",0)</f>
        <v>Presidencia de la República</v>
      </c>
      <c r="J51" t="str">
        <f>_xlfn.XLOOKUP(Tabla1[[#This Row],[Dependencia]],Tabla3[Dependencia],Tabla3[Nivel],"Otros",0)</f>
        <v>Otros</v>
      </c>
    </row>
    <row r="52" spans="1:10" x14ac:dyDescent="0.25">
      <c r="A52" s="11">
        <v>46279</v>
      </c>
      <c r="B52" t="s">
        <v>78</v>
      </c>
      <c r="C52" s="5" t="s">
        <v>168</v>
      </c>
      <c r="D52" t="s">
        <v>12</v>
      </c>
      <c r="E52" t="s">
        <v>90</v>
      </c>
      <c r="F52" t="s">
        <v>90</v>
      </c>
      <c r="G52" t="s">
        <v>91</v>
      </c>
      <c r="H52" t="s">
        <v>11</v>
      </c>
      <c r="I52" t="str">
        <f>_xlfn.XLOOKUP(Tabla1[[#This Row],[Dependencia]],Tabla2[Dependencia],Tabla2[Clasificación],"XXX",0)</f>
        <v>Gobierno del estado</v>
      </c>
      <c r="J52" t="str">
        <f>_xlfn.XLOOKUP(Tabla1[[#This Row],[Dependencia]],Tabla3[Dependencia],Tabla3[Nivel],"Otros",0)</f>
        <v>Gabinete</v>
      </c>
    </row>
    <row r="53" spans="1:10" x14ac:dyDescent="0.25">
      <c r="A53" s="11">
        <v>46279</v>
      </c>
      <c r="B53" t="s">
        <v>78</v>
      </c>
      <c r="C53" s="5" t="s">
        <v>169</v>
      </c>
      <c r="D53" t="s">
        <v>82</v>
      </c>
      <c r="E53" t="s">
        <v>21</v>
      </c>
      <c r="F53" t="s">
        <v>21</v>
      </c>
      <c r="G53" t="s">
        <v>170</v>
      </c>
      <c r="H53" t="s">
        <v>11</v>
      </c>
      <c r="I53" t="str">
        <f>_xlfn.XLOOKUP(Tabla1[[#This Row],[Dependencia]],Tabla2[Dependencia],Tabla2[Clasificación],"XXX",0)</f>
        <v>Gobierno del estado</v>
      </c>
      <c r="J53" t="str">
        <f>_xlfn.XLOOKUP(Tabla1[[#This Row],[Dependencia]],Tabla3[Dependencia],Tabla3[Nivel],"Otros",0)</f>
        <v>Gabinete</v>
      </c>
    </row>
    <row r="54" spans="1:10" x14ac:dyDescent="0.25">
      <c r="A54" s="11">
        <v>46279</v>
      </c>
      <c r="B54" t="s">
        <v>78</v>
      </c>
      <c r="C54" s="5" t="s">
        <v>92</v>
      </c>
      <c r="D54" t="s">
        <v>82</v>
      </c>
      <c r="E54" t="s">
        <v>16</v>
      </c>
      <c r="F54" t="s">
        <v>16</v>
      </c>
      <c r="G54" t="s">
        <v>81</v>
      </c>
      <c r="H54" t="s">
        <v>11</v>
      </c>
      <c r="I54" t="str">
        <f>_xlfn.XLOOKUP(Tabla1[[#This Row],[Dependencia]],Tabla2[Dependencia],Tabla2[Clasificación],"XXX",0)</f>
        <v>Alcaldías</v>
      </c>
      <c r="J54" t="str">
        <f>_xlfn.XLOOKUP(Tabla1[[#This Row],[Dependencia]],Tabla3[Dependencia],Tabla3[Nivel],"Otros",0)</f>
        <v>Otros</v>
      </c>
    </row>
    <row r="55" spans="1:10" ht="30" x14ac:dyDescent="0.25">
      <c r="A55" s="11">
        <v>46279</v>
      </c>
      <c r="B55" t="s">
        <v>76</v>
      </c>
      <c r="C55" s="5" t="s">
        <v>171</v>
      </c>
      <c r="D55" t="s">
        <v>13</v>
      </c>
      <c r="E55" t="s">
        <v>14</v>
      </c>
      <c r="F55" t="s">
        <v>14</v>
      </c>
      <c r="G55" t="s">
        <v>98</v>
      </c>
      <c r="H55" t="s">
        <v>11</v>
      </c>
      <c r="I55" t="str">
        <f>_xlfn.XLOOKUP(Tabla1[[#This Row],[Dependencia]],Tabla2[Dependencia],Tabla2[Clasificación],"XXX",0)</f>
        <v>Presidencia de la República</v>
      </c>
      <c r="J55"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9"/>
  <sheetViews>
    <sheetView workbookViewId="0">
      <selection activeCell="B48" sqref="B48"/>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row r="49" spans="1:2" x14ac:dyDescent="0.25">
      <c r="A49" t="s">
        <v>87</v>
      </c>
      <c r="B49" t="s">
        <v>44</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2026-09-14T14:24:02Z</dcterms:modified>
</cp:coreProperties>
</file>