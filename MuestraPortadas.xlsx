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vivie\Reporteportadas\"/>
    </mc:Choice>
  </mc:AlternateContent>
  <xr:revisionPtr revIDLastSave="0" documentId="13_ncr:1_{570320F0-EFFE-450C-A8E4-58ADEC3B433F}" xr6:coauthVersionLast="47" xr6:coauthVersionMax="47" xr10:uidLastSave="{00000000-0000-0000-0000-000000000000}"/>
  <bookViews>
    <workbookView xWindow="-120" yWindow="-120" windowWidth="29040" windowHeight="15720" xr2:uid="{56C16FF2-DC5E-4EA2-A3CB-6D506676B8B8}"/>
  </bookViews>
  <sheets>
    <sheet name="Hoja1" sheetId="1" r:id="rId1"/>
    <sheet name="Hoja2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3" i="1" l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I45" i="1"/>
  <c r="I46" i="1"/>
  <c r="I47" i="1"/>
  <c r="I48" i="1"/>
  <c r="I49" i="1"/>
  <c r="I50" i="1"/>
  <c r="I51" i="1"/>
  <c r="I52" i="1"/>
  <c r="I53" i="1"/>
  <c r="I54" i="1"/>
  <c r="I55" i="1"/>
  <c r="I56" i="1"/>
  <c r="I57" i="1"/>
  <c r="I58" i="1"/>
  <c r="I59" i="1"/>
  <c r="I60" i="1"/>
  <c r="I61" i="1"/>
  <c r="I62" i="1"/>
  <c r="I63" i="1"/>
  <c r="I64" i="1"/>
  <c r="I65" i="1"/>
  <c r="I66" i="1"/>
  <c r="I67" i="1"/>
  <c r="I68" i="1"/>
  <c r="I69" i="1"/>
  <c r="I70" i="1"/>
  <c r="I71" i="1"/>
  <c r="I72" i="1"/>
  <c r="I73" i="1"/>
  <c r="I74" i="1"/>
  <c r="I75" i="1"/>
  <c r="I76" i="1"/>
  <c r="I77" i="1"/>
  <c r="I78" i="1"/>
  <c r="I79" i="1"/>
  <c r="I80" i="1"/>
  <c r="I81" i="1"/>
  <c r="I82" i="1"/>
  <c r="I83" i="1"/>
  <c r="I84" i="1"/>
  <c r="I85" i="1"/>
  <c r="I86" i="1"/>
  <c r="I87" i="1"/>
  <c r="I88" i="1"/>
  <c r="I89" i="1"/>
  <c r="I90" i="1"/>
  <c r="I91" i="1"/>
  <c r="I92" i="1"/>
  <c r="I93" i="1"/>
  <c r="I94" i="1"/>
  <c r="I95" i="1"/>
  <c r="I96" i="1"/>
  <c r="I97" i="1"/>
  <c r="I98" i="1"/>
  <c r="I99" i="1"/>
  <c r="I100" i="1"/>
  <c r="I101" i="1"/>
  <c r="I102" i="1"/>
  <c r="I103" i="1"/>
  <c r="I104" i="1"/>
  <c r="I105" i="1"/>
  <c r="I106" i="1"/>
  <c r="I107" i="1"/>
  <c r="I108" i="1"/>
  <c r="I109" i="1"/>
  <c r="I110" i="1"/>
  <c r="I111" i="1"/>
  <c r="I112" i="1"/>
  <c r="I113" i="1"/>
  <c r="I114" i="1"/>
  <c r="I115" i="1"/>
  <c r="I116" i="1"/>
  <c r="I117" i="1"/>
  <c r="I118" i="1"/>
  <c r="I119" i="1"/>
  <c r="I120" i="1"/>
  <c r="I121" i="1"/>
  <c r="I122" i="1"/>
  <c r="I123" i="1"/>
  <c r="I124" i="1"/>
  <c r="I125" i="1"/>
  <c r="I126" i="1"/>
  <c r="I127" i="1"/>
  <c r="I128" i="1"/>
  <c r="I129" i="1"/>
  <c r="I130" i="1"/>
  <c r="I131" i="1"/>
  <c r="I132" i="1"/>
  <c r="I133" i="1"/>
  <c r="I134" i="1"/>
  <c r="I135" i="1"/>
  <c r="I136" i="1"/>
  <c r="I137" i="1"/>
  <c r="I138" i="1"/>
  <c r="I139" i="1"/>
  <c r="I140" i="1"/>
  <c r="I141" i="1"/>
  <c r="J3" i="1"/>
  <c r="J4" i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J65" i="1"/>
  <c r="J66" i="1"/>
  <c r="J67" i="1"/>
  <c r="J68" i="1"/>
  <c r="J69" i="1"/>
  <c r="J70" i="1"/>
  <c r="J71" i="1"/>
  <c r="J72" i="1"/>
  <c r="J73" i="1"/>
  <c r="J74" i="1"/>
  <c r="J75" i="1"/>
  <c r="J76" i="1"/>
  <c r="J77" i="1"/>
  <c r="J78" i="1"/>
  <c r="J79" i="1"/>
  <c r="J80" i="1"/>
  <c r="J81" i="1"/>
  <c r="J82" i="1"/>
  <c r="J83" i="1"/>
  <c r="J84" i="1"/>
  <c r="J85" i="1"/>
  <c r="J86" i="1"/>
  <c r="J87" i="1"/>
  <c r="J88" i="1"/>
  <c r="J89" i="1"/>
  <c r="J90" i="1"/>
  <c r="J91" i="1"/>
  <c r="J92" i="1"/>
  <c r="J93" i="1"/>
  <c r="J94" i="1"/>
  <c r="J95" i="1"/>
  <c r="J96" i="1"/>
  <c r="J97" i="1"/>
  <c r="J98" i="1"/>
  <c r="J99" i="1"/>
  <c r="J100" i="1"/>
  <c r="J101" i="1"/>
  <c r="J102" i="1"/>
  <c r="J103" i="1"/>
  <c r="J104" i="1"/>
  <c r="J105" i="1"/>
  <c r="J106" i="1"/>
  <c r="J107" i="1"/>
  <c r="J108" i="1"/>
  <c r="J109" i="1"/>
  <c r="J110" i="1"/>
  <c r="J111" i="1"/>
  <c r="J112" i="1"/>
  <c r="J113" i="1"/>
  <c r="J114" i="1"/>
  <c r="J115" i="1"/>
  <c r="J116" i="1"/>
  <c r="J117" i="1"/>
  <c r="J118" i="1"/>
  <c r="J119" i="1"/>
  <c r="J120" i="1"/>
  <c r="J121" i="1"/>
  <c r="J122" i="1"/>
  <c r="J123" i="1"/>
  <c r="J124" i="1"/>
  <c r="J125" i="1"/>
  <c r="J126" i="1"/>
  <c r="J127" i="1"/>
  <c r="J128" i="1"/>
  <c r="J129" i="1"/>
  <c r="J130" i="1"/>
  <c r="J131" i="1"/>
  <c r="J132" i="1"/>
  <c r="J133" i="1"/>
  <c r="J134" i="1"/>
  <c r="J135" i="1"/>
  <c r="J136" i="1"/>
  <c r="J137" i="1"/>
  <c r="J138" i="1"/>
  <c r="J139" i="1"/>
  <c r="J140" i="1"/>
  <c r="J141" i="1"/>
  <c r="I2" i="1"/>
  <c r="J2" i="1"/>
</calcChain>
</file>

<file path=xl/sharedStrings.xml><?xml version="1.0" encoding="utf-8"?>
<sst xmlns="http://schemas.openxmlformats.org/spreadsheetml/2006/main" count="1140" uniqueCount="310">
  <si>
    <t>Fecha</t>
  </si>
  <si>
    <t>Medio</t>
  </si>
  <si>
    <t>Titular</t>
  </si>
  <si>
    <t>Recurso editorial</t>
  </si>
  <si>
    <t>Dependencia</t>
  </si>
  <si>
    <t>Organismo</t>
  </si>
  <si>
    <t>Tema</t>
  </si>
  <si>
    <t>Estatus</t>
  </si>
  <si>
    <t>Grupo</t>
  </si>
  <si>
    <t>Foco gráfico</t>
  </si>
  <si>
    <t>Otros</t>
  </si>
  <si>
    <t>Informativa</t>
  </si>
  <si>
    <t>Llamado</t>
  </si>
  <si>
    <t>Ocho columnas</t>
  </si>
  <si>
    <t>Presidencia</t>
  </si>
  <si>
    <t>SSH</t>
  </si>
  <si>
    <t>Ayuntamiento</t>
  </si>
  <si>
    <t>PGJEH</t>
  </si>
  <si>
    <t>Morena</t>
  </si>
  <si>
    <t>Bienestar</t>
  </si>
  <si>
    <t>Semarnath</t>
  </si>
  <si>
    <t>Oficialía Mayor</t>
  </si>
  <si>
    <t>SSPH</t>
  </si>
  <si>
    <t>Segobh</t>
  </si>
  <si>
    <t>Gobernador</t>
  </si>
  <si>
    <t>Delegación</t>
  </si>
  <si>
    <t>SEPH</t>
  </si>
  <si>
    <t>Semot</t>
  </si>
  <si>
    <t>Cultura</t>
  </si>
  <si>
    <t>Turismo</t>
  </si>
  <si>
    <t>Clasificación</t>
  </si>
  <si>
    <t>Alcaldías</t>
  </si>
  <si>
    <t>Gobierno del estado</t>
  </si>
  <si>
    <t>Congreso</t>
  </si>
  <si>
    <t>Contraloría</t>
  </si>
  <si>
    <t>Despacho</t>
  </si>
  <si>
    <t>DIFH</t>
  </si>
  <si>
    <t>Gabinete de Seguridad</t>
  </si>
  <si>
    <t>Gobierno</t>
  </si>
  <si>
    <t>Hacienda</t>
  </si>
  <si>
    <t>IEEH</t>
  </si>
  <si>
    <t>Independiente</t>
  </si>
  <si>
    <t>Proceso electoral</t>
  </si>
  <si>
    <t>MC</t>
  </si>
  <si>
    <t>Partidos</t>
  </si>
  <si>
    <t>PAN</t>
  </si>
  <si>
    <t>Panalh</t>
  </si>
  <si>
    <t>Planeación</t>
  </si>
  <si>
    <t>PRD</t>
  </si>
  <si>
    <t>Presidencia de la República</t>
  </si>
  <si>
    <t>Pri</t>
  </si>
  <si>
    <t>PT</t>
  </si>
  <si>
    <t>PVEM</t>
  </si>
  <si>
    <t>Saderh</t>
  </si>
  <si>
    <t>Sedeco</t>
  </si>
  <si>
    <t>SIPDUS</t>
  </si>
  <si>
    <t>STPSH</t>
  </si>
  <si>
    <t>TEEH</t>
  </si>
  <si>
    <t>TSJEH</t>
  </si>
  <si>
    <t>UAEH</t>
  </si>
  <si>
    <t>CDHEH</t>
  </si>
  <si>
    <t>Aspirantes</t>
  </si>
  <si>
    <t>Sucesión gubernamental</t>
  </si>
  <si>
    <t>Espacio Hidalgo</t>
  </si>
  <si>
    <t>PES</t>
  </si>
  <si>
    <t>Nivel</t>
  </si>
  <si>
    <t>Gabinete</t>
  </si>
  <si>
    <t>Milenio Hidalgo</t>
  </si>
  <si>
    <t>El Sol de Hidalgo</t>
  </si>
  <si>
    <t>Positiva</t>
  </si>
  <si>
    <t>Negativa</t>
  </si>
  <si>
    <t>Zunoticia</t>
  </si>
  <si>
    <t>Síntesis</t>
  </si>
  <si>
    <t>La Jornada Hidalgo</t>
  </si>
  <si>
    <t>OCSAD</t>
  </si>
  <si>
    <t>Mundial De Futbol</t>
  </si>
  <si>
    <t>Effetá</t>
  </si>
  <si>
    <t>Alcalde</t>
  </si>
  <si>
    <t>Plaza Juárez</t>
  </si>
  <si>
    <t>Criterio</t>
  </si>
  <si>
    <t>Publicidad</t>
  </si>
  <si>
    <t>Complejo Gubernamental</t>
  </si>
  <si>
    <t>El Universal Hidalgo</t>
  </si>
  <si>
    <t>Iniciativa</t>
  </si>
  <si>
    <t>Maltrato animal</t>
  </si>
  <si>
    <t>Relleno Sanitario</t>
  </si>
  <si>
    <t>Temas internacionales</t>
  </si>
  <si>
    <t>CFE</t>
  </si>
  <si>
    <t>Afectaciones Por Lluvias</t>
  </si>
  <si>
    <t>Conagua</t>
  </si>
  <si>
    <t>Homicidios</t>
  </si>
  <si>
    <t>Ellos importan</t>
  </si>
  <si>
    <t>Editorial</t>
  </si>
  <si>
    <t>España goleó a Arabia Saudita 4-0</t>
  </si>
  <si>
    <t>Persisten problemas en tren México-Querétaro</t>
  </si>
  <si>
    <t>SICT</t>
  </si>
  <si>
    <t>Tren México Querétaro</t>
  </si>
  <si>
    <t>Celebran a su santo patrono</t>
  </si>
  <si>
    <t>Fiesta patronal</t>
  </si>
  <si>
    <t>En riesgo caballos por humedad de lluvia</t>
  </si>
  <si>
    <t>Día del Padre llena plazas y restaurantes en zona sur</t>
  </si>
  <si>
    <t>Día del Padre</t>
  </si>
  <si>
    <t>Visitan 6 mil el panteón</t>
  </si>
  <si>
    <t>Sancion Ecología a 20 empresas por tirar químicos en el drenaje</t>
  </si>
  <si>
    <t>Sanción a empresa contaminante</t>
  </si>
  <si>
    <t>Resistencia social frena obra pública</t>
  </si>
  <si>
    <t>Protesta por obra</t>
  </si>
  <si>
    <t>España ahora sí muestra por qué es aspirante al título</t>
  </si>
  <si>
    <t>Preparan en Morena registro para los aspirantes a 2027</t>
  </si>
  <si>
    <t>Sucesión alcaldía</t>
  </si>
  <si>
    <t>Inaugura Menchaca la Ciudad Deportiva</t>
  </si>
  <si>
    <t>CDHAR</t>
  </si>
  <si>
    <t>Gusano barrenador pega más a los adultos mayores, reporta la Secretaría de Salud</t>
  </si>
  <si>
    <t>Gusano barrenador</t>
  </si>
  <si>
    <t>Lamine marca; España derrota</t>
  </si>
  <si>
    <t>Francia busca pase a dieciseisavos ante Irak</t>
  </si>
  <si>
    <t>Rellenos sanitarios deriven en 3 pleitos sociales en trienio</t>
  </si>
  <si>
    <t>Acumula la entidad 1,481 carpetas por huachicoleo</t>
  </si>
  <si>
    <t>Huachicol</t>
  </si>
  <si>
    <t>ENCABEZA GÓBER  APERTURA DE LA  CIUDAD DEPORTIVA  Y VILLA EN PACHUCA</t>
  </si>
  <si>
    <t>Aumentan 16% los homicidios dolosos en el mes anterior</t>
  </si>
  <si>
    <t>Poca afluencia en el panteón durante el Día del Padre</t>
  </si>
  <si>
    <t>Caen los delitos; robo y violencia familiar lideran la incidencia</t>
  </si>
  <si>
    <t>Incidencia Delictiva</t>
  </si>
  <si>
    <t>Túneles huachicoleros: Detectan 12 estructuras durante los últimos 3 años</t>
  </si>
  <si>
    <t>Huachitúnel</t>
  </si>
  <si>
    <t>Festival del Chile Rayado: Celebran primer encuentro en el municipio de La Misión</t>
  </si>
  <si>
    <t>Indicación geográfica</t>
  </si>
  <si>
    <t>Impacto social y empleo son la apuesta</t>
  </si>
  <si>
    <t>Temas varios</t>
  </si>
  <si>
    <t>Cabo ¿verde?</t>
  </si>
  <si>
    <t>El gobernador Julio Menchaca inauguró el fin de semana las instalaciones de la Ciudad Deportiva de Alto Rendimiento y la Villa Deportiva</t>
  </si>
  <si>
    <t>La derecha también se impone en Colombia y consolida avance en AL</t>
  </si>
  <si>
    <t>El republicano amenaza e Irán se levanta de la mesa</t>
  </si>
  <si>
    <t>La batalla de ellas luego de los 50 años; ""no somos invisibles""</t>
  </si>
  <si>
    <t>La CNTE llama a reniciar clases; en Oaxaca reabre hoy 13 mil escuelas</t>
  </si>
  <si>
    <t>Paro nacional</t>
  </si>
  <si>
    <t>Empresas compiten por construir accesos a nuevo edificio de gobierno</t>
  </si>
  <si>
    <t>Sipdus</t>
  </si>
  <si>
    <t>Tres toneladas de peces mueren en la laguna de Tula</t>
  </si>
  <si>
    <t>Aguas residuales</t>
  </si>
  <si>
    <t>Guanajuato: varios ataques armados dejan 14 muertos</t>
  </si>
  <si>
    <t>Ataque Armado</t>
  </si>
  <si>
    <t>Día del Padre impulsa reactivación económica</t>
  </si>
  <si>
    <t>La multitudinaria presencia en el Paseo de la Reforma  para festejar el triunfo nacional no necesita explicaciones,  fue contundente explosión jubilosa de nacionalismo,  de mexicanidad”.</t>
  </si>
  <si>
    <t>Impulsan al campo hidalguense con inversión de 3 mdp</t>
  </si>
  <si>
    <t>Impulso al agro</t>
  </si>
  <si>
    <t>Fortalece alcaldía de Pachuca entorno de paz con acciones de prevención social</t>
  </si>
  <si>
    <t>Policía municipal</t>
  </si>
  <si>
    <t>Prevención del delito</t>
  </si>
  <si>
    <t>Analiza Congreso instituir galardón para empresarios ejemplares</t>
  </si>
  <si>
    <t>Promueven estrategia saludable para reducir sobrepeso e hipertensión</t>
  </si>
  <si>
    <t>IMSS</t>
  </si>
  <si>
    <t>Vida Saludable</t>
  </si>
  <si>
    <t>Menchaca entrega Ciudad Deportiva</t>
  </si>
  <si>
    <t>Cortes de luz tras fuerte lluvia</t>
  </si>
  <si>
    <t>Con flores de la región festejan el Día del Padre</t>
  </si>
  <si>
    <t>Fortalece IHE actualización académica en Educación Básica</t>
  </si>
  <si>
    <t>IHE</t>
  </si>
  <si>
    <t>Fortalecimiento educativo</t>
  </si>
  <si>
    <t>Diócesis de Huejutla conmemorará el 75 aniversario luctuoso de su primer obispo</t>
  </si>
  <si>
    <t>Con inversión histórica, Hidalgo impulsa nueva era del deporte</t>
  </si>
  <si>
    <t>Impulsa Poder Judicial transformación de expertos en mediación</t>
  </si>
  <si>
    <t>Capacitación</t>
  </si>
  <si>
    <t>Con amparo, comunidad indígena de Tecozautla busca frenar parque solar</t>
  </si>
  <si>
    <t>Parque Fotovoltaico</t>
  </si>
  <si>
    <t>SCJN invalida, por segundo año consecutivo, cobros avalados por el Cingreso</t>
  </si>
  <si>
    <t>Capturan a cuatro presuntos generadores de violencia</t>
  </si>
  <si>
    <t>Combate a la delincuencia</t>
  </si>
  <si>
    <t>Matan a ""El Orejas"" durante feria patronal en Tula</t>
  </si>
  <si>
    <t>Marfeca</t>
  </si>
  <si>
    <t>Inauguran espacio de alimentación en primaria de El Refugio</t>
  </si>
  <si>
    <t>Claudia Sandova celebra por 2° año a los papás de Atitalaquia</t>
  </si>
  <si>
    <t>Celebran en Tlaxcoapan carrera ""Muy Padre"" con motivo del Día del Padre</t>
  </si>
  <si>
    <t>Menchaca entrega a Atitalaquia trofeo de campeonas del Mundial Social ""Mujeres Libres""</t>
  </si>
  <si>
    <t>Con éxito finaliza el 7 K Trail del día del padre en Atitalaquia</t>
  </si>
  <si>
    <t>Fortalece Pachuca la prevención del delito mediante acciones comunitarias, capacitación y perspectiva de género</t>
  </si>
  <si>
    <t>Alerta investigador de la UAEH riesgo agrícola por contaminación en presa Endhó</t>
  </si>
  <si>
    <t>Presa Endhó</t>
  </si>
  <si>
    <t>Said Vargas reconoce a padres de familia y docentes de la Sección 15</t>
  </si>
  <si>
    <t>Felicidades a Daniel Alonso Cruz por representar a México en el Mundial</t>
  </si>
  <si>
    <t>Justa Deportiva</t>
  </si>
  <si>
    <t>Invierte gobierno de Hidalgo más de 529 millones de pesos en Ciudad Deportiva</t>
  </si>
  <si>
    <t>Recupera policía municipal de Pachuca motocicleta con reporte de robo y detiene a dos personas</t>
  </si>
  <si>
    <t>Recuperación De Vehículos Robados</t>
  </si>
  <si>
    <t>Premia SEPH a ganadores de la Olimpiada Hidalguense de Informática</t>
  </si>
  <si>
    <t>Olimpiada de informática</t>
  </si>
  <si>
    <t>Fortalece Pachuca la prevención del delito mediante acciones comunitarias</t>
  </si>
  <si>
    <t>Celebraron día del vocho con caravana</t>
  </si>
  <si>
    <t>Hidalgo juega</t>
  </si>
  <si>
    <t>Campaña de reciclaje</t>
  </si>
  <si>
    <t>Menchaca aclara investigaciones sobre proveedores de gobierno</t>
  </si>
  <si>
    <t>Padrón de proveedores</t>
  </si>
  <si>
    <t>Gobierno de Hidalgo entregó Ciudad Deportiva con eventos</t>
  </si>
  <si>
    <t>Con coordinación federal y estatal, cae objetivo de CDMX</t>
  </si>
  <si>
    <t>Coordinación interestatal</t>
  </si>
  <si>
    <t>Crece descontento por presunta amenaza ambiental en Cubitos</t>
  </si>
  <si>
    <t>Proyecto de urbanización</t>
  </si>
  <si>
    <t>Semana para saber si El Tri sobrevive, igual que la vida misma</t>
  </si>
  <si>
    <t>Denuncian riesgos en nuevo relleno sanitario</t>
  </si>
  <si>
    <t>Transporte público eficiente, la solución</t>
  </si>
  <si>
    <t>Movilidad sustentable</t>
  </si>
  <si>
    <t>Piden regular el paso de camiones</t>
  </si>
  <si>
    <t>Modificación de ruta de transporte</t>
  </si>
  <si>
    <t>Impulsan obras de red hídrica en Pachuca</t>
  </si>
  <si>
    <t>Infraestructura Hidráulica</t>
  </si>
  <si>
    <t>Los retos no son iguales cuando manejamos</t>
  </si>
  <si>
    <t>No piensa en su edad</t>
  </si>
  <si>
    <t>Ayuntamiento de Pachuca descarta regreso de ambulantes al centro</t>
  </si>
  <si>
    <t>Ambulantaje</t>
  </si>
  <si>
    <t>Van 632 mdp a infraestructura hídrica</t>
  </si>
  <si>
    <t>Messi ya es el máximo anotador en Mundiales</t>
  </si>
  <si>
    <t>oto</t>
  </si>
  <si>
    <t>Adeudan ciudadanos y empresas mil mdp por servicio de agua</t>
  </si>
  <si>
    <t>Caasim</t>
  </si>
  <si>
    <t>Adeudos Caasim</t>
  </si>
  <si>
    <t>Recupera Hidalgo predio donado en administración de Fayad</t>
  </si>
  <si>
    <t>Recuperación Del Patrimonio</t>
  </si>
  <si>
    <t>Beneficiará nuevo pozo a 18 mil habitantes metropolitanos</t>
  </si>
  <si>
    <t>En acueducto Téllez fueron halladas tomas clandestinas</t>
  </si>
  <si>
    <t>Robo De Agua</t>
  </si>
  <si>
    <t>Mujeres mayores, aún sin lograr el retiro</t>
  </si>
  <si>
    <t>Pensión Del Bienestar</t>
  </si>
  <si>
    <t>Messi hace historia y Argentina avanza</t>
  </si>
  <si>
    <t>Debaten el papel de la IA en la educación superior</t>
  </si>
  <si>
    <t>Inteligencia Artificial</t>
  </si>
  <si>
    <t>Congo, prueba para ataque colombiano</t>
  </si>
  <si>
    <t>Sigue activa la vacunación contra el sarampión: SSH</t>
  </si>
  <si>
    <t>Sarampión</t>
  </si>
  <si>
    <t>Aguachicoleo: crecen las tomas clandestinas pese a operativos</t>
  </si>
  <si>
    <t>Unidad de Planeación ya trabaja en 300 proyectos</t>
  </si>
  <si>
    <t>Ordenamiento Territorial</t>
  </si>
  <si>
    <t>Homicidios  bajan, suben  las lesiones</t>
  </si>
  <si>
    <t>Salud</t>
  </si>
  <si>
    <t>El gobernador Julio Menchaca dijo que la inversión en infraestructura hídrica se triplicó durante su administración</t>
  </si>
  <si>
    <t>Padecen abuso  sexual en línea  1.6 millones de  menores al año</t>
  </si>
  <si>
    <t>Abuso Sexual</t>
  </si>
  <si>
    <t>Transportistas se comprometen a trabajar por la modernización</t>
  </si>
  <si>
    <t>Conmemoración Aniversario</t>
  </si>
  <si>
    <t>Reparten balas Mbappé, Haaland y Messi</t>
  </si>
  <si>
    <t>Urgen a triplicar la cifra de pilotos en dos décadas</t>
  </si>
  <si>
    <t>Tras ocho horas de manifestación, pactan suspender basurero en Tula</t>
  </si>
  <si>
    <t>Deuda de la UAEH con Caasim ya suma 56 millones de pesos</t>
  </si>
  <si>
    <t>Gobierno actual suma $5 mil millones de inversión hidráulica</t>
  </si>
  <si>
    <t>Buen humor en la conferencia ""patutina""</t>
  </si>
  <si>
    <t>A pesar de los múltiples intentos de sabotaje y descalificaciones auspiciadas  por la oposición, las personas visitantes pudieron disfrutar la inauguración y los  partidos celebrados en México. Incluso, la prensa deportiva de otros países ha  referido que el verdadero ambiente mundialista se vive en México”.</t>
  </si>
  <si>
    <t>Lluvias y vientos provocan afectaciones en 18 municipios</t>
  </si>
  <si>
    <t>PC</t>
  </si>
  <si>
    <t>Hidalgo invertirá más de 632 millones de pesos en infraestructura hidráulica</t>
  </si>
  <si>
    <t>Libera Conagua agua de la presa Requena hacia el río Tula</t>
  </si>
  <si>
    <t>Desfogue De Presa</t>
  </si>
  <si>
    <t>Persisten agresiones contra jueces deportivos; hieren a uno en Tula</t>
  </si>
  <si>
    <t>Agresión</t>
  </si>
  <si>
    <t>Recupera Hidalgo predio vendido a familiar de Jessica Blancas; ahora es parte de Ciudad Deportiva</t>
  </si>
  <si>
    <t>Gobernador Menchaca presenta resultados obre el abasto de agua en Pachuca de Soto</t>
  </si>
  <si>
    <t>Cabildo de Huejutla aprueba exhorto a la CFE para atender el suministro eléctrico</t>
  </si>
  <si>
    <t>Falta de servicios públicos</t>
  </si>
  <si>
    <t>Automovilistas se confrontaron y abrieron paso en bloqueo</t>
  </si>
  <si>
    <t>Cierre Carretero</t>
  </si>
  <si>
    <t>Comunidad LGBT+ marcha por la inclusión y el respeto en Huejutla</t>
  </si>
  <si>
    <t>Marcha LGBTTTIQ+</t>
  </si>
  <si>
    <t>Kristel Rodríguez reconoce labor de padres de familia</t>
  </si>
  <si>
    <t>Reconocimiento</t>
  </si>
  <si>
    <t>Menchaca supera inversión hidráulica de Fayad y Olvera juntos</t>
  </si>
  <si>
    <t>SEPH propone estacionamiento para IMSS y obras en CBTIS 22</t>
  </si>
  <si>
    <t>Disputa Por Predio</t>
  </si>
  <si>
    <t>Frenan relleno sanitario</t>
  </si>
  <si>
    <t>Caen tres presuntos montachoques</t>
  </si>
  <si>
    <t>Combate a la extorsión</t>
  </si>
  <si>
    <t>Recupera Hidalgo terreno vendido a familiar de Jessica Blancas</t>
  </si>
  <si>
    <t>Por adeudo de 56 millones Caasim iniciará juicio mercantil contra la UAEH</t>
  </si>
  <si>
    <t>Planeación de largo plazo, clave para consolidar a Hidalgo como potencia nacional</t>
  </si>
  <si>
    <t>Menchaca presenta resultados que transforman el abasto de agua potable en la zona Metropolitana de Pachuca</t>
  </si>
  <si>
    <t>Exigen cancelación definitiva del proyecto relleno sanitario de Tula por posible riesgo ambiental</t>
  </si>
  <si>
    <t>relleno sni</t>
  </si>
  <si>
    <t>¡Escucharon las quejas! INAH reduce drásticamente el costo de los Amaneceres Toltecas</t>
  </si>
  <si>
    <t>INAH</t>
  </si>
  <si>
    <t>Zona Arqueológica</t>
  </si>
  <si>
    <t>Gabinete de Seguridad destaca acciones de protección civil y combate al delito</t>
  </si>
  <si>
    <t>Reunión Gabinete De Seguridad</t>
  </si>
  <si>
    <t>Arranca pavimentación en cerrada Juan de la Barrera</t>
  </si>
  <si>
    <t>Pavimentación</t>
  </si>
  <si>
    <t>Entregan rehabilitación de la rampa de acceso al Cobaeh de Santiago Tezontle</t>
  </si>
  <si>
    <t>Entrega de obra</t>
  </si>
  <si>
    <t>Gobierno de Hidalgo transforma la vida de miles de personas mayores</t>
  </si>
  <si>
    <t>IAAMEH</t>
  </si>
  <si>
    <t>Atención a adultos mayores</t>
  </si>
  <si>
    <t>Recibe UAEH resultados del Ceneval para nuevo ingreso</t>
  </si>
  <si>
    <t>Admisiones</t>
  </si>
  <si>
    <t>Fortalecen capacidades de respuesta con curso de combate contra incendios</t>
  </si>
  <si>
    <t>Prevención de incendios</t>
  </si>
  <si>
    <t>Identidad segura</t>
  </si>
  <si>
    <t>Alerta De Fraude</t>
  </si>
  <si>
    <t>Pachuca Brilla</t>
  </si>
  <si>
    <t>Julio Menchaca pone en marcha nuevo pozo de agua potable en la Zona Metropolitana de Pachuca</t>
  </si>
  <si>
    <t>Atienden deslaves por lluvias en municipios</t>
  </si>
  <si>
    <t>Atención Afectaciones Por Lluvias</t>
  </si>
  <si>
    <t>Auxilia policía de Pachuca a persona reportada como desapareicda</t>
  </si>
  <si>
    <t>Localización de persona</t>
  </si>
  <si>
    <t>Coloca SEPH a deporte como herramienta de formación, bienestar y desarrollo social</t>
  </si>
  <si>
    <t>Fomento Al Deporte</t>
  </si>
  <si>
    <t>Desmantela SSPH presunta banda de montachoques en la México-Pachuca; hay tres detenidos</t>
  </si>
  <si>
    <t>Tus emociones son tus mejores herramientas</t>
  </si>
  <si>
    <t>Atención Socioemocional</t>
  </si>
  <si>
    <t>Aseguran a banda de montachoques en la México-Pachuca</t>
  </si>
  <si>
    <t>López Obrador temía posibles revelaciones de El Mayo</t>
  </si>
  <si>
    <t>La Ciudad Deportiva de Pachuca busca aliviar el rezago en instalaciones deportivas. El deporte es muy importante para cualquier sociedad porque preserva la salud de la población y sirve para contener la delincuencia. Un acierto ese centro deportivo</t>
  </si>
  <si>
    <t>Inhide</t>
  </si>
  <si>
    <t>Ciudad Deportiva</t>
  </si>
  <si>
    <t>Invierte gobierno más de 2 mil mdp en materia hídrica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</si>
</sst>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/m/yy;@"/>
  </numFmts>
  <fonts count="2" x14ac:knownFonts="1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1"/>
        <bgColor theme="1"/>
      </patternFill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</fills>
  <borders count="7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1"/>
      </right>
      <top style="thin">
        <color theme="1"/>
      </top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2" borderId="1" xfId="0" applyFont="1" applyFill="1" applyBorder="1"/>
    <xf numFmtId="0" fontId="1" fillId="2" borderId="2" xfId="0" applyFont="1" applyFill="1" applyBorder="1"/>
    <xf numFmtId="0" fontId="1" fillId="2" borderId="3" xfId="0" applyFont="1" applyFill="1" applyBorder="1"/>
    <xf numFmtId="0" fontId="1" fillId="2" borderId="4" xfId="0" applyFont="1" applyFill="1" applyBorder="1"/>
    <xf numFmtId="164" fontId="0" fillId="0" borderId="0" xfId="0" applyNumberFormat="1"/>
    <xf numFmtId="0" fontId="0" fillId="0" borderId="0" xfId="0" applyAlignment="1">
      <alignment wrapText="1"/>
    </xf>
    <xf numFmtId="0" fontId="1" fillId="2" borderId="5" xfId="0" applyFont="1" applyFill="1" applyBorder="1"/>
    <xf numFmtId="0" fontId="1" fillId="3" borderId="2" xfId="0" applyFont="1" applyFill="1" applyBorder="1"/>
    <xf numFmtId="0" fontId="0" fillId="4" borderId="2" xfId="0" applyFill="1" applyBorder="1"/>
    <xf numFmtId="0" fontId="0" fillId="0" borderId="2" xfId="0" applyBorder="1"/>
    <xf numFmtId="0" fontId="0" fillId="0" borderId="6" xfId="0" applyBorder="1"/>
  </cellXfs>
  <cellStyles count="1">
    <cellStyle name="Normal" xfId="0" builtinId="0"/>
  </cellStyles>
  <dxfs count="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outline="0">
        <left style="thin">
          <color theme="4" tint="0.39997558519241921"/>
        </left>
      </border>
    </dxf>
    <dxf>
      <alignment horizontal="general" vertical="bottom" textRotation="0" wrapText="1" indent="0" justifyLastLine="0" shrinkToFit="0" readingOrder="0"/>
    </dxf>
    <dxf>
      <numFmt numFmtId="164" formatCode="d/m/yy;@"/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theme="1"/>
          <bgColor theme="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593606E-308D-4113-AE3C-6E714B763B6E}" name="Tabla1" displayName="Tabla1" ref="A1:J141" totalsRowShown="0" headerRowDxfId="5" headerRowBorderDxfId="4">
  <autoFilter ref="A1:J141" xr:uid="{5593606E-308D-4113-AE3C-6E714B763B6E}"/>
  <tableColumns count="10">
    <tableColumn id="1" xr3:uid="{9D9ACAF2-1710-400E-A0E5-0A5BB378D4A0}" name="Fecha" dataDxfId="3"/>
    <tableColumn id="2" xr3:uid="{03A139BE-A997-45E6-81E6-5F7467162FC5}" name="Medio"/>
    <tableColumn id="3" xr3:uid="{4CA37DD5-010E-43EE-907D-87C1845DB2AB}" name="Titular" dataDxfId="2"/>
    <tableColumn id="4" xr3:uid="{1E763E28-25D7-4FE7-AD1A-91C7A0FE0E7A}" name="Recurso editorial"/>
    <tableColumn id="5" xr3:uid="{F8C19AF2-6D19-449B-9F8B-6424964B1BCF}" name="Dependencia"/>
    <tableColumn id="6" xr3:uid="{46DF0510-7A9A-4625-979E-4EBC30CC7AA3}" name="Organismo"/>
    <tableColumn id="7" xr3:uid="{0346BCE5-FC3A-4C2D-AD63-638130FA44B5}" name="Tema"/>
    <tableColumn id="8" xr3:uid="{856528EE-30CD-49DE-A952-541B9C188AD4}" name="Estatus"/>
    <tableColumn id="9" xr3:uid="{7C008830-8647-4095-A4E2-1C816D51B364}" name="Grupo">
      <calculatedColumnFormula>_xlfn.XLOOKUP(Tabla1[[#This Row],[Dependencia]],Tabla2[Dependencia],Tabla2[Clasificación],"No indexado")</calculatedColumnFormula>
    </tableColumn>
    <tableColumn id="10" xr3:uid="{1D518E9C-586D-449F-BCFC-7A0ACD0D0C7F}" name="Nivel">
      <calculatedColumnFormula>_xlfn.XLOOKUP(Tabla1[[#This Row],[Dependencia]],Tabla3[Dependencia],Tabla3[Nivel],"otros",0)</calculatedColumnFormula>
    </tableColumn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94FD058-EAFD-43DC-A6D6-05775ECA6C1B}" name="Tabla2" displayName="Tabla2" ref="A1:B48" totalsRowShown="0">
  <autoFilter ref="A1:B48" xr:uid="{E94FD058-EAFD-43DC-A6D6-05775ECA6C1B}"/>
  <sortState xmlns:xlrd2="http://schemas.microsoft.com/office/spreadsheetml/2017/richdata2" ref="A2:B48">
    <sortCondition ref="A1:A48"/>
  </sortState>
  <tableColumns count="2">
    <tableColumn id="1" xr3:uid="{93B0A253-FCC3-494E-8F5B-B579F2FA8B2F}" name="Dependencia"/>
    <tableColumn id="2" xr3:uid="{BEA478F0-1142-489E-85D3-F5715BB2214A}" name="Clasificación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80AFAA35-C663-4971-9820-992B55167F9C}" name="Tabla3" displayName="Tabla3" ref="D1:E27" totalsRowShown="0" tableBorderDxfId="1">
  <autoFilter ref="D1:E27" xr:uid="{80AFAA35-C663-4971-9820-992B55167F9C}"/>
  <sortState xmlns:xlrd2="http://schemas.microsoft.com/office/spreadsheetml/2017/richdata2" ref="D2:E27">
    <sortCondition ref="D1:D27"/>
  </sortState>
  <tableColumns count="2">
    <tableColumn id="1" xr3:uid="{A040A308-8C62-4D4B-B3BE-EC124A9B961C}" name="Dependencia" dataDxfId="0"/>
    <tableColumn id="2" xr3:uid="{2B2FFCF1-496A-4D37-8C8B-790A66FD9968}" name="Nivel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90D41B-EE15-4091-8762-C3A670C9D896}">
  <dimension ref="A1:J141"/>
  <sheetViews>
    <sheetView tabSelected="1" topLeftCell="A122" workbookViewId="0">
      <selection activeCell="A141" sqref="A141"/>
    </sheetView>
  </sheetViews>
  <sheetFormatPr baseColWidth="10" defaultRowHeight="15" x14ac:dyDescent="0.25"/>
  <cols>
    <col min="1" max="1" width="10.42578125" bestFit="1" customWidth="1"/>
    <col min="2" max="2" width="18.7109375" bestFit="1" customWidth="1"/>
    <col min="3" max="3" width="50.7109375" customWidth="1"/>
    <col min="4" max="4" width="18.85546875" bestFit="1" customWidth="1"/>
    <col min="5" max="5" width="15.28515625" bestFit="1" customWidth="1"/>
    <col min="6" max="6" width="14.42578125" bestFit="1" customWidth="1"/>
    <col min="7" max="7" width="27.7109375" bestFit="1" customWidth="1"/>
    <col min="8" max="8" width="11.140625" bestFit="1" customWidth="1"/>
    <col min="9" max="9" width="25.7109375" bestFit="1" customWidth="1"/>
    <col min="10" max="10" width="12.140625" bestFit="1" customWidth="1"/>
  </cols>
  <sheetData>
    <row r="1" spans="1:10" x14ac:dyDescent="0.25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4" t="s">
        <v>8</v>
      </c>
      <c r="J1" s="7" t="s">
        <v>65</v>
      </c>
    </row>
    <row r="2" spans="1:10" x14ac:dyDescent="0.25">
      <c r="A2" s="5">
        <v>46195</v>
      </c>
      <c r="B2" t="s">
        <v>68</v>
      </c>
      <c r="C2" s="6" t="s">
        <v>93</v>
      </c>
      <c r="D2" t="s">
        <v>12</v>
      </c>
      <c r="E2" t="s">
        <v>10</v>
      </c>
      <c r="F2" t="s">
        <v>10</v>
      </c>
      <c r="G2" t="s">
        <v>75</v>
      </c>
      <c r="H2" t="s">
        <v>11</v>
      </c>
      <c r="I2" t="str">
        <f>_xlfn.XLOOKUP(Tabla1[[#This Row],[Dependencia]],Tabla2[Dependencia],Tabla2[Clasificación],"No indexado")</f>
        <v>Otros</v>
      </c>
      <c r="J2" t="str">
        <f>_xlfn.XLOOKUP(Tabla1[[#This Row],[Dependencia]],Tabla3[Dependencia],Tabla3[Nivel],"otros",0)</f>
        <v>otros</v>
      </c>
    </row>
    <row r="3" spans="1:10" x14ac:dyDescent="0.25">
      <c r="A3" s="5">
        <v>46195</v>
      </c>
      <c r="B3" t="s">
        <v>68</v>
      </c>
      <c r="C3" s="6" t="s">
        <v>94</v>
      </c>
      <c r="D3" t="s">
        <v>13</v>
      </c>
      <c r="E3" t="s">
        <v>14</v>
      </c>
      <c r="F3" t="s">
        <v>95</v>
      </c>
      <c r="G3" t="s">
        <v>96</v>
      </c>
      <c r="H3" t="s">
        <v>70</v>
      </c>
      <c r="I3" t="str">
        <f>_xlfn.XLOOKUP(Tabla1[[#This Row],[Dependencia]],Tabla2[Dependencia],Tabla2[Clasificación],"No indexado")</f>
        <v>Presidencia de la República</v>
      </c>
      <c r="J3" t="str">
        <f>_xlfn.XLOOKUP(Tabla1[[#This Row],[Dependencia]],Tabla3[Dependencia],Tabla3[Nivel],"otros",0)</f>
        <v>otros</v>
      </c>
    </row>
    <row r="4" spans="1:10" x14ac:dyDescent="0.25">
      <c r="A4" s="5">
        <v>46195</v>
      </c>
      <c r="B4" t="s">
        <v>68</v>
      </c>
      <c r="C4" s="6" t="s">
        <v>97</v>
      </c>
      <c r="D4" t="s">
        <v>12</v>
      </c>
      <c r="E4" t="s">
        <v>10</v>
      </c>
      <c r="F4" t="s">
        <v>10</v>
      </c>
      <c r="G4" t="s">
        <v>98</v>
      </c>
      <c r="H4" t="s">
        <v>11</v>
      </c>
      <c r="I4" t="str">
        <f>_xlfn.XLOOKUP(Tabla1[[#This Row],[Dependencia]],Tabla2[Dependencia],Tabla2[Clasificación],"No indexado")</f>
        <v>Otros</v>
      </c>
      <c r="J4" t="str">
        <f>_xlfn.XLOOKUP(Tabla1[[#This Row],[Dependencia]],Tabla3[Dependencia],Tabla3[Nivel],"otros",0)</f>
        <v>otros</v>
      </c>
    </row>
    <row r="5" spans="1:10" x14ac:dyDescent="0.25">
      <c r="A5" s="5">
        <v>46195</v>
      </c>
      <c r="B5" t="s">
        <v>68</v>
      </c>
      <c r="C5" s="6" t="s">
        <v>99</v>
      </c>
      <c r="D5" t="s">
        <v>12</v>
      </c>
      <c r="E5" t="s">
        <v>10</v>
      </c>
      <c r="F5" t="s">
        <v>10</v>
      </c>
      <c r="G5" t="s">
        <v>88</v>
      </c>
      <c r="H5" t="s">
        <v>11</v>
      </c>
      <c r="I5" t="str">
        <f>_xlfn.XLOOKUP(Tabla1[[#This Row],[Dependencia]],Tabla2[Dependencia],Tabla2[Clasificación],"No indexado")</f>
        <v>Otros</v>
      </c>
      <c r="J5" t="str">
        <f>_xlfn.XLOOKUP(Tabla1[[#This Row],[Dependencia]],Tabla3[Dependencia],Tabla3[Nivel],"otros",0)</f>
        <v>otros</v>
      </c>
    </row>
    <row r="6" spans="1:10" x14ac:dyDescent="0.25">
      <c r="A6" s="5">
        <v>46195</v>
      </c>
      <c r="B6" t="s">
        <v>68</v>
      </c>
      <c r="C6" s="6" t="s">
        <v>100</v>
      </c>
      <c r="D6" t="s">
        <v>9</v>
      </c>
      <c r="E6" t="s">
        <v>10</v>
      </c>
      <c r="F6" t="s">
        <v>10</v>
      </c>
      <c r="G6" t="s">
        <v>101</v>
      </c>
      <c r="H6" t="s">
        <v>11</v>
      </c>
      <c r="I6" t="str">
        <f>_xlfn.XLOOKUP(Tabla1[[#This Row],[Dependencia]],Tabla2[Dependencia],Tabla2[Clasificación],"No indexado")</f>
        <v>Otros</v>
      </c>
      <c r="J6" t="str">
        <f>_xlfn.XLOOKUP(Tabla1[[#This Row],[Dependencia]],Tabla3[Dependencia],Tabla3[Nivel],"otros",0)</f>
        <v>otros</v>
      </c>
    </row>
    <row r="7" spans="1:10" x14ac:dyDescent="0.25">
      <c r="A7" s="5">
        <v>46195</v>
      </c>
      <c r="B7" t="s">
        <v>82</v>
      </c>
      <c r="C7" s="6" t="s">
        <v>102</v>
      </c>
      <c r="D7" t="s">
        <v>9</v>
      </c>
      <c r="E7" t="s">
        <v>10</v>
      </c>
      <c r="F7" t="s">
        <v>10</v>
      </c>
      <c r="G7" t="s">
        <v>101</v>
      </c>
      <c r="H7" t="s">
        <v>11</v>
      </c>
      <c r="I7" t="str">
        <f>_xlfn.XLOOKUP(Tabla1[[#This Row],[Dependencia]],Tabla2[Dependencia],Tabla2[Clasificación],"No indexado")</f>
        <v>Otros</v>
      </c>
      <c r="J7" t="str">
        <f>_xlfn.XLOOKUP(Tabla1[[#This Row],[Dependencia]],Tabla3[Dependencia],Tabla3[Nivel],"otros",0)</f>
        <v>otros</v>
      </c>
    </row>
    <row r="8" spans="1:10" ht="30" x14ac:dyDescent="0.25">
      <c r="A8" s="5">
        <v>46195</v>
      </c>
      <c r="B8" t="s">
        <v>82</v>
      </c>
      <c r="C8" s="6" t="s">
        <v>103</v>
      </c>
      <c r="D8" t="s">
        <v>13</v>
      </c>
      <c r="E8" t="s">
        <v>16</v>
      </c>
      <c r="F8" t="s">
        <v>16</v>
      </c>
      <c r="G8" t="s">
        <v>104</v>
      </c>
      <c r="H8" t="s">
        <v>11</v>
      </c>
      <c r="I8" t="str">
        <f>_xlfn.XLOOKUP(Tabla1[[#This Row],[Dependencia]],Tabla2[Dependencia],Tabla2[Clasificación],"No indexado")</f>
        <v>Alcaldías</v>
      </c>
      <c r="J8" t="str">
        <f>_xlfn.XLOOKUP(Tabla1[[#This Row],[Dependencia]],Tabla3[Dependencia],Tabla3[Nivel],"otros",0)</f>
        <v>otros</v>
      </c>
    </row>
    <row r="9" spans="1:10" x14ac:dyDescent="0.25">
      <c r="A9" s="5">
        <v>46195</v>
      </c>
      <c r="B9" t="s">
        <v>82</v>
      </c>
      <c r="C9" s="6" t="s">
        <v>105</v>
      </c>
      <c r="D9" t="s">
        <v>12</v>
      </c>
      <c r="E9" t="s">
        <v>38</v>
      </c>
      <c r="F9" t="s">
        <v>38</v>
      </c>
      <c r="G9" t="s">
        <v>106</v>
      </c>
      <c r="H9" t="s">
        <v>11</v>
      </c>
      <c r="I9" t="str">
        <f>_xlfn.XLOOKUP(Tabla1[[#This Row],[Dependencia]],Tabla2[Dependencia],Tabla2[Clasificación],"No indexado")</f>
        <v>Gobierno del estado</v>
      </c>
      <c r="J9" t="str">
        <f>_xlfn.XLOOKUP(Tabla1[[#This Row],[Dependencia]],Tabla3[Dependencia],Tabla3[Nivel],"otros",0)</f>
        <v>Gabinete</v>
      </c>
    </row>
    <row r="10" spans="1:10" x14ac:dyDescent="0.25">
      <c r="A10" s="5">
        <v>46195</v>
      </c>
      <c r="B10" t="s">
        <v>82</v>
      </c>
      <c r="C10" s="6" t="s">
        <v>107</v>
      </c>
      <c r="D10" t="s">
        <v>12</v>
      </c>
      <c r="E10" t="s">
        <v>10</v>
      </c>
      <c r="F10" t="s">
        <v>10</v>
      </c>
      <c r="G10" t="s">
        <v>75</v>
      </c>
      <c r="H10" t="s">
        <v>11</v>
      </c>
      <c r="I10" t="str">
        <f>_xlfn.XLOOKUP(Tabla1[[#This Row],[Dependencia]],Tabla2[Dependencia],Tabla2[Clasificación],"No indexado")</f>
        <v>Otros</v>
      </c>
      <c r="J10" t="str">
        <f>_xlfn.XLOOKUP(Tabla1[[#This Row],[Dependencia]],Tabla3[Dependencia],Tabla3[Nivel],"otros",0)</f>
        <v>otros</v>
      </c>
    </row>
    <row r="11" spans="1:10" x14ac:dyDescent="0.25">
      <c r="A11" s="5">
        <v>46195</v>
      </c>
      <c r="B11" t="s">
        <v>82</v>
      </c>
      <c r="C11" s="6" t="s">
        <v>108</v>
      </c>
      <c r="D11" t="s">
        <v>12</v>
      </c>
      <c r="E11" t="s">
        <v>18</v>
      </c>
      <c r="F11" t="s">
        <v>18</v>
      </c>
      <c r="G11" t="s">
        <v>109</v>
      </c>
      <c r="H11" t="s">
        <v>11</v>
      </c>
      <c r="I11" t="str">
        <f>_xlfn.XLOOKUP(Tabla1[[#This Row],[Dependencia]],Tabla2[Dependencia],Tabla2[Clasificación],"No indexado")</f>
        <v>Partidos</v>
      </c>
      <c r="J11" t="str">
        <f>_xlfn.XLOOKUP(Tabla1[[#This Row],[Dependencia]],Tabla3[Dependencia],Tabla3[Nivel],"otros",0)</f>
        <v>otros</v>
      </c>
    </row>
    <row r="12" spans="1:10" x14ac:dyDescent="0.25">
      <c r="A12" s="5">
        <v>46195</v>
      </c>
      <c r="B12" t="s">
        <v>82</v>
      </c>
      <c r="C12" s="6" t="s">
        <v>110</v>
      </c>
      <c r="D12" t="s">
        <v>12</v>
      </c>
      <c r="E12" t="s">
        <v>24</v>
      </c>
      <c r="F12" t="s">
        <v>24</v>
      </c>
      <c r="G12" t="s">
        <v>111</v>
      </c>
      <c r="H12" t="s">
        <v>11</v>
      </c>
      <c r="I12" t="str">
        <f>_xlfn.XLOOKUP(Tabla1[[#This Row],[Dependencia]],Tabla2[Dependencia],Tabla2[Clasificación],"No indexado")</f>
        <v>Gobierno del estado</v>
      </c>
      <c r="J12" t="str">
        <f>_xlfn.XLOOKUP(Tabla1[[#This Row],[Dependencia]],Tabla3[Dependencia],Tabla3[Nivel],"otros",0)</f>
        <v>Gobernador</v>
      </c>
    </row>
    <row r="13" spans="1:10" ht="30" x14ac:dyDescent="0.25">
      <c r="A13" s="5">
        <v>46195</v>
      </c>
      <c r="B13" t="s">
        <v>82</v>
      </c>
      <c r="C13" s="6" t="s">
        <v>112</v>
      </c>
      <c r="D13" t="s">
        <v>12</v>
      </c>
      <c r="E13" t="s">
        <v>15</v>
      </c>
      <c r="F13" t="s">
        <v>15</v>
      </c>
      <c r="G13" t="s">
        <v>113</v>
      </c>
      <c r="H13" t="s">
        <v>11</v>
      </c>
      <c r="I13" t="str">
        <f>_xlfn.XLOOKUP(Tabla1[[#This Row],[Dependencia]],Tabla2[Dependencia],Tabla2[Clasificación],"No indexado")</f>
        <v>Gobierno del estado</v>
      </c>
      <c r="J13" t="str">
        <f>_xlfn.XLOOKUP(Tabla1[[#This Row],[Dependencia]],Tabla3[Dependencia],Tabla3[Nivel],"otros",0)</f>
        <v>Gabinete</v>
      </c>
    </row>
    <row r="14" spans="1:10" x14ac:dyDescent="0.25">
      <c r="A14" s="5">
        <v>46195</v>
      </c>
      <c r="B14" t="s">
        <v>79</v>
      </c>
      <c r="C14" s="6" t="s">
        <v>114</v>
      </c>
      <c r="D14" t="s">
        <v>12</v>
      </c>
      <c r="E14" t="s">
        <v>10</v>
      </c>
      <c r="F14" t="s">
        <v>10</v>
      </c>
      <c r="G14" t="s">
        <v>75</v>
      </c>
      <c r="H14" t="s">
        <v>11</v>
      </c>
      <c r="I14" t="str">
        <f>_xlfn.XLOOKUP(Tabla1[[#This Row],[Dependencia]],Tabla2[Dependencia],Tabla2[Clasificación],"No indexado")</f>
        <v>Otros</v>
      </c>
      <c r="J14" t="str">
        <f>_xlfn.XLOOKUP(Tabla1[[#This Row],[Dependencia]],Tabla3[Dependencia],Tabla3[Nivel],"otros",0)</f>
        <v>otros</v>
      </c>
    </row>
    <row r="15" spans="1:10" x14ac:dyDescent="0.25">
      <c r="A15" s="5">
        <v>46195</v>
      </c>
      <c r="B15" t="s">
        <v>79</v>
      </c>
      <c r="C15" s="6" t="s">
        <v>115</v>
      </c>
      <c r="D15" t="s">
        <v>12</v>
      </c>
      <c r="E15" t="s">
        <v>10</v>
      </c>
      <c r="F15" t="s">
        <v>10</v>
      </c>
      <c r="G15" t="s">
        <v>75</v>
      </c>
      <c r="H15" t="s">
        <v>11</v>
      </c>
      <c r="I15" t="str">
        <f>_xlfn.XLOOKUP(Tabla1[[#This Row],[Dependencia]],Tabla2[Dependencia],Tabla2[Clasificación],"No indexado")</f>
        <v>Otros</v>
      </c>
      <c r="J15" t="str">
        <f>_xlfn.XLOOKUP(Tabla1[[#This Row],[Dependencia]],Tabla3[Dependencia],Tabla3[Nivel],"otros",0)</f>
        <v>otros</v>
      </c>
    </row>
    <row r="16" spans="1:10" ht="30" x14ac:dyDescent="0.25">
      <c r="A16" s="5">
        <v>46195</v>
      </c>
      <c r="B16" t="s">
        <v>79</v>
      </c>
      <c r="C16" s="6" t="s">
        <v>116</v>
      </c>
      <c r="D16" t="s">
        <v>13</v>
      </c>
      <c r="E16" t="s">
        <v>20</v>
      </c>
      <c r="F16" t="s">
        <v>20</v>
      </c>
      <c r="G16" t="s">
        <v>85</v>
      </c>
      <c r="H16" t="s">
        <v>70</v>
      </c>
      <c r="I16" t="str">
        <f>_xlfn.XLOOKUP(Tabla1[[#This Row],[Dependencia]],Tabla2[Dependencia],Tabla2[Clasificación],"No indexado")</f>
        <v>Gobierno del estado</v>
      </c>
      <c r="J16" t="str">
        <f>_xlfn.XLOOKUP(Tabla1[[#This Row],[Dependencia]],Tabla3[Dependencia],Tabla3[Nivel],"otros",0)</f>
        <v>Gabinete</v>
      </c>
    </row>
    <row r="17" spans="1:10" x14ac:dyDescent="0.25">
      <c r="A17" s="5">
        <v>46195</v>
      </c>
      <c r="B17" t="s">
        <v>79</v>
      </c>
      <c r="C17" s="6" t="s">
        <v>117</v>
      </c>
      <c r="D17" t="s">
        <v>12</v>
      </c>
      <c r="E17" t="s">
        <v>17</v>
      </c>
      <c r="F17" t="s">
        <v>17</v>
      </c>
      <c r="G17" t="s">
        <v>118</v>
      </c>
      <c r="H17" t="s">
        <v>11</v>
      </c>
      <c r="I17" t="str">
        <f>_xlfn.XLOOKUP(Tabla1[[#This Row],[Dependencia]],Tabla2[Dependencia],Tabla2[Clasificación],"No indexado")</f>
        <v>Gobierno del estado</v>
      </c>
      <c r="J17" t="str">
        <f>_xlfn.XLOOKUP(Tabla1[[#This Row],[Dependencia]],Tabla3[Dependencia],Tabla3[Nivel],"otros",0)</f>
        <v>Gabinete</v>
      </c>
    </row>
    <row r="18" spans="1:10" ht="30" x14ac:dyDescent="0.25">
      <c r="A18" s="5">
        <v>46195</v>
      </c>
      <c r="B18" t="s">
        <v>79</v>
      </c>
      <c r="C18" s="6" t="s">
        <v>119</v>
      </c>
      <c r="D18" t="s">
        <v>12</v>
      </c>
      <c r="E18" t="s">
        <v>24</v>
      </c>
      <c r="F18" t="s">
        <v>24</v>
      </c>
      <c r="G18" t="s">
        <v>111</v>
      </c>
      <c r="H18" t="s">
        <v>11</v>
      </c>
      <c r="I18" t="str">
        <f>_xlfn.XLOOKUP(Tabla1[[#This Row],[Dependencia]],Tabla2[Dependencia],Tabla2[Clasificación],"No indexado")</f>
        <v>Gobierno del estado</v>
      </c>
      <c r="J18" t="str">
        <f>_xlfn.XLOOKUP(Tabla1[[#This Row],[Dependencia]],Tabla3[Dependencia],Tabla3[Nivel],"otros",0)</f>
        <v>Gobernador</v>
      </c>
    </row>
    <row r="19" spans="1:10" ht="30" x14ac:dyDescent="0.25">
      <c r="A19" s="5">
        <v>46195</v>
      </c>
      <c r="B19" t="s">
        <v>79</v>
      </c>
      <c r="C19" s="6" t="s">
        <v>120</v>
      </c>
      <c r="D19" t="s">
        <v>12</v>
      </c>
      <c r="E19" t="s">
        <v>17</v>
      </c>
      <c r="F19" t="s">
        <v>17</v>
      </c>
      <c r="G19" t="s">
        <v>90</v>
      </c>
      <c r="H19" t="s">
        <v>70</v>
      </c>
      <c r="I19" t="str">
        <f>_xlfn.XLOOKUP(Tabla1[[#This Row],[Dependencia]],Tabla2[Dependencia],Tabla2[Clasificación],"No indexado")</f>
        <v>Gobierno del estado</v>
      </c>
      <c r="J19" t="str">
        <f>_xlfn.XLOOKUP(Tabla1[[#This Row],[Dependencia]],Tabla3[Dependencia],Tabla3[Nivel],"otros",0)</f>
        <v>Gabinete</v>
      </c>
    </row>
    <row r="20" spans="1:10" x14ac:dyDescent="0.25">
      <c r="A20" s="5">
        <v>46195</v>
      </c>
      <c r="B20" t="s">
        <v>79</v>
      </c>
      <c r="C20" s="6" t="s">
        <v>121</v>
      </c>
      <c r="D20" t="s">
        <v>9</v>
      </c>
      <c r="E20" t="s">
        <v>10</v>
      </c>
      <c r="F20" t="s">
        <v>10</v>
      </c>
      <c r="G20" t="s">
        <v>101</v>
      </c>
      <c r="H20" t="s">
        <v>11</v>
      </c>
      <c r="I20" t="str">
        <f>_xlfn.XLOOKUP(Tabla1[[#This Row],[Dependencia]],Tabla2[Dependencia],Tabla2[Clasificación],"No indexado")</f>
        <v>Otros</v>
      </c>
      <c r="J20" t="str">
        <f>_xlfn.XLOOKUP(Tabla1[[#This Row],[Dependencia]],Tabla3[Dependencia],Tabla3[Nivel],"otros",0)</f>
        <v>otros</v>
      </c>
    </row>
    <row r="21" spans="1:10" ht="30" x14ac:dyDescent="0.25">
      <c r="A21" s="5">
        <v>46195</v>
      </c>
      <c r="B21" t="s">
        <v>67</v>
      </c>
      <c r="C21" s="6" t="s">
        <v>122</v>
      </c>
      <c r="D21" t="s">
        <v>13</v>
      </c>
      <c r="E21" t="s">
        <v>17</v>
      </c>
      <c r="F21" t="s">
        <v>17</v>
      </c>
      <c r="G21" t="s">
        <v>123</v>
      </c>
      <c r="H21" t="s">
        <v>69</v>
      </c>
      <c r="I21" t="str">
        <f>_xlfn.XLOOKUP(Tabla1[[#This Row],[Dependencia]],Tabla2[Dependencia],Tabla2[Clasificación],"No indexado")</f>
        <v>Gobierno del estado</v>
      </c>
      <c r="J21" t="str">
        <f>_xlfn.XLOOKUP(Tabla1[[#This Row],[Dependencia]],Tabla3[Dependencia],Tabla3[Nivel],"otros",0)</f>
        <v>Gabinete</v>
      </c>
    </row>
    <row r="22" spans="1:10" ht="30" x14ac:dyDescent="0.25">
      <c r="A22" s="5">
        <v>46195</v>
      </c>
      <c r="B22" t="s">
        <v>67</v>
      </c>
      <c r="C22" s="6" t="s">
        <v>124</v>
      </c>
      <c r="D22" t="s">
        <v>12</v>
      </c>
      <c r="E22" t="s">
        <v>17</v>
      </c>
      <c r="F22" t="s">
        <v>17</v>
      </c>
      <c r="G22" t="s">
        <v>125</v>
      </c>
      <c r="H22" t="s">
        <v>11</v>
      </c>
      <c r="I22" t="str">
        <f>_xlfn.XLOOKUP(Tabla1[[#This Row],[Dependencia]],Tabla2[Dependencia],Tabla2[Clasificación],"No indexado")</f>
        <v>Gobierno del estado</v>
      </c>
      <c r="J22" t="str">
        <f>_xlfn.XLOOKUP(Tabla1[[#This Row],[Dependencia]],Tabla3[Dependencia],Tabla3[Nivel],"otros",0)</f>
        <v>Gabinete</v>
      </c>
    </row>
    <row r="23" spans="1:10" ht="30" x14ac:dyDescent="0.25">
      <c r="A23" s="5">
        <v>46195</v>
      </c>
      <c r="B23" t="s">
        <v>67</v>
      </c>
      <c r="C23" s="6" t="s">
        <v>126</v>
      </c>
      <c r="D23" t="s">
        <v>12</v>
      </c>
      <c r="E23" t="s">
        <v>29</v>
      </c>
      <c r="F23" t="s">
        <v>29</v>
      </c>
      <c r="G23" t="s">
        <v>127</v>
      </c>
      <c r="H23" t="s">
        <v>11</v>
      </c>
      <c r="I23" t="str">
        <f>_xlfn.XLOOKUP(Tabla1[[#This Row],[Dependencia]],Tabla2[Dependencia],Tabla2[Clasificación],"No indexado")</f>
        <v>Gobierno del estado</v>
      </c>
      <c r="J23" t="str">
        <f>_xlfn.XLOOKUP(Tabla1[[#This Row],[Dependencia]],Tabla3[Dependencia],Tabla3[Nivel],"otros",0)</f>
        <v>Gabinete</v>
      </c>
    </row>
    <row r="24" spans="1:10" x14ac:dyDescent="0.25">
      <c r="A24" s="5">
        <v>46195</v>
      </c>
      <c r="B24" t="s">
        <v>67</v>
      </c>
      <c r="C24" s="6" t="s">
        <v>128</v>
      </c>
      <c r="D24" t="s">
        <v>12</v>
      </c>
      <c r="E24" t="s">
        <v>10</v>
      </c>
      <c r="F24" t="s">
        <v>10</v>
      </c>
      <c r="G24" t="s">
        <v>129</v>
      </c>
      <c r="H24" t="s">
        <v>11</v>
      </c>
      <c r="I24" t="str">
        <f>_xlfn.XLOOKUP(Tabla1[[#This Row],[Dependencia]],Tabla2[Dependencia],Tabla2[Clasificación],"No indexado")</f>
        <v>Otros</v>
      </c>
      <c r="J24" t="str">
        <f>_xlfn.XLOOKUP(Tabla1[[#This Row],[Dependencia]],Tabla3[Dependencia],Tabla3[Nivel],"otros",0)</f>
        <v>otros</v>
      </c>
    </row>
    <row r="25" spans="1:10" x14ac:dyDescent="0.25">
      <c r="A25" s="5">
        <v>46195</v>
      </c>
      <c r="B25" t="s">
        <v>67</v>
      </c>
      <c r="C25" s="6" t="s">
        <v>130</v>
      </c>
      <c r="D25" t="s">
        <v>12</v>
      </c>
      <c r="E25" t="s">
        <v>10</v>
      </c>
      <c r="F25" t="s">
        <v>10</v>
      </c>
      <c r="G25" t="s">
        <v>75</v>
      </c>
      <c r="H25" t="s">
        <v>11</v>
      </c>
      <c r="I25" t="str">
        <f>_xlfn.XLOOKUP(Tabla1[[#This Row],[Dependencia]],Tabla2[Dependencia],Tabla2[Clasificación],"No indexado")</f>
        <v>Otros</v>
      </c>
      <c r="J25" t="str">
        <f>_xlfn.XLOOKUP(Tabla1[[#This Row],[Dependencia]],Tabla3[Dependencia],Tabla3[Nivel],"otros",0)</f>
        <v>otros</v>
      </c>
    </row>
    <row r="26" spans="1:10" ht="45" x14ac:dyDescent="0.25">
      <c r="A26" s="5">
        <v>46195</v>
      </c>
      <c r="B26" t="s">
        <v>67</v>
      </c>
      <c r="C26" s="6" t="s">
        <v>131</v>
      </c>
      <c r="D26" t="s">
        <v>9</v>
      </c>
      <c r="E26" t="s">
        <v>24</v>
      </c>
      <c r="F26" t="s">
        <v>24</v>
      </c>
      <c r="G26" t="s">
        <v>111</v>
      </c>
      <c r="H26" t="s">
        <v>11</v>
      </c>
      <c r="I26" t="str">
        <f>_xlfn.XLOOKUP(Tabla1[[#This Row],[Dependencia]],Tabla2[Dependencia],Tabla2[Clasificación],"No indexado")</f>
        <v>Gobierno del estado</v>
      </c>
      <c r="J26" t="str">
        <f>_xlfn.XLOOKUP(Tabla1[[#This Row],[Dependencia]],Tabla3[Dependencia],Tabla3[Nivel],"otros",0)</f>
        <v>Gobernador</v>
      </c>
    </row>
    <row r="27" spans="1:10" ht="30" x14ac:dyDescent="0.25">
      <c r="A27" s="5">
        <v>46195</v>
      </c>
      <c r="B27" t="s">
        <v>67</v>
      </c>
      <c r="C27" s="6" t="s">
        <v>132</v>
      </c>
      <c r="D27" t="s">
        <v>12</v>
      </c>
      <c r="E27" t="s">
        <v>10</v>
      </c>
      <c r="F27" t="s">
        <v>10</v>
      </c>
      <c r="G27" t="s">
        <v>86</v>
      </c>
      <c r="H27" t="s">
        <v>70</v>
      </c>
      <c r="I27" t="str">
        <f>_xlfn.XLOOKUP(Tabla1[[#This Row],[Dependencia]],Tabla2[Dependencia],Tabla2[Clasificación],"No indexado")</f>
        <v>Otros</v>
      </c>
      <c r="J27" t="str">
        <f>_xlfn.XLOOKUP(Tabla1[[#This Row],[Dependencia]],Tabla3[Dependencia],Tabla3[Nivel],"otros",0)</f>
        <v>otros</v>
      </c>
    </row>
    <row r="28" spans="1:10" x14ac:dyDescent="0.25">
      <c r="A28" s="5">
        <v>46195</v>
      </c>
      <c r="B28" t="s">
        <v>67</v>
      </c>
      <c r="C28" s="6" t="s">
        <v>133</v>
      </c>
      <c r="D28" t="s">
        <v>12</v>
      </c>
      <c r="E28" t="s">
        <v>10</v>
      </c>
      <c r="F28" t="s">
        <v>10</v>
      </c>
      <c r="G28" t="s">
        <v>86</v>
      </c>
      <c r="H28" t="s">
        <v>11</v>
      </c>
      <c r="I28" t="str">
        <f>_xlfn.XLOOKUP(Tabla1[[#This Row],[Dependencia]],Tabla2[Dependencia],Tabla2[Clasificación],"No indexado")</f>
        <v>Otros</v>
      </c>
      <c r="J28" t="str">
        <f>_xlfn.XLOOKUP(Tabla1[[#This Row],[Dependencia]],Tabla3[Dependencia],Tabla3[Nivel],"otros",0)</f>
        <v>otros</v>
      </c>
    </row>
    <row r="29" spans="1:10" ht="30" x14ac:dyDescent="0.25">
      <c r="A29" s="5">
        <v>46195</v>
      </c>
      <c r="B29" t="s">
        <v>67</v>
      </c>
      <c r="C29" s="6" t="s">
        <v>134</v>
      </c>
      <c r="D29" t="s">
        <v>12</v>
      </c>
      <c r="E29" t="s">
        <v>10</v>
      </c>
      <c r="F29" t="s">
        <v>10</v>
      </c>
      <c r="G29" t="s">
        <v>129</v>
      </c>
      <c r="H29" t="s">
        <v>11</v>
      </c>
      <c r="I29" t="str">
        <f>_xlfn.XLOOKUP(Tabla1[[#This Row],[Dependencia]],Tabla2[Dependencia],Tabla2[Clasificación],"No indexado")</f>
        <v>Otros</v>
      </c>
      <c r="J29" t="str">
        <f>_xlfn.XLOOKUP(Tabla1[[#This Row],[Dependencia]],Tabla3[Dependencia],Tabla3[Nivel],"otros",0)</f>
        <v>otros</v>
      </c>
    </row>
    <row r="30" spans="1:10" ht="30" x14ac:dyDescent="0.25">
      <c r="A30" s="5">
        <v>46195</v>
      </c>
      <c r="B30" t="s">
        <v>67</v>
      </c>
      <c r="C30" s="6" t="s">
        <v>135</v>
      </c>
      <c r="D30" t="s">
        <v>12</v>
      </c>
      <c r="E30" t="s">
        <v>14</v>
      </c>
      <c r="F30" t="s">
        <v>14</v>
      </c>
      <c r="G30" t="s">
        <v>136</v>
      </c>
      <c r="H30" t="s">
        <v>69</v>
      </c>
      <c r="I30" t="str">
        <f>_xlfn.XLOOKUP(Tabla1[[#This Row],[Dependencia]],Tabla2[Dependencia],Tabla2[Clasificación],"No indexado")</f>
        <v>Presidencia de la República</v>
      </c>
      <c r="J30" t="str">
        <f>_xlfn.XLOOKUP(Tabla1[[#This Row],[Dependencia]],Tabla3[Dependencia],Tabla3[Nivel],"otros",0)</f>
        <v>otros</v>
      </c>
    </row>
    <row r="31" spans="1:10" ht="30" x14ac:dyDescent="0.25">
      <c r="A31" s="5">
        <v>46195</v>
      </c>
      <c r="B31" t="s">
        <v>73</v>
      </c>
      <c r="C31" s="6" t="s">
        <v>137</v>
      </c>
      <c r="D31" t="s">
        <v>12</v>
      </c>
      <c r="E31" t="s">
        <v>138</v>
      </c>
      <c r="F31" t="s">
        <v>138</v>
      </c>
      <c r="G31" t="s">
        <v>81</v>
      </c>
      <c r="H31" t="s">
        <v>11</v>
      </c>
      <c r="I31" t="str">
        <f>_xlfn.XLOOKUP(Tabla1[[#This Row],[Dependencia]],Tabla2[Dependencia],Tabla2[Clasificación],"No indexado")</f>
        <v>Gobierno del estado</v>
      </c>
      <c r="J31" t="str">
        <f>_xlfn.XLOOKUP(Tabla1[[#This Row],[Dependencia]],Tabla3[Dependencia],Tabla3[Nivel],"otros",0)</f>
        <v>Gabinete</v>
      </c>
    </row>
    <row r="32" spans="1:10" x14ac:dyDescent="0.25">
      <c r="A32" s="5">
        <v>46195</v>
      </c>
      <c r="B32" t="s">
        <v>73</v>
      </c>
      <c r="C32" s="6" t="s">
        <v>139</v>
      </c>
      <c r="D32" t="s">
        <v>13</v>
      </c>
      <c r="E32" t="s">
        <v>20</v>
      </c>
      <c r="F32" t="s">
        <v>20</v>
      </c>
      <c r="G32" t="s">
        <v>140</v>
      </c>
      <c r="H32" t="s">
        <v>11</v>
      </c>
      <c r="I32" t="str">
        <f>_xlfn.XLOOKUP(Tabla1[[#This Row],[Dependencia]],Tabla2[Dependencia],Tabla2[Clasificación],"No indexado")</f>
        <v>Gobierno del estado</v>
      </c>
      <c r="J32" t="str">
        <f>_xlfn.XLOOKUP(Tabla1[[#This Row],[Dependencia]],Tabla3[Dependencia],Tabla3[Nivel],"otros",0)</f>
        <v>Gabinete</v>
      </c>
    </row>
    <row r="33" spans="1:10" x14ac:dyDescent="0.25">
      <c r="A33" s="5">
        <v>46195</v>
      </c>
      <c r="B33" t="s">
        <v>73</v>
      </c>
      <c r="C33" s="6" t="s">
        <v>141</v>
      </c>
      <c r="D33" t="s">
        <v>12</v>
      </c>
      <c r="E33" t="s">
        <v>14</v>
      </c>
      <c r="F33" t="s">
        <v>14</v>
      </c>
      <c r="G33" t="s">
        <v>142</v>
      </c>
      <c r="H33" t="s">
        <v>70</v>
      </c>
      <c r="I33" t="str">
        <f>_xlfn.XLOOKUP(Tabla1[[#This Row],[Dependencia]],Tabla2[Dependencia],Tabla2[Clasificación],"No indexado")</f>
        <v>Presidencia de la República</v>
      </c>
      <c r="J33" t="str">
        <f>_xlfn.XLOOKUP(Tabla1[[#This Row],[Dependencia]],Tabla3[Dependencia],Tabla3[Nivel],"otros",0)</f>
        <v>otros</v>
      </c>
    </row>
    <row r="34" spans="1:10" x14ac:dyDescent="0.25">
      <c r="A34" s="5">
        <v>46195</v>
      </c>
      <c r="B34" t="s">
        <v>73</v>
      </c>
      <c r="C34" s="6" t="s">
        <v>143</v>
      </c>
      <c r="D34" t="s">
        <v>9</v>
      </c>
      <c r="E34" t="s">
        <v>10</v>
      </c>
      <c r="F34" t="s">
        <v>10</v>
      </c>
      <c r="G34" t="s">
        <v>101</v>
      </c>
      <c r="H34" t="s">
        <v>11</v>
      </c>
      <c r="I34" t="str">
        <f>_xlfn.XLOOKUP(Tabla1[[#This Row],[Dependencia]],Tabla2[Dependencia],Tabla2[Clasificación],"No indexado")</f>
        <v>Otros</v>
      </c>
      <c r="J34" t="str">
        <f>_xlfn.XLOOKUP(Tabla1[[#This Row],[Dependencia]],Tabla3[Dependencia],Tabla3[Nivel],"otros",0)</f>
        <v>otros</v>
      </c>
    </row>
    <row r="35" spans="1:10" ht="60" x14ac:dyDescent="0.25">
      <c r="A35" s="5">
        <v>46195</v>
      </c>
      <c r="B35" t="s">
        <v>73</v>
      </c>
      <c r="C35" s="6" t="s">
        <v>144</v>
      </c>
      <c r="D35" t="s">
        <v>12</v>
      </c>
      <c r="E35" t="s">
        <v>10</v>
      </c>
      <c r="F35" t="s">
        <v>10</v>
      </c>
      <c r="G35" t="s">
        <v>75</v>
      </c>
      <c r="H35" t="s">
        <v>69</v>
      </c>
      <c r="I35" t="str">
        <f>_xlfn.XLOOKUP(Tabla1[[#This Row],[Dependencia]],Tabla2[Dependencia],Tabla2[Clasificación],"No indexado")</f>
        <v>Otros</v>
      </c>
      <c r="J35" t="str">
        <f>_xlfn.XLOOKUP(Tabla1[[#This Row],[Dependencia]],Tabla3[Dependencia],Tabla3[Nivel],"otros",0)</f>
        <v>otros</v>
      </c>
    </row>
    <row r="36" spans="1:10" ht="30" x14ac:dyDescent="0.25">
      <c r="A36" s="5">
        <v>46195</v>
      </c>
      <c r="B36" t="s">
        <v>72</v>
      </c>
      <c r="C36" s="6" t="s">
        <v>145</v>
      </c>
      <c r="D36" t="s">
        <v>13</v>
      </c>
      <c r="E36" t="s">
        <v>53</v>
      </c>
      <c r="F36" t="s">
        <v>53</v>
      </c>
      <c r="G36" t="s">
        <v>146</v>
      </c>
      <c r="H36" t="s">
        <v>11</v>
      </c>
      <c r="I36" t="str">
        <f>_xlfn.XLOOKUP(Tabla1[[#This Row],[Dependencia]],Tabla2[Dependencia],Tabla2[Clasificación],"No indexado")</f>
        <v>Gobierno del estado</v>
      </c>
      <c r="J36" t="str">
        <f>_xlfn.XLOOKUP(Tabla1[[#This Row],[Dependencia]],Tabla3[Dependencia],Tabla3[Nivel],"otros",0)</f>
        <v>Gabinete</v>
      </c>
    </row>
    <row r="37" spans="1:10" ht="30" x14ac:dyDescent="0.25">
      <c r="A37" s="5">
        <v>46195</v>
      </c>
      <c r="B37" t="s">
        <v>72</v>
      </c>
      <c r="C37" s="6" t="s">
        <v>147</v>
      </c>
      <c r="D37" t="s">
        <v>12</v>
      </c>
      <c r="E37" t="s">
        <v>16</v>
      </c>
      <c r="F37" t="s">
        <v>148</v>
      </c>
      <c r="G37" t="s">
        <v>149</v>
      </c>
      <c r="H37" t="s">
        <v>11</v>
      </c>
      <c r="I37" t="str">
        <f>_xlfn.XLOOKUP(Tabla1[[#This Row],[Dependencia]],Tabla2[Dependencia],Tabla2[Clasificación],"No indexado")</f>
        <v>Alcaldías</v>
      </c>
      <c r="J37" t="str">
        <f>_xlfn.XLOOKUP(Tabla1[[#This Row],[Dependencia]],Tabla3[Dependencia],Tabla3[Nivel],"otros",0)</f>
        <v>otros</v>
      </c>
    </row>
    <row r="38" spans="1:10" ht="30" x14ac:dyDescent="0.25">
      <c r="A38" s="5">
        <v>46195</v>
      </c>
      <c r="B38" t="s">
        <v>72</v>
      </c>
      <c r="C38" s="6" t="s">
        <v>150</v>
      </c>
      <c r="D38" t="s">
        <v>12</v>
      </c>
      <c r="E38" t="s">
        <v>33</v>
      </c>
      <c r="F38" t="s">
        <v>33</v>
      </c>
      <c r="G38" t="s">
        <v>83</v>
      </c>
      <c r="H38" t="s">
        <v>11</v>
      </c>
      <c r="I38" t="str">
        <f>_xlfn.XLOOKUP(Tabla1[[#This Row],[Dependencia]],Tabla2[Dependencia],Tabla2[Clasificación],"No indexado")</f>
        <v>Otros</v>
      </c>
      <c r="J38" t="str">
        <f>_xlfn.XLOOKUP(Tabla1[[#This Row],[Dependencia]],Tabla3[Dependencia],Tabla3[Nivel],"otros",0)</f>
        <v>otros</v>
      </c>
    </row>
    <row r="39" spans="1:10" ht="30" x14ac:dyDescent="0.25">
      <c r="A39" s="5">
        <v>46195</v>
      </c>
      <c r="B39" t="s">
        <v>72</v>
      </c>
      <c r="C39" s="6" t="s">
        <v>151</v>
      </c>
      <c r="D39" t="s">
        <v>12</v>
      </c>
      <c r="E39" t="s">
        <v>14</v>
      </c>
      <c r="F39" t="s">
        <v>152</v>
      </c>
      <c r="G39" t="s">
        <v>153</v>
      </c>
      <c r="H39" t="s">
        <v>11</v>
      </c>
      <c r="I39" t="str">
        <f>_xlfn.XLOOKUP(Tabla1[[#This Row],[Dependencia]],Tabla2[Dependencia],Tabla2[Clasificación],"No indexado")</f>
        <v>Presidencia de la República</v>
      </c>
      <c r="J39" t="str">
        <f>_xlfn.XLOOKUP(Tabla1[[#This Row],[Dependencia]],Tabla3[Dependencia],Tabla3[Nivel],"otros",0)</f>
        <v>otros</v>
      </c>
    </row>
    <row r="40" spans="1:10" x14ac:dyDescent="0.25">
      <c r="A40" s="5">
        <v>46195</v>
      </c>
      <c r="B40" t="s">
        <v>71</v>
      </c>
      <c r="C40" s="6" t="s">
        <v>154</v>
      </c>
      <c r="D40" t="s">
        <v>13</v>
      </c>
      <c r="E40" t="s">
        <v>24</v>
      </c>
      <c r="F40" t="s">
        <v>24</v>
      </c>
      <c r="G40" t="s">
        <v>111</v>
      </c>
      <c r="H40" t="s">
        <v>69</v>
      </c>
      <c r="I40" t="str">
        <f>_xlfn.XLOOKUP(Tabla1[[#This Row],[Dependencia]],Tabla2[Dependencia],Tabla2[Clasificación],"No indexado")</f>
        <v>Gobierno del estado</v>
      </c>
      <c r="J40" t="str">
        <f>_xlfn.XLOOKUP(Tabla1[[#This Row],[Dependencia]],Tabla3[Dependencia],Tabla3[Nivel],"otros",0)</f>
        <v>Gobernador</v>
      </c>
    </row>
    <row r="41" spans="1:10" x14ac:dyDescent="0.25">
      <c r="A41" s="5">
        <v>46195</v>
      </c>
      <c r="B41" t="s">
        <v>71</v>
      </c>
      <c r="C41" s="6" t="s">
        <v>155</v>
      </c>
      <c r="D41" t="s">
        <v>12</v>
      </c>
      <c r="E41" t="s">
        <v>14</v>
      </c>
      <c r="F41" t="s">
        <v>87</v>
      </c>
      <c r="G41" t="s">
        <v>88</v>
      </c>
      <c r="H41" t="s">
        <v>11</v>
      </c>
      <c r="I41" t="str">
        <f>_xlfn.XLOOKUP(Tabla1[[#This Row],[Dependencia]],Tabla2[Dependencia],Tabla2[Clasificación],"No indexado")</f>
        <v>Presidencia de la República</v>
      </c>
      <c r="J41" t="str">
        <f>_xlfn.XLOOKUP(Tabla1[[#This Row],[Dependencia]],Tabla3[Dependencia],Tabla3[Nivel],"otros",0)</f>
        <v>otros</v>
      </c>
    </row>
    <row r="42" spans="1:10" x14ac:dyDescent="0.25">
      <c r="A42" s="5">
        <v>46195</v>
      </c>
      <c r="B42" t="s">
        <v>71</v>
      </c>
      <c r="C42" s="6" t="s">
        <v>156</v>
      </c>
      <c r="D42" t="s">
        <v>12</v>
      </c>
      <c r="E42" t="s">
        <v>10</v>
      </c>
      <c r="F42" t="s">
        <v>10</v>
      </c>
      <c r="G42" t="s">
        <v>101</v>
      </c>
      <c r="H42" t="s">
        <v>11</v>
      </c>
      <c r="I42" t="str">
        <f>_xlfn.XLOOKUP(Tabla1[[#This Row],[Dependencia]],Tabla2[Dependencia],Tabla2[Clasificación],"No indexado")</f>
        <v>Otros</v>
      </c>
      <c r="J42" t="str">
        <f>_xlfn.XLOOKUP(Tabla1[[#This Row],[Dependencia]],Tabla3[Dependencia],Tabla3[Nivel],"otros",0)</f>
        <v>otros</v>
      </c>
    </row>
    <row r="43" spans="1:10" ht="30" x14ac:dyDescent="0.25">
      <c r="A43" s="5">
        <v>46195</v>
      </c>
      <c r="B43" t="s">
        <v>71</v>
      </c>
      <c r="C43" s="6" t="s">
        <v>157</v>
      </c>
      <c r="D43" t="s">
        <v>12</v>
      </c>
      <c r="E43" t="s">
        <v>26</v>
      </c>
      <c r="F43" t="s">
        <v>158</v>
      </c>
      <c r="G43" t="s">
        <v>159</v>
      </c>
      <c r="H43" t="s">
        <v>11</v>
      </c>
      <c r="I43" t="str">
        <f>_xlfn.XLOOKUP(Tabla1[[#This Row],[Dependencia]],Tabla2[Dependencia],Tabla2[Clasificación],"No indexado")</f>
        <v>Gobierno del estado</v>
      </c>
      <c r="J43" t="str">
        <f>_xlfn.XLOOKUP(Tabla1[[#This Row],[Dependencia]],Tabla3[Dependencia],Tabla3[Nivel],"otros",0)</f>
        <v>Gabinete</v>
      </c>
    </row>
    <row r="44" spans="1:10" ht="30" x14ac:dyDescent="0.25">
      <c r="A44" s="5">
        <v>46195</v>
      </c>
      <c r="B44" t="s">
        <v>71</v>
      </c>
      <c r="C44" s="6" t="s">
        <v>160</v>
      </c>
      <c r="D44" t="s">
        <v>12</v>
      </c>
      <c r="E44" t="s">
        <v>10</v>
      </c>
      <c r="F44" t="s">
        <v>10</v>
      </c>
      <c r="G44" t="s">
        <v>129</v>
      </c>
      <c r="H44" t="s">
        <v>11</v>
      </c>
      <c r="I44" t="str">
        <f>_xlfn.XLOOKUP(Tabla1[[#This Row],[Dependencia]],Tabla2[Dependencia],Tabla2[Clasificación],"No indexado")</f>
        <v>Otros</v>
      </c>
      <c r="J44" t="str">
        <f>_xlfn.XLOOKUP(Tabla1[[#This Row],[Dependencia]],Tabla3[Dependencia],Tabla3[Nivel],"otros",0)</f>
        <v>otros</v>
      </c>
    </row>
    <row r="45" spans="1:10" ht="30" x14ac:dyDescent="0.25">
      <c r="A45" s="5">
        <v>46195</v>
      </c>
      <c r="B45" t="s">
        <v>76</v>
      </c>
      <c r="C45" s="6" t="s">
        <v>161</v>
      </c>
      <c r="D45" t="s">
        <v>9</v>
      </c>
      <c r="E45" t="s">
        <v>24</v>
      </c>
      <c r="F45" t="s">
        <v>24</v>
      </c>
      <c r="G45" t="s">
        <v>111</v>
      </c>
      <c r="H45" t="s">
        <v>69</v>
      </c>
      <c r="I45" t="str">
        <f>_xlfn.XLOOKUP(Tabla1[[#This Row],[Dependencia]],Tabla2[Dependencia],Tabla2[Clasificación],"No indexado")</f>
        <v>Gobierno del estado</v>
      </c>
      <c r="J45" t="str">
        <f>_xlfn.XLOOKUP(Tabla1[[#This Row],[Dependencia]],Tabla3[Dependencia],Tabla3[Nivel],"otros",0)</f>
        <v>Gobernador</v>
      </c>
    </row>
    <row r="46" spans="1:10" ht="30" x14ac:dyDescent="0.25">
      <c r="A46" s="5">
        <v>46195</v>
      </c>
      <c r="B46" t="s">
        <v>76</v>
      </c>
      <c r="C46" s="6" t="s">
        <v>162</v>
      </c>
      <c r="D46" t="s">
        <v>12</v>
      </c>
      <c r="E46" t="s">
        <v>58</v>
      </c>
      <c r="F46" t="s">
        <v>2</v>
      </c>
      <c r="G46" t="s">
        <v>163</v>
      </c>
      <c r="H46" t="s">
        <v>11</v>
      </c>
      <c r="I46" t="str">
        <f>_xlfn.XLOOKUP(Tabla1[[#This Row],[Dependencia]],Tabla2[Dependencia],Tabla2[Clasificación],"No indexado")</f>
        <v>Otros</v>
      </c>
      <c r="J46" t="str">
        <f>_xlfn.XLOOKUP(Tabla1[[#This Row],[Dependencia]],Tabla3[Dependencia],Tabla3[Nivel],"otros",0)</f>
        <v>otros</v>
      </c>
    </row>
    <row r="47" spans="1:10" ht="30" x14ac:dyDescent="0.25">
      <c r="A47" s="5">
        <v>46195</v>
      </c>
      <c r="B47" t="s">
        <v>76</v>
      </c>
      <c r="C47" s="6" t="s">
        <v>164</v>
      </c>
      <c r="D47" t="s">
        <v>13</v>
      </c>
      <c r="E47" t="s">
        <v>14</v>
      </c>
      <c r="F47" t="s">
        <v>14</v>
      </c>
      <c r="G47" t="s">
        <v>165</v>
      </c>
      <c r="H47" t="s">
        <v>70</v>
      </c>
      <c r="I47" t="str">
        <f>_xlfn.XLOOKUP(Tabla1[[#This Row],[Dependencia]],Tabla2[Dependencia],Tabla2[Clasificación],"No indexado")</f>
        <v>Presidencia de la República</v>
      </c>
      <c r="J47" t="str">
        <f>_xlfn.XLOOKUP(Tabla1[[#This Row],[Dependencia]],Tabla3[Dependencia],Tabla3[Nivel],"otros",0)</f>
        <v>otros</v>
      </c>
    </row>
    <row r="48" spans="1:10" ht="30" x14ac:dyDescent="0.25">
      <c r="A48" s="5">
        <v>46195</v>
      </c>
      <c r="B48" t="s">
        <v>76</v>
      </c>
      <c r="C48" s="6" t="s">
        <v>166</v>
      </c>
      <c r="D48" t="s">
        <v>12</v>
      </c>
      <c r="E48" t="s">
        <v>10</v>
      </c>
      <c r="F48" t="s">
        <v>10</v>
      </c>
      <c r="G48" t="s">
        <v>129</v>
      </c>
      <c r="H48" t="s">
        <v>11</v>
      </c>
      <c r="I48" t="str">
        <f>_xlfn.XLOOKUP(Tabla1[[#This Row],[Dependencia]],Tabla2[Dependencia],Tabla2[Clasificación],"No indexado")</f>
        <v>Otros</v>
      </c>
      <c r="J48" t="str">
        <f>_xlfn.XLOOKUP(Tabla1[[#This Row],[Dependencia]],Tabla3[Dependencia],Tabla3[Nivel],"otros",0)</f>
        <v>otros</v>
      </c>
    </row>
    <row r="49" spans="1:10" x14ac:dyDescent="0.25">
      <c r="A49" s="5">
        <v>46195</v>
      </c>
      <c r="B49" t="s">
        <v>76</v>
      </c>
      <c r="C49" s="6" t="s">
        <v>167</v>
      </c>
      <c r="D49" t="s">
        <v>12</v>
      </c>
      <c r="E49" t="s">
        <v>22</v>
      </c>
      <c r="F49" t="s">
        <v>22</v>
      </c>
      <c r="G49" t="s">
        <v>168</v>
      </c>
      <c r="H49" t="s">
        <v>69</v>
      </c>
      <c r="I49" t="str">
        <f>_xlfn.XLOOKUP(Tabla1[[#This Row],[Dependencia]],Tabla2[Dependencia],Tabla2[Clasificación],"No indexado")</f>
        <v>Gobierno del estado</v>
      </c>
      <c r="J49" t="str">
        <f>_xlfn.XLOOKUP(Tabla1[[#This Row],[Dependencia]],Tabla3[Dependencia],Tabla3[Nivel],"otros",0)</f>
        <v>Gabinete</v>
      </c>
    </row>
    <row r="50" spans="1:10" x14ac:dyDescent="0.25">
      <c r="A50" s="5">
        <v>46195</v>
      </c>
      <c r="B50" t="s">
        <v>76</v>
      </c>
      <c r="C50" s="6" t="s">
        <v>169</v>
      </c>
      <c r="D50" t="s">
        <v>12</v>
      </c>
      <c r="E50" t="s">
        <v>17</v>
      </c>
      <c r="F50" t="s">
        <v>17</v>
      </c>
      <c r="G50" t="s">
        <v>90</v>
      </c>
      <c r="H50" t="s">
        <v>70</v>
      </c>
      <c r="I50" t="str">
        <f>_xlfn.XLOOKUP(Tabla1[[#This Row],[Dependencia]],Tabla2[Dependencia],Tabla2[Clasificación],"No indexado")</f>
        <v>Gobierno del estado</v>
      </c>
      <c r="J50" t="str">
        <f>_xlfn.XLOOKUP(Tabla1[[#This Row],[Dependencia]],Tabla3[Dependencia],Tabla3[Nivel],"otros",0)</f>
        <v>Gabinete</v>
      </c>
    </row>
    <row r="51" spans="1:10" ht="30" x14ac:dyDescent="0.25">
      <c r="A51" s="5">
        <v>46195</v>
      </c>
      <c r="B51" t="s">
        <v>170</v>
      </c>
      <c r="C51" s="6" t="s">
        <v>171</v>
      </c>
      <c r="D51" t="s">
        <v>12</v>
      </c>
      <c r="E51" t="s">
        <v>16</v>
      </c>
      <c r="F51" t="s">
        <v>16</v>
      </c>
      <c r="G51" t="s">
        <v>129</v>
      </c>
      <c r="H51" t="s">
        <v>11</v>
      </c>
      <c r="I51" t="str">
        <f>_xlfn.XLOOKUP(Tabla1[[#This Row],[Dependencia]],Tabla2[Dependencia],Tabla2[Clasificación],"No indexado")</f>
        <v>Alcaldías</v>
      </c>
      <c r="J51" t="str">
        <f>_xlfn.XLOOKUP(Tabla1[[#This Row],[Dependencia]],Tabla3[Dependencia],Tabla3[Nivel],"otros",0)</f>
        <v>otros</v>
      </c>
    </row>
    <row r="52" spans="1:10" x14ac:dyDescent="0.25">
      <c r="A52" s="5">
        <v>46195</v>
      </c>
      <c r="B52" t="s">
        <v>170</v>
      </c>
      <c r="C52" s="6" t="s">
        <v>154</v>
      </c>
      <c r="D52" t="s">
        <v>13</v>
      </c>
      <c r="E52" t="s">
        <v>24</v>
      </c>
      <c r="F52" t="s">
        <v>24</v>
      </c>
      <c r="G52" t="s">
        <v>111</v>
      </c>
      <c r="H52" t="s">
        <v>69</v>
      </c>
      <c r="I52" t="str">
        <f>_xlfn.XLOOKUP(Tabla1[[#This Row],[Dependencia]],Tabla2[Dependencia],Tabla2[Clasificación],"No indexado")</f>
        <v>Gobierno del estado</v>
      </c>
      <c r="J52" t="str">
        <f>_xlfn.XLOOKUP(Tabla1[[#This Row],[Dependencia]],Tabla3[Dependencia],Tabla3[Nivel],"otros",0)</f>
        <v>Gobernador</v>
      </c>
    </row>
    <row r="53" spans="1:10" ht="30" x14ac:dyDescent="0.25">
      <c r="A53" s="5">
        <v>46195</v>
      </c>
      <c r="B53" t="s">
        <v>170</v>
      </c>
      <c r="C53" s="6" t="s">
        <v>172</v>
      </c>
      <c r="D53" t="s">
        <v>12</v>
      </c>
      <c r="E53" t="s">
        <v>16</v>
      </c>
      <c r="F53" t="s">
        <v>77</v>
      </c>
      <c r="G53" t="s">
        <v>101</v>
      </c>
      <c r="H53" t="s">
        <v>11</v>
      </c>
      <c r="I53" t="str">
        <f>_xlfn.XLOOKUP(Tabla1[[#This Row],[Dependencia]],Tabla2[Dependencia],Tabla2[Clasificación],"No indexado")</f>
        <v>Alcaldías</v>
      </c>
      <c r="J53" t="str">
        <f>_xlfn.XLOOKUP(Tabla1[[#This Row],[Dependencia]],Tabla3[Dependencia],Tabla3[Nivel],"otros",0)</f>
        <v>otros</v>
      </c>
    </row>
    <row r="54" spans="1:10" ht="30" x14ac:dyDescent="0.25">
      <c r="A54" s="5">
        <v>46195</v>
      </c>
      <c r="B54" t="s">
        <v>170</v>
      </c>
      <c r="C54" s="6" t="s">
        <v>173</v>
      </c>
      <c r="D54" t="s">
        <v>12</v>
      </c>
      <c r="E54" t="s">
        <v>16</v>
      </c>
      <c r="F54" t="s">
        <v>16</v>
      </c>
      <c r="G54" t="s">
        <v>101</v>
      </c>
      <c r="H54" t="s">
        <v>11</v>
      </c>
      <c r="I54" t="str">
        <f>_xlfn.XLOOKUP(Tabla1[[#This Row],[Dependencia]],Tabla2[Dependencia],Tabla2[Clasificación],"No indexado")</f>
        <v>Alcaldías</v>
      </c>
      <c r="J54" t="str">
        <f>_xlfn.XLOOKUP(Tabla1[[#This Row],[Dependencia]],Tabla3[Dependencia],Tabla3[Nivel],"otros",0)</f>
        <v>otros</v>
      </c>
    </row>
    <row r="55" spans="1:10" ht="30" x14ac:dyDescent="0.25">
      <c r="A55" s="5">
        <v>46195</v>
      </c>
      <c r="B55" t="s">
        <v>170</v>
      </c>
      <c r="C55" s="6" t="s">
        <v>174</v>
      </c>
      <c r="D55" t="s">
        <v>12</v>
      </c>
      <c r="E55" t="s">
        <v>24</v>
      </c>
      <c r="F55" t="s">
        <v>24</v>
      </c>
      <c r="G55" t="s">
        <v>75</v>
      </c>
      <c r="H55" t="s">
        <v>11</v>
      </c>
      <c r="I55" t="str">
        <f>_xlfn.XLOOKUP(Tabla1[[#This Row],[Dependencia]],Tabla2[Dependencia],Tabla2[Clasificación],"No indexado")</f>
        <v>Gobierno del estado</v>
      </c>
      <c r="J55" t="str">
        <f>_xlfn.XLOOKUP(Tabla1[[#This Row],[Dependencia]],Tabla3[Dependencia],Tabla3[Nivel],"otros",0)</f>
        <v>Gobernador</v>
      </c>
    </row>
    <row r="56" spans="1:10" ht="30" x14ac:dyDescent="0.25">
      <c r="A56" s="5">
        <v>46195</v>
      </c>
      <c r="B56" t="s">
        <v>170</v>
      </c>
      <c r="C56" s="6" t="s">
        <v>175</v>
      </c>
      <c r="D56" t="s">
        <v>12</v>
      </c>
      <c r="E56" t="s">
        <v>16</v>
      </c>
      <c r="F56" t="s">
        <v>16</v>
      </c>
      <c r="G56" t="s">
        <v>101</v>
      </c>
      <c r="H56" t="s">
        <v>11</v>
      </c>
      <c r="I56" t="str">
        <f>_xlfn.XLOOKUP(Tabla1[[#This Row],[Dependencia]],Tabla2[Dependencia],Tabla2[Clasificación],"No indexado")</f>
        <v>Alcaldías</v>
      </c>
      <c r="J56" t="str">
        <f>_xlfn.XLOOKUP(Tabla1[[#This Row],[Dependencia]],Tabla3[Dependencia],Tabla3[Nivel],"otros",0)</f>
        <v>otros</v>
      </c>
    </row>
    <row r="57" spans="1:10" ht="45" x14ac:dyDescent="0.25">
      <c r="A57" s="5">
        <v>46195</v>
      </c>
      <c r="B57" t="s">
        <v>170</v>
      </c>
      <c r="C57" s="6" t="s">
        <v>176</v>
      </c>
      <c r="D57" t="s">
        <v>12</v>
      </c>
      <c r="E57" t="s">
        <v>16</v>
      </c>
      <c r="F57" t="s">
        <v>16</v>
      </c>
      <c r="G57" t="s">
        <v>149</v>
      </c>
      <c r="H57" t="s">
        <v>11</v>
      </c>
      <c r="I57" t="str">
        <f>_xlfn.XLOOKUP(Tabla1[[#This Row],[Dependencia]],Tabla2[Dependencia],Tabla2[Clasificación],"No indexado")</f>
        <v>Alcaldías</v>
      </c>
      <c r="J57" t="str">
        <f>_xlfn.XLOOKUP(Tabla1[[#This Row],[Dependencia]],Tabla3[Dependencia],Tabla3[Nivel],"otros",0)</f>
        <v>otros</v>
      </c>
    </row>
    <row r="58" spans="1:10" ht="30" x14ac:dyDescent="0.25">
      <c r="A58" s="5">
        <v>46195</v>
      </c>
      <c r="B58" t="s">
        <v>170</v>
      </c>
      <c r="C58" s="6" t="s">
        <v>177</v>
      </c>
      <c r="D58" t="s">
        <v>12</v>
      </c>
      <c r="E58" t="s">
        <v>14</v>
      </c>
      <c r="F58" t="s">
        <v>89</v>
      </c>
      <c r="G58" t="s">
        <v>178</v>
      </c>
      <c r="H58" t="s">
        <v>70</v>
      </c>
      <c r="I58" t="str">
        <f>_xlfn.XLOOKUP(Tabla1[[#This Row],[Dependencia]],Tabla2[Dependencia],Tabla2[Clasificación],"No indexado")</f>
        <v>Presidencia de la República</v>
      </c>
      <c r="J58" t="str">
        <f>_xlfn.XLOOKUP(Tabla1[[#This Row],[Dependencia]],Tabla3[Dependencia],Tabla3[Nivel],"otros",0)</f>
        <v>otros</v>
      </c>
    </row>
    <row r="59" spans="1:10" ht="30" x14ac:dyDescent="0.25">
      <c r="A59" s="5">
        <v>46195</v>
      </c>
      <c r="B59" t="s">
        <v>170</v>
      </c>
      <c r="C59" s="6" t="s">
        <v>179</v>
      </c>
      <c r="D59" t="s">
        <v>12</v>
      </c>
      <c r="E59" t="s">
        <v>10</v>
      </c>
      <c r="F59" t="s">
        <v>10</v>
      </c>
      <c r="G59" t="s">
        <v>101</v>
      </c>
      <c r="H59" t="s">
        <v>11</v>
      </c>
      <c r="I59" t="str">
        <f>_xlfn.XLOOKUP(Tabla1[[#This Row],[Dependencia]],Tabla2[Dependencia],Tabla2[Clasificación],"No indexado")</f>
        <v>Otros</v>
      </c>
      <c r="J59" t="str">
        <f>_xlfn.XLOOKUP(Tabla1[[#This Row],[Dependencia]],Tabla3[Dependencia],Tabla3[Nivel],"otros",0)</f>
        <v>otros</v>
      </c>
    </row>
    <row r="60" spans="1:10" ht="30" x14ac:dyDescent="0.25">
      <c r="A60" s="5">
        <v>46195</v>
      </c>
      <c r="B60" t="s">
        <v>170</v>
      </c>
      <c r="C60" s="6" t="s">
        <v>180</v>
      </c>
      <c r="D60" t="s">
        <v>12</v>
      </c>
      <c r="E60" t="s">
        <v>10</v>
      </c>
      <c r="F60" t="s">
        <v>10</v>
      </c>
      <c r="G60" t="s">
        <v>181</v>
      </c>
      <c r="H60" t="s">
        <v>69</v>
      </c>
      <c r="I60" t="str">
        <f>_xlfn.XLOOKUP(Tabla1[[#This Row],[Dependencia]],Tabla2[Dependencia],Tabla2[Clasificación],"No indexado")</f>
        <v>Otros</v>
      </c>
      <c r="J60" t="str">
        <f>_xlfn.XLOOKUP(Tabla1[[#This Row],[Dependencia]],Tabla3[Dependencia],Tabla3[Nivel],"otros",0)</f>
        <v>otros</v>
      </c>
    </row>
    <row r="61" spans="1:10" ht="30" x14ac:dyDescent="0.25">
      <c r="A61" s="5">
        <v>46195</v>
      </c>
      <c r="B61" t="s">
        <v>170</v>
      </c>
      <c r="C61" s="6" t="s">
        <v>182</v>
      </c>
      <c r="D61" t="s">
        <v>13</v>
      </c>
      <c r="E61" t="s">
        <v>24</v>
      </c>
      <c r="F61" t="s">
        <v>24</v>
      </c>
      <c r="G61" t="s">
        <v>111</v>
      </c>
      <c r="H61" t="s">
        <v>69</v>
      </c>
      <c r="I61" t="str">
        <f>_xlfn.XLOOKUP(Tabla1[[#This Row],[Dependencia]],Tabla2[Dependencia],Tabla2[Clasificación],"No indexado")</f>
        <v>Gobierno del estado</v>
      </c>
      <c r="J61" t="str">
        <f>_xlfn.XLOOKUP(Tabla1[[#This Row],[Dependencia]],Tabla3[Dependencia],Tabla3[Nivel],"otros",0)</f>
        <v>Gobernador</v>
      </c>
    </row>
    <row r="62" spans="1:10" ht="30" x14ac:dyDescent="0.25">
      <c r="A62" s="5">
        <v>46195</v>
      </c>
      <c r="B62" t="s">
        <v>170</v>
      </c>
      <c r="C62" s="6" t="s">
        <v>183</v>
      </c>
      <c r="D62" t="s">
        <v>12</v>
      </c>
      <c r="E62" t="s">
        <v>16</v>
      </c>
      <c r="F62" t="s">
        <v>148</v>
      </c>
      <c r="G62" t="s">
        <v>184</v>
      </c>
      <c r="H62" t="s">
        <v>11</v>
      </c>
      <c r="I62" t="str">
        <f>_xlfn.XLOOKUP(Tabla1[[#This Row],[Dependencia]],Tabla2[Dependencia],Tabla2[Clasificación],"No indexado")</f>
        <v>Alcaldías</v>
      </c>
      <c r="J62" t="str">
        <f>_xlfn.XLOOKUP(Tabla1[[#This Row],[Dependencia]],Tabla3[Dependencia],Tabla3[Nivel],"otros",0)</f>
        <v>otros</v>
      </c>
    </row>
    <row r="63" spans="1:10" ht="30" x14ac:dyDescent="0.25">
      <c r="A63" s="5">
        <v>46195</v>
      </c>
      <c r="B63" t="s">
        <v>170</v>
      </c>
      <c r="C63" s="6" t="s">
        <v>185</v>
      </c>
      <c r="D63" t="s">
        <v>12</v>
      </c>
      <c r="E63" t="s">
        <v>26</v>
      </c>
      <c r="F63" t="s">
        <v>26</v>
      </c>
      <c r="G63" t="s">
        <v>186</v>
      </c>
      <c r="H63" t="s">
        <v>11</v>
      </c>
      <c r="I63" t="str">
        <f>_xlfn.XLOOKUP(Tabla1[[#This Row],[Dependencia]],Tabla2[Dependencia],Tabla2[Clasificación],"No indexado")</f>
        <v>Gobierno del estado</v>
      </c>
      <c r="J63" t="str">
        <f>_xlfn.XLOOKUP(Tabla1[[#This Row],[Dependencia]],Tabla3[Dependencia],Tabla3[Nivel],"otros",0)</f>
        <v>Gabinete</v>
      </c>
    </row>
    <row r="64" spans="1:10" ht="30" x14ac:dyDescent="0.25">
      <c r="A64" s="5">
        <v>46195</v>
      </c>
      <c r="B64" t="s">
        <v>170</v>
      </c>
      <c r="C64" s="6" t="s">
        <v>187</v>
      </c>
      <c r="D64" t="s">
        <v>12</v>
      </c>
      <c r="E64" t="s">
        <v>16</v>
      </c>
      <c r="F64" t="s">
        <v>148</v>
      </c>
      <c r="G64" t="s">
        <v>149</v>
      </c>
      <c r="H64" t="s">
        <v>11</v>
      </c>
      <c r="I64" t="str">
        <f>_xlfn.XLOOKUP(Tabla1[[#This Row],[Dependencia]],Tabla2[Dependencia],Tabla2[Clasificación],"No indexado")</f>
        <v>Alcaldías</v>
      </c>
      <c r="J64" t="str">
        <f>_xlfn.XLOOKUP(Tabla1[[#This Row],[Dependencia]],Tabla3[Dependencia],Tabla3[Nivel],"otros",0)</f>
        <v>otros</v>
      </c>
    </row>
    <row r="65" spans="1:10" x14ac:dyDescent="0.25">
      <c r="A65" s="5">
        <v>46195</v>
      </c>
      <c r="B65" t="s">
        <v>170</v>
      </c>
      <c r="C65" s="6" t="s">
        <v>188</v>
      </c>
      <c r="D65" t="s">
        <v>12</v>
      </c>
      <c r="E65" t="s">
        <v>10</v>
      </c>
      <c r="F65" t="s">
        <v>10</v>
      </c>
      <c r="G65" t="s">
        <v>129</v>
      </c>
      <c r="H65" t="s">
        <v>11</v>
      </c>
      <c r="I65" t="str">
        <f>_xlfn.XLOOKUP(Tabla1[[#This Row],[Dependencia]],Tabla2[Dependencia],Tabla2[Clasificación],"No indexado")</f>
        <v>Otros</v>
      </c>
      <c r="J65" t="str">
        <f>_xlfn.XLOOKUP(Tabla1[[#This Row],[Dependencia]],Tabla3[Dependencia],Tabla3[Nivel],"otros",0)</f>
        <v>otros</v>
      </c>
    </row>
    <row r="66" spans="1:10" x14ac:dyDescent="0.25">
      <c r="A66" s="5">
        <v>46195</v>
      </c>
      <c r="B66" t="s">
        <v>170</v>
      </c>
      <c r="C66" s="6" t="s">
        <v>91</v>
      </c>
      <c r="D66" t="s">
        <v>80</v>
      </c>
      <c r="E66" t="s">
        <v>16</v>
      </c>
      <c r="F66" t="s">
        <v>16</v>
      </c>
      <c r="G66" t="s">
        <v>84</v>
      </c>
      <c r="H66" t="s">
        <v>11</v>
      </c>
      <c r="I66" t="str">
        <f>_xlfn.XLOOKUP(Tabla1[[#This Row],[Dependencia]],Tabla2[Dependencia],Tabla2[Clasificación],"No indexado")</f>
        <v>Alcaldías</v>
      </c>
      <c r="J66" t="str">
        <f>_xlfn.XLOOKUP(Tabla1[[#This Row],[Dependencia]],Tabla3[Dependencia],Tabla3[Nivel],"otros",0)</f>
        <v>otros</v>
      </c>
    </row>
    <row r="67" spans="1:10" x14ac:dyDescent="0.25">
      <c r="A67" s="5">
        <v>46195</v>
      </c>
      <c r="B67" t="s">
        <v>170</v>
      </c>
      <c r="C67" s="6" t="s">
        <v>189</v>
      </c>
      <c r="D67" t="s">
        <v>80</v>
      </c>
      <c r="E67" t="s">
        <v>20</v>
      </c>
      <c r="F67" t="s">
        <v>20</v>
      </c>
      <c r="G67" t="s">
        <v>190</v>
      </c>
      <c r="H67" t="s">
        <v>11</v>
      </c>
      <c r="I67" t="str">
        <f>_xlfn.XLOOKUP(Tabla1[[#This Row],[Dependencia]],Tabla2[Dependencia],Tabla2[Clasificación],"No indexado")</f>
        <v>Gobierno del estado</v>
      </c>
      <c r="J67" t="str">
        <f>_xlfn.XLOOKUP(Tabla1[[#This Row],[Dependencia]],Tabla3[Dependencia],Tabla3[Nivel],"otros",0)</f>
        <v>Gabinete</v>
      </c>
    </row>
    <row r="68" spans="1:10" ht="30" x14ac:dyDescent="0.25">
      <c r="A68" s="5">
        <v>46195</v>
      </c>
      <c r="B68" t="s">
        <v>78</v>
      </c>
      <c r="C68" s="6" t="s">
        <v>191</v>
      </c>
      <c r="D68" t="s">
        <v>13</v>
      </c>
      <c r="E68" t="s">
        <v>24</v>
      </c>
      <c r="F68" t="s">
        <v>24</v>
      </c>
      <c r="G68" t="s">
        <v>192</v>
      </c>
      <c r="H68" t="s">
        <v>11</v>
      </c>
      <c r="I68" t="str">
        <f>_xlfn.XLOOKUP(Tabla1[[#This Row],[Dependencia]],Tabla2[Dependencia],Tabla2[Clasificación],"No indexado")</f>
        <v>Gobierno del estado</v>
      </c>
      <c r="J68" t="str">
        <f>_xlfn.XLOOKUP(Tabla1[[#This Row],[Dependencia]],Tabla3[Dependencia],Tabla3[Nivel],"otros",0)</f>
        <v>Gobernador</v>
      </c>
    </row>
    <row r="69" spans="1:10" ht="30" x14ac:dyDescent="0.25">
      <c r="A69" s="5">
        <v>46195</v>
      </c>
      <c r="B69" t="s">
        <v>78</v>
      </c>
      <c r="C69" s="6" t="s">
        <v>193</v>
      </c>
      <c r="D69" t="s">
        <v>12</v>
      </c>
      <c r="E69" t="s">
        <v>24</v>
      </c>
      <c r="F69" t="s">
        <v>24</v>
      </c>
      <c r="G69" t="s">
        <v>111</v>
      </c>
      <c r="H69" t="s">
        <v>11</v>
      </c>
      <c r="I69" t="str">
        <f>_xlfn.XLOOKUP(Tabla1[[#This Row],[Dependencia]],Tabla2[Dependencia],Tabla2[Clasificación],"No indexado")</f>
        <v>Gobierno del estado</v>
      </c>
      <c r="J69" t="str">
        <f>_xlfn.XLOOKUP(Tabla1[[#This Row],[Dependencia]],Tabla3[Dependencia],Tabla3[Nivel],"otros",0)</f>
        <v>Gobernador</v>
      </c>
    </row>
    <row r="70" spans="1:10" ht="30" x14ac:dyDescent="0.25">
      <c r="A70" s="5">
        <v>46195</v>
      </c>
      <c r="B70" t="s">
        <v>78</v>
      </c>
      <c r="C70" s="6" t="s">
        <v>194</v>
      </c>
      <c r="D70" t="s">
        <v>12</v>
      </c>
      <c r="E70" t="s">
        <v>22</v>
      </c>
      <c r="F70" t="s">
        <v>22</v>
      </c>
      <c r="G70" t="s">
        <v>195</v>
      </c>
      <c r="H70" t="s">
        <v>11</v>
      </c>
      <c r="I70" t="str">
        <f>_xlfn.XLOOKUP(Tabla1[[#This Row],[Dependencia]],Tabla2[Dependencia],Tabla2[Clasificación],"No indexado")</f>
        <v>Gobierno del estado</v>
      </c>
      <c r="J70" t="str">
        <f>_xlfn.XLOOKUP(Tabla1[[#This Row],[Dependencia]],Tabla3[Dependencia],Tabla3[Nivel],"otros",0)</f>
        <v>Gabinete</v>
      </c>
    </row>
    <row r="71" spans="1:10" ht="30" x14ac:dyDescent="0.25">
      <c r="A71" s="5">
        <v>46195</v>
      </c>
      <c r="B71" t="s">
        <v>78</v>
      </c>
      <c r="C71" s="6" t="s">
        <v>196</v>
      </c>
      <c r="D71" t="s">
        <v>12</v>
      </c>
      <c r="E71" t="s">
        <v>20</v>
      </c>
      <c r="F71" t="s">
        <v>20</v>
      </c>
      <c r="G71" t="s">
        <v>197</v>
      </c>
      <c r="H71" t="s">
        <v>70</v>
      </c>
      <c r="I71" t="str">
        <f>_xlfn.XLOOKUP(Tabla1[[#This Row],[Dependencia]],Tabla2[Dependencia],Tabla2[Clasificación],"No indexado")</f>
        <v>Gobierno del estado</v>
      </c>
      <c r="J71" t="str">
        <f>_xlfn.XLOOKUP(Tabla1[[#This Row],[Dependencia]],Tabla3[Dependencia],Tabla3[Nivel],"otros",0)</f>
        <v>Gabinete</v>
      </c>
    </row>
    <row r="72" spans="1:10" ht="30" x14ac:dyDescent="0.25">
      <c r="A72" s="5">
        <v>46195</v>
      </c>
      <c r="B72" t="s">
        <v>78</v>
      </c>
      <c r="C72" s="6" t="s">
        <v>198</v>
      </c>
      <c r="D72" t="s">
        <v>92</v>
      </c>
      <c r="E72" t="s">
        <v>10</v>
      </c>
      <c r="F72" t="s">
        <v>10</v>
      </c>
      <c r="G72" t="s">
        <v>75</v>
      </c>
      <c r="H72" t="s">
        <v>11</v>
      </c>
      <c r="I72" t="str">
        <f>_xlfn.XLOOKUP(Tabla1[[#This Row],[Dependencia]],Tabla2[Dependencia],Tabla2[Clasificación],"No indexado")</f>
        <v>Otros</v>
      </c>
      <c r="J72" t="str">
        <f>_xlfn.XLOOKUP(Tabla1[[#This Row],[Dependencia]],Tabla3[Dependencia],Tabla3[Nivel],"otros",0)</f>
        <v>otros</v>
      </c>
    </row>
    <row r="73" spans="1:10" x14ac:dyDescent="0.25">
      <c r="A73" s="5">
        <v>46196</v>
      </c>
      <c r="B73" t="s">
        <v>68</v>
      </c>
      <c r="C73" s="6" t="s">
        <v>199</v>
      </c>
      <c r="D73" t="s">
        <v>12</v>
      </c>
      <c r="E73" t="s">
        <v>20</v>
      </c>
      <c r="F73" t="s">
        <v>20</v>
      </c>
      <c r="G73" t="s">
        <v>85</v>
      </c>
      <c r="H73" t="s">
        <v>70</v>
      </c>
      <c r="I73" t="str">
        <f>_xlfn.XLOOKUP(Tabla1[[#This Row],[Dependencia]],Tabla2[Dependencia],Tabla2[Clasificación],"No indexado")</f>
        <v>Gobierno del estado</v>
      </c>
      <c r="J73" t="str">
        <f>_xlfn.XLOOKUP(Tabla1[[#This Row],[Dependencia]],Tabla3[Dependencia],Tabla3[Nivel],"otros",0)</f>
        <v>Gabinete</v>
      </c>
    </row>
    <row r="74" spans="1:10" x14ac:dyDescent="0.25">
      <c r="A74" s="5">
        <v>46196</v>
      </c>
      <c r="B74" t="s">
        <v>68</v>
      </c>
      <c r="C74" s="6" t="s">
        <v>200</v>
      </c>
      <c r="D74" t="s">
        <v>13</v>
      </c>
      <c r="E74" t="s">
        <v>10</v>
      </c>
      <c r="F74" t="s">
        <v>10</v>
      </c>
      <c r="G74" t="s">
        <v>201</v>
      </c>
      <c r="H74" t="s">
        <v>11</v>
      </c>
      <c r="I74" t="str">
        <f>_xlfn.XLOOKUP(Tabla1[[#This Row],[Dependencia]],Tabla2[Dependencia],Tabla2[Clasificación],"No indexado")</f>
        <v>Otros</v>
      </c>
      <c r="J74" t="str">
        <f>_xlfn.XLOOKUP(Tabla1[[#This Row],[Dependencia]],Tabla3[Dependencia],Tabla3[Nivel],"otros",0)</f>
        <v>otros</v>
      </c>
    </row>
    <row r="75" spans="1:10" x14ac:dyDescent="0.25">
      <c r="A75" s="5">
        <v>46196</v>
      </c>
      <c r="B75" t="s">
        <v>68</v>
      </c>
      <c r="C75" s="6" t="s">
        <v>202</v>
      </c>
      <c r="D75" t="s">
        <v>12</v>
      </c>
      <c r="E75" t="s">
        <v>16</v>
      </c>
      <c r="F75" t="s">
        <v>16</v>
      </c>
      <c r="G75" t="s">
        <v>203</v>
      </c>
      <c r="H75" t="s">
        <v>11</v>
      </c>
      <c r="I75" t="str">
        <f>_xlfn.XLOOKUP(Tabla1[[#This Row],[Dependencia]],Tabla2[Dependencia],Tabla2[Clasificación],"No indexado")</f>
        <v>Alcaldías</v>
      </c>
      <c r="J75" t="str">
        <f>_xlfn.XLOOKUP(Tabla1[[#This Row],[Dependencia]],Tabla3[Dependencia],Tabla3[Nivel],"otros",0)</f>
        <v>otros</v>
      </c>
    </row>
    <row r="76" spans="1:10" x14ac:dyDescent="0.25">
      <c r="A76" s="5">
        <v>46196</v>
      </c>
      <c r="B76" t="s">
        <v>68</v>
      </c>
      <c r="C76" s="6" t="s">
        <v>204</v>
      </c>
      <c r="D76" t="s">
        <v>9</v>
      </c>
      <c r="E76" t="s">
        <v>24</v>
      </c>
      <c r="F76" t="s">
        <v>24</v>
      </c>
      <c r="G76" t="s">
        <v>205</v>
      </c>
      <c r="H76" t="s">
        <v>69</v>
      </c>
      <c r="I76" t="str">
        <f>_xlfn.XLOOKUP(Tabla1[[#This Row],[Dependencia]],Tabla2[Dependencia],Tabla2[Clasificación],"No indexado")</f>
        <v>Gobierno del estado</v>
      </c>
      <c r="J76" t="str">
        <f>_xlfn.XLOOKUP(Tabla1[[#This Row],[Dependencia]],Tabla3[Dependencia],Tabla3[Nivel],"otros",0)</f>
        <v>Gobernador</v>
      </c>
    </row>
    <row r="77" spans="1:10" x14ac:dyDescent="0.25">
      <c r="A77" s="5">
        <v>46196</v>
      </c>
      <c r="B77" t="s">
        <v>68</v>
      </c>
      <c r="C77" s="6" t="s">
        <v>206</v>
      </c>
      <c r="D77" t="s">
        <v>12</v>
      </c>
      <c r="E77" t="s">
        <v>10</v>
      </c>
      <c r="F77" t="s">
        <v>10</v>
      </c>
      <c r="G77" t="s">
        <v>129</v>
      </c>
      <c r="H77" t="s">
        <v>11</v>
      </c>
      <c r="I77" t="str">
        <f>_xlfn.XLOOKUP(Tabla1[[#This Row],[Dependencia]],Tabla2[Dependencia],Tabla2[Clasificación],"No indexado")</f>
        <v>Otros</v>
      </c>
      <c r="J77" t="str">
        <f>_xlfn.XLOOKUP(Tabla1[[#This Row],[Dependencia]],Tabla3[Dependencia],Tabla3[Nivel],"otros",0)</f>
        <v>otros</v>
      </c>
    </row>
    <row r="78" spans="1:10" x14ac:dyDescent="0.25">
      <c r="A78" s="5">
        <v>46196</v>
      </c>
      <c r="B78" t="s">
        <v>68</v>
      </c>
      <c r="C78" s="6" t="s">
        <v>207</v>
      </c>
      <c r="D78" t="s">
        <v>12</v>
      </c>
      <c r="E78" t="s">
        <v>10</v>
      </c>
      <c r="F78" t="s">
        <v>10</v>
      </c>
      <c r="G78" t="s">
        <v>75</v>
      </c>
      <c r="H78" t="s">
        <v>11</v>
      </c>
      <c r="I78" t="str">
        <f>_xlfn.XLOOKUP(Tabla1[[#This Row],[Dependencia]],Tabla2[Dependencia],Tabla2[Clasificación],"No indexado")</f>
        <v>Otros</v>
      </c>
      <c r="J78" t="str">
        <f>_xlfn.XLOOKUP(Tabla1[[#This Row],[Dependencia]],Tabla3[Dependencia],Tabla3[Nivel],"otros",0)</f>
        <v>otros</v>
      </c>
    </row>
    <row r="79" spans="1:10" ht="30" x14ac:dyDescent="0.25">
      <c r="A79" s="5">
        <v>46196</v>
      </c>
      <c r="B79" t="s">
        <v>82</v>
      </c>
      <c r="C79" s="6" t="s">
        <v>208</v>
      </c>
      <c r="D79" t="s">
        <v>12</v>
      </c>
      <c r="E79" t="s">
        <v>16</v>
      </c>
      <c r="F79" t="s">
        <v>16</v>
      </c>
      <c r="G79" t="s">
        <v>209</v>
      </c>
      <c r="H79" t="s">
        <v>11</v>
      </c>
      <c r="I79" t="str">
        <f>_xlfn.XLOOKUP(Tabla1[[#This Row],[Dependencia]],Tabla2[Dependencia],Tabla2[Clasificación],"No indexado")</f>
        <v>Alcaldías</v>
      </c>
      <c r="J79" t="str">
        <f>_xlfn.XLOOKUP(Tabla1[[#This Row],[Dependencia]],Tabla3[Dependencia],Tabla3[Nivel],"otros",0)</f>
        <v>otros</v>
      </c>
    </row>
    <row r="80" spans="1:10" x14ac:dyDescent="0.25">
      <c r="A80" s="5">
        <v>46196</v>
      </c>
      <c r="B80" t="s">
        <v>82</v>
      </c>
      <c r="C80" s="6" t="s">
        <v>210</v>
      </c>
      <c r="D80" t="s">
        <v>9</v>
      </c>
      <c r="E80" t="s">
        <v>24</v>
      </c>
      <c r="F80" t="s">
        <v>24</v>
      </c>
      <c r="G80" t="s">
        <v>205</v>
      </c>
      <c r="H80" t="s">
        <v>69</v>
      </c>
      <c r="I80" t="str">
        <f>_xlfn.XLOOKUP(Tabla1[[#This Row],[Dependencia]],Tabla2[Dependencia],Tabla2[Clasificación],"No indexado")</f>
        <v>Gobierno del estado</v>
      </c>
      <c r="J80" t="str">
        <f>_xlfn.XLOOKUP(Tabla1[[#This Row],[Dependencia]],Tabla3[Dependencia],Tabla3[Nivel],"otros",0)</f>
        <v>Gobernador</v>
      </c>
    </row>
    <row r="81" spans="1:10" x14ac:dyDescent="0.25">
      <c r="A81" s="5">
        <v>46196</v>
      </c>
      <c r="B81" t="s">
        <v>82</v>
      </c>
      <c r="C81" s="6" t="s">
        <v>211</v>
      </c>
      <c r="D81" t="s">
        <v>12</v>
      </c>
      <c r="E81" t="s">
        <v>10</v>
      </c>
      <c r="F81" t="s">
        <v>212</v>
      </c>
      <c r="G81" t="s">
        <v>75</v>
      </c>
      <c r="H81" t="s">
        <v>11</v>
      </c>
      <c r="I81" t="str">
        <f>_xlfn.XLOOKUP(Tabla1[[#This Row],[Dependencia]],Tabla2[Dependencia],Tabla2[Clasificación],"No indexado")</f>
        <v>Otros</v>
      </c>
      <c r="J81" t="str">
        <f>_xlfn.XLOOKUP(Tabla1[[#This Row],[Dependencia]],Tabla3[Dependencia],Tabla3[Nivel],"otros",0)</f>
        <v>otros</v>
      </c>
    </row>
    <row r="82" spans="1:10" ht="30" x14ac:dyDescent="0.25">
      <c r="A82" s="5">
        <v>46196</v>
      </c>
      <c r="B82" t="s">
        <v>82</v>
      </c>
      <c r="C82" s="6" t="s">
        <v>213</v>
      </c>
      <c r="D82" t="s">
        <v>13</v>
      </c>
      <c r="E82" t="s">
        <v>138</v>
      </c>
      <c r="F82" t="s">
        <v>214</v>
      </c>
      <c r="G82" t="s">
        <v>215</v>
      </c>
      <c r="H82" t="s">
        <v>11</v>
      </c>
      <c r="I82" t="str">
        <f>_xlfn.XLOOKUP(Tabla1[[#This Row],[Dependencia]],Tabla2[Dependencia],Tabla2[Clasificación],"No indexado")</f>
        <v>Gobierno del estado</v>
      </c>
      <c r="J82" t="str">
        <f>_xlfn.XLOOKUP(Tabla1[[#This Row],[Dependencia]],Tabla3[Dependencia],Tabla3[Nivel],"otros",0)</f>
        <v>Gabinete</v>
      </c>
    </row>
    <row r="83" spans="1:10" ht="30" x14ac:dyDescent="0.25">
      <c r="A83" s="5">
        <v>46196</v>
      </c>
      <c r="B83" t="s">
        <v>82</v>
      </c>
      <c r="C83" s="6" t="s">
        <v>216</v>
      </c>
      <c r="D83" t="s">
        <v>12</v>
      </c>
      <c r="E83" t="s">
        <v>21</v>
      </c>
      <c r="F83" t="s">
        <v>21</v>
      </c>
      <c r="G83" t="s">
        <v>217</v>
      </c>
      <c r="H83" t="s">
        <v>11</v>
      </c>
      <c r="I83" t="str">
        <f>_xlfn.XLOOKUP(Tabla1[[#This Row],[Dependencia]],Tabla2[Dependencia],Tabla2[Clasificación],"No indexado")</f>
        <v>Gobierno del estado</v>
      </c>
      <c r="J83" t="str">
        <f>_xlfn.XLOOKUP(Tabla1[[#This Row],[Dependencia]],Tabla3[Dependencia],Tabla3[Nivel],"otros",0)</f>
        <v>Gabinete</v>
      </c>
    </row>
    <row r="84" spans="1:10" ht="30" x14ac:dyDescent="0.25">
      <c r="A84" s="5">
        <v>46196</v>
      </c>
      <c r="B84" t="s">
        <v>79</v>
      </c>
      <c r="C84" s="6" t="s">
        <v>218</v>
      </c>
      <c r="D84" t="s">
        <v>12</v>
      </c>
      <c r="E84" t="s">
        <v>24</v>
      </c>
      <c r="F84" t="s">
        <v>24</v>
      </c>
      <c r="G84" t="s">
        <v>205</v>
      </c>
      <c r="H84" t="s">
        <v>11</v>
      </c>
      <c r="I84" t="str">
        <f>_xlfn.XLOOKUP(Tabla1[[#This Row],[Dependencia]],Tabla2[Dependencia],Tabla2[Clasificación],"No indexado")</f>
        <v>Gobierno del estado</v>
      </c>
      <c r="J84" t="str">
        <f>_xlfn.XLOOKUP(Tabla1[[#This Row],[Dependencia]],Tabla3[Dependencia],Tabla3[Nivel],"otros",0)</f>
        <v>Gobernador</v>
      </c>
    </row>
    <row r="85" spans="1:10" ht="30" x14ac:dyDescent="0.25">
      <c r="A85" s="5">
        <v>46196</v>
      </c>
      <c r="B85" t="s">
        <v>79</v>
      </c>
      <c r="C85" s="6" t="s">
        <v>219</v>
      </c>
      <c r="D85" t="s">
        <v>12</v>
      </c>
      <c r="E85" t="s">
        <v>24</v>
      </c>
      <c r="F85" t="s">
        <v>24</v>
      </c>
      <c r="G85" t="s">
        <v>220</v>
      </c>
      <c r="H85" t="s">
        <v>11</v>
      </c>
      <c r="I85" t="str">
        <f>_xlfn.XLOOKUP(Tabla1[[#This Row],[Dependencia]],Tabla2[Dependencia],Tabla2[Clasificación],"No indexado")</f>
        <v>Gobierno del estado</v>
      </c>
      <c r="J85" t="str">
        <f>_xlfn.XLOOKUP(Tabla1[[#This Row],[Dependencia]],Tabla3[Dependencia],Tabla3[Nivel],"otros",0)</f>
        <v>Gobernador</v>
      </c>
    </row>
    <row r="86" spans="1:10" x14ac:dyDescent="0.25">
      <c r="A86" s="5">
        <v>46196</v>
      </c>
      <c r="B86" t="s">
        <v>79</v>
      </c>
      <c r="C86" s="6" t="s">
        <v>221</v>
      </c>
      <c r="D86" t="s">
        <v>12</v>
      </c>
      <c r="E86" t="s">
        <v>14</v>
      </c>
      <c r="F86" t="s">
        <v>14</v>
      </c>
      <c r="G86" t="s">
        <v>222</v>
      </c>
      <c r="H86" t="s">
        <v>70</v>
      </c>
      <c r="I86" t="str">
        <f>_xlfn.XLOOKUP(Tabla1[[#This Row],[Dependencia]],Tabla2[Dependencia],Tabla2[Clasificación],"No indexado")</f>
        <v>Presidencia de la República</v>
      </c>
      <c r="J86" t="str">
        <f>_xlfn.XLOOKUP(Tabla1[[#This Row],[Dependencia]],Tabla3[Dependencia],Tabla3[Nivel],"otros",0)</f>
        <v>otros</v>
      </c>
    </row>
    <row r="87" spans="1:10" x14ac:dyDescent="0.25">
      <c r="A87" s="5">
        <v>46196</v>
      </c>
      <c r="B87" t="s">
        <v>79</v>
      </c>
      <c r="C87" s="6" t="s">
        <v>223</v>
      </c>
      <c r="D87" t="s">
        <v>12</v>
      </c>
      <c r="E87" t="s">
        <v>10</v>
      </c>
      <c r="F87" t="s">
        <v>10</v>
      </c>
      <c r="G87" t="s">
        <v>75</v>
      </c>
      <c r="H87" t="s">
        <v>11</v>
      </c>
      <c r="I87" t="str">
        <f>_xlfn.XLOOKUP(Tabla1[[#This Row],[Dependencia]],Tabla2[Dependencia],Tabla2[Clasificación],"No indexado")</f>
        <v>Otros</v>
      </c>
      <c r="J87" t="str">
        <f>_xlfn.XLOOKUP(Tabla1[[#This Row],[Dependencia]],Tabla3[Dependencia],Tabla3[Nivel],"otros",0)</f>
        <v>otros</v>
      </c>
    </row>
    <row r="88" spans="1:10" x14ac:dyDescent="0.25">
      <c r="A88" s="5">
        <v>46196</v>
      </c>
      <c r="B88" t="s">
        <v>79</v>
      </c>
      <c r="C88" s="6" t="s">
        <v>224</v>
      </c>
      <c r="D88" t="s">
        <v>9</v>
      </c>
      <c r="E88" t="s">
        <v>10</v>
      </c>
      <c r="F88" t="s">
        <v>10</v>
      </c>
      <c r="G88" t="s">
        <v>225</v>
      </c>
      <c r="H88" t="s">
        <v>11</v>
      </c>
      <c r="I88" t="str">
        <f>_xlfn.XLOOKUP(Tabla1[[#This Row],[Dependencia]],Tabla2[Dependencia],Tabla2[Clasificación],"No indexado")</f>
        <v>Otros</v>
      </c>
      <c r="J88" t="str">
        <f>_xlfn.XLOOKUP(Tabla1[[#This Row],[Dependencia]],Tabla3[Dependencia],Tabla3[Nivel],"otros",0)</f>
        <v>otros</v>
      </c>
    </row>
    <row r="89" spans="1:10" x14ac:dyDescent="0.25">
      <c r="A89" s="5">
        <v>46196</v>
      </c>
      <c r="B89" t="s">
        <v>79</v>
      </c>
      <c r="C89" s="6" t="s">
        <v>226</v>
      </c>
      <c r="D89" t="s">
        <v>12</v>
      </c>
      <c r="E89" t="s">
        <v>10</v>
      </c>
      <c r="F89" t="s">
        <v>10</v>
      </c>
      <c r="G89" t="s">
        <v>75</v>
      </c>
      <c r="H89" t="s">
        <v>11</v>
      </c>
      <c r="I89" t="str">
        <f>_xlfn.XLOOKUP(Tabla1[[#This Row],[Dependencia]],Tabla2[Dependencia],Tabla2[Clasificación],"No indexado")</f>
        <v>Otros</v>
      </c>
      <c r="J89" t="str">
        <f>_xlfn.XLOOKUP(Tabla1[[#This Row],[Dependencia]],Tabla3[Dependencia],Tabla3[Nivel],"otros",0)</f>
        <v>otros</v>
      </c>
    </row>
    <row r="90" spans="1:10" x14ac:dyDescent="0.25">
      <c r="A90" s="5">
        <v>46196</v>
      </c>
      <c r="B90" t="s">
        <v>79</v>
      </c>
      <c r="C90" s="6" t="s">
        <v>227</v>
      </c>
      <c r="D90" t="s">
        <v>12</v>
      </c>
      <c r="E90" t="s">
        <v>15</v>
      </c>
      <c r="F90" t="s">
        <v>15</v>
      </c>
      <c r="G90" t="s">
        <v>228</v>
      </c>
      <c r="H90" t="s">
        <v>11</v>
      </c>
      <c r="I90" t="str">
        <f>_xlfn.XLOOKUP(Tabla1[[#This Row],[Dependencia]],Tabla2[Dependencia],Tabla2[Clasificación],"No indexado")</f>
        <v>Gobierno del estado</v>
      </c>
      <c r="J90" t="str">
        <f>_xlfn.XLOOKUP(Tabla1[[#This Row],[Dependencia]],Tabla3[Dependencia],Tabla3[Nivel],"otros",0)</f>
        <v>Gabinete</v>
      </c>
    </row>
    <row r="91" spans="1:10" ht="30" x14ac:dyDescent="0.25">
      <c r="A91" s="5">
        <v>46196</v>
      </c>
      <c r="B91" t="s">
        <v>67</v>
      </c>
      <c r="C91" s="6" t="s">
        <v>229</v>
      </c>
      <c r="D91" t="s">
        <v>12</v>
      </c>
      <c r="E91" t="s">
        <v>138</v>
      </c>
      <c r="F91" t="s">
        <v>214</v>
      </c>
      <c r="G91" t="s">
        <v>220</v>
      </c>
      <c r="H91" t="s">
        <v>11</v>
      </c>
      <c r="I91" t="str">
        <f>_xlfn.XLOOKUP(Tabla1[[#This Row],[Dependencia]],Tabla2[Dependencia],Tabla2[Clasificación],"No indexado")</f>
        <v>Gobierno del estado</v>
      </c>
      <c r="J91" t="str">
        <f>_xlfn.XLOOKUP(Tabla1[[#This Row],[Dependencia]],Tabla3[Dependencia],Tabla3[Nivel],"otros",0)</f>
        <v>Gabinete</v>
      </c>
    </row>
    <row r="92" spans="1:10" x14ac:dyDescent="0.25">
      <c r="A92" s="5">
        <v>46196</v>
      </c>
      <c r="B92" t="s">
        <v>67</v>
      </c>
      <c r="C92" s="6" t="s">
        <v>230</v>
      </c>
      <c r="D92" t="s">
        <v>12</v>
      </c>
      <c r="E92" t="s">
        <v>47</v>
      </c>
      <c r="F92" t="s">
        <v>47</v>
      </c>
      <c r="G92" t="s">
        <v>231</v>
      </c>
      <c r="H92" t="s">
        <v>11</v>
      </c>
      <c r="I92" t="str">
        <f>_xlfn.XLOOKUP(Tabla1[[#This Row],[Dependencia]],Tabla2[Dependencia],Tabla2[Clasificación],"No indexado")</f>
        <v>Gobierno del estado</v>
      </c>
      <c r="J92" t="str">
        <f>_xlfn.XLOOKUP(Tabla1[[#This Row],[Dependencia]],Tabla3[Dependencia],Tabla3[Nivel],"otros",0)</f>
        <v>Gabinete</v>
      </c>
    </row>
    <row r="93" spans="1:10" x14ac:dyDescent="0.25">
      <c r="A93" s="5">
        <v>46196</v>
      </c>
      <c r="B93" t="s">
        <v>67</v>
      </c>
      <c r="C93" s="6" t="s">
        <v>232</v>
      </c>
      <c r="D93" t="s">
        <v>12</v>
      </c>
      <c r="E93" t="s">
        <v>14</v>
      </c>
      <c r="F93" t="s">
        <v>233</v>
      </c>
      <c r="G93" t="s">
        <v>123</v>
      </c>
      <c r="H93" t="s">
        <v>11</v>
      </c>
      <c r="I93" t="str">
        <f>_xlfn.XLOOKUP(Tabla1[[#This Row],[Dependencia]],Tabla2[Dependencia],Tabla2[Clasificación],"No indexado")</f>
        <v>Presidencia de la República</v>
      </c>
      <c r="J93" t="str">
        <f>_xlfn.XLOOKUP(Tabla1[[#This Row],[Dependencia]],Tabla3[Dependencia],Tabla3[Nivel],"otros",0)</f>
        <v>otros</v>
      </c>
    </row>
    <row r="94" spans="1:10" ht="45" x14ac:dyDescent="0.25">
      <c r="A94" s="5">
        <v>46196</v>
      </c>
      <c r="B94" t="s">
        <v>67</v>
      </c>
      <c r="C94" s="6" t="s">
        <v>234</v>
      </c>
      <c r="D94" t="s">
        <v>9</v>
      </c>
      <c r="E94" t="s">
        <v>24</v>
      </c>
      <c r="F94" t="s">
        <v>24</v>
      </c>
      <c r="G94" t="s">
        <v>205</v>
      </c>
      <c r="H94" t="s">
        <v>69</v>
      </c>
      <c r="I94" t="str">
        <f>_xlfn.XLOOKUP(Tabla1[[#This Row],[Dependencia]],Tabla2[Dependencia],Tabla2[Clasificación],"No indexado")</f>
        <v>Gobierno del estado</v>
      </c>
      <c r="J94" t="str">
        <f>_xlfn.XLOOKUP(Tabla1[[#This Row],[Dependencia]],Tabla3[Dependencia],Tabla3[Nivel],"otros",0)</f>
        <v>Gobernador</v>
      </c>
    </row>
    <row r="95" spans="1:10" ht="30" x14ac:dyDescent="0.25">
      <c r="A95" s="5">
        <v>46196</v>
      </c>
      <c r="B95" t="s">
        <v>67</v>
      </c>
      <c r="C95" s="6" t="s">
        <v>235</v>
      </c>
      <c r="D95" t="s">
        <v>12</v>
      </c>
      <c r="E95" t="s">
        <v>10</v>
      </c>
      <c r="F95" t="s">
        <v>10</v>
      </c>
      <c r="G95" t="s">
        <v>236</v>
      </c>
      <c r="H95" t="s">
        <v>11</v>
      </c>
      <c r="I95" t="str">
        <f>_xlfn.XLOOKUP(Tabla1[[#This Row],[Dependencia]],Tabla2[Dependencia],Tabla2[Clasificación],"No indexado")</f>
        <v>Otros</v>
      </c>
      <c r="J95" t="str">
        <f>_xlfn.XLOOKUP(Tabla1[[#This Row],[Dependencia]],Tabla3[Dependencia],Tabla3[Nivel],"otros",0)</f>
        <v>otros</v>
      </c>
    </row>
    <row r="96" spans="1:10" ht="30" x14ac:dyDescent="0.25">
      <c r="A96" s="5">
        <v>46196</v>
      </c>
      <c r="B96" t="s">
        <v>67</v>
      </c>
      <c r="C96" s="6" t="s">
        <v>237</v>
      </c>
      <c r="D96" t="s">
        <v>12</v>
      </c>
      <c r="E96" t="s">
        <v>10</v>
      </c>
      <c r="F96" t="s">
        <v>10</v>
      </c>
      <c r="G96" t="s">
        <v>238</v>
      </c>
      <c r="H96" t="s">
        <v>11</v>
      </c>
      <c r="I96" t="str">
        <f>_xlfn.XLOOKUP(Tabla1[[#This Row],[Dependencia]],Tabla2[Dependencia],Tabla2[Clasificación],"No indexado")</f>
        <v>Otros</v>
      </c>
      <c r="J96" t="str">
        <f>_xlfn.XLOOKUP(Tabla1[[#This Row],[Dependencia]],Tabla3[Dependencia],Tabla3[Nivel],"otros",0)</f>
        <v>otros</v>
      </c>
    </row>
    <row r="97" spans="1:10" x14ac:dyDescent="0.25">
      <c r="A97" s="5">
        <v>46196</v>
      </c>
      <c r="B97" t="s">
        <v>67</v>
      </c>
      <c r="C97" s="6" t="s">
        <v>239</v>
      </c>
      <c r="D97" t="s">
        <v>12</v>
      </c>
      <c r="E97" t="s">
        <v>10</v>
      </c>
      <c r="F97" t="s">
        <v>10</v>
      </c>
      <c r="G97" t="s">
        <v>75</v>
      </c>
      <c r="H97" t="s">
        <v>11</v>
      </c>
      <c r="I97" t="str">
        <f>_xlfn.XLOOKUP(Tabla1[[#This Row],[Dependencia]],Tabla2[Dependencia],Tabla2[Clasificación],"No indexado")</f>
        <v>Otros</v>
      </c>
      <c r="J97" t="str">
        <f>_xlfn.XLOOKUP(Tabla1[[#This Row],[Dependencia]],Tabla3[Dependencia],Tabla3[Nivel],"otros",0)</f>
        <v>otros</v>
      </c>
    </row>
    <row r="98" spans="1:10" x14ac:dyDescent="0.25">
      <c r="A98" s="5">
        <v>46196</v>
      </c>
      <c r="B98" t="s">
        <v>67</v>
      </c>
      <c r="C98" s="6" t="s">
        <v>240</v>
      </c>
      <c r="D98" t="s">
        <v>12</v>
      </c>
      <c r="E98" t="s">
        <v>10</v>
      </c>
      <c r="F98" t="s">
        <v>10</v>
      </c>
      <c r="G98" t="s">
        <v>129</v>
      </c>
      <c r="H98" t="s">
        <v>11</v>
      </c>
      <c r="I98" t="str">
        <f>_xlfn.XLOOKUP(Tabla1[[#This Row],[Dependencia]],Tabla2[Dependencia],Tabla2[Clasificación],"No indexado")</f>
        <v>Otros</v>
      </c>
      <c r="J98" t="str">
        <f>_xlfn.XLOOKUP(Tabla1[[#This Row],[Dependencia]],Tabla3[Dependencia],Tabla3[Nivel],"otros",0)</f>
        <v>otros</v>
      </c>
    </row>
    <row r="99" spans="1:10" ht="30" x14ac:dyDescent="0.25">
      <c r="A99" s="5">
        <v>46196</v>
      </c>
      <c r="B99" t="s">
        <v>73</v>
      </c>
      <c r="C99" s="6" t="s">
        <v>241</v>
      </c>
      <c r="D99" t="s">
        <v>12</v>
      </c>
      <c r="E99" t="s">
        <v>20</v>
      </c>
      <c r="F99" t="s">
        <v>20</v>
      </c>
      <c r="G99" t="s">
        <v>85</v>
      </c>
      <c r="H99" t="s">
        <v>11</v>
      </c>
      <c r="I99" t="str">
        <f>_xlfn.XLOOKUP(Tabla1[[#This Row],[Dependencia]],Tabla2[Dependencia],Tabla2[Clasificación],"No indexado")</f>
        <v>Gobierno del estado</v>
      </c>
      <c r="J99" t="str">
        <f>_xlfn.XLOOKUP(Tabla1[[#This Row],[Dependencia]],Tabla3[Dependencia],Tabla3[Nivel],"otros",0)</f>
        <v>Gabinete</v>
      </c>
    </row>
    <row r="100" spans="1:10" ht="30" x14ac:dyDescent="0.25">
      <c r="A100" s="5">
        <v>46196</v>
      </c>
      <c r="B100" t="s">
        <v>73</v>
      </c>
      <c r="C100" s="6" t="s">
        <v>242</v>
      </c>
      <c r="D100" t="s">
        <v>13</v>
      </c>
      <c r="E100" t="s">
        <v>138</v>
      </c>
      <c r="F100" t="s">
        <v>214</v>
      </c>
      <c r="G100" t="s">
        <v>215</v>
      </c>
      <c r="H100" t="s">
        <v>11</v>
      </c>
      <c r="I100" t="str">
        <f>_xlfn.XLOOKUP(Tabla1[[#This Row],[Dependencia]],Tabla2[Dependencia],Tabla2[Clasificación],"No indexado")</f>
        <v>Gobierno del estado</v>
      </c>
      <c r="J100" t="str">
        <f>_xlfn.XLOOKUP(Tabla1[[#This Row],[Dependencia]],Tabla3[Dependencia],Tabla3[Nivel],"otros",0)</f>
        <v>Gabinete</v>
      </c>
    </row>
    <row r="101" spans="1:10" ht="30" x14ac:dyDescent="0.25">
      <c r="A101" s="5">
        <v>46196</v>
      </c>
      <c r="B101" t="s">
        <v>73</v>
      </c>
      <c r="C101" s="6" t="s">
        <v>243</v>
      </c>
      <c r="D101" t="s">
        <v>9</v>
      </c>
      <c r="E101" t="s">
        <v>24</v>
      </c>
      <c r="F101" t="s">
        <v>24</v>
      </c>
      <c r="G101" t="s">
        <v>205</v>
      </c>
      <c r="H101" t="s">
        <v>69</v>
      </c>
      <c r="I101" t="str">
        <f>_xlfn.XLOOKUP(Tabla1[[#This Row],[Dependencia]],Tabla2[Dependencia],Tabla2[Clasificación],"No indexado")</f>
        <v>Gobierno del estado</v>
      </c>
      <c r="J101" t="str">
        <f>_xlfn.XLOOKUP(Tabla1[[#This Row],[Dependencia]],Tabla3[Dependencia],Tabla3[Nivel],"otros",0)</f>
        <v>Gobernador</v>
      </c>
    </row>
    <row r="102" spans="1:10" x14ac:dyDescent="0.25">
      <c r="A102" s="5">
        <v>46196</v>
      </c>
      <c r="B102" t="s">
        <v>73</v>
      </c>
      <c r="C102" s="6" t="s">
        <v>244</v>
      </c>
      <c r="D102" t="s">
        <v>12</v>
      </c>
      <c r="E102" t="s">
        <v>14</v>
      </c>
      <c r="F102" t="s">
        <v>14</v>
      </c>
      <c r="G102" t="s">
        <v>75</v>
      </c>
      <c r="H102" t="s">
        <v>11</v>
      </c>
      <c r="I102" t="str">
        <f>_xlfn.XLOOKUP(Tabla1[[#This Row],[Dependencia]],Tabla2[Dependencia],Tabla2[Clasificación],"No indexado")</f>
        <v>Presidencia de la República</v>
      </c>
      <c r="J102" t="str">
        <f>_xlfn.XLOOKUP(Tabla1[[#This Row],[Dependencia]],Tabla3[Dependencia],Tabla3[Nivel],"otros",0)</f>
        <v>otros</v>
      </c>
    </row>
    <row r="103" spans="1:10" ht="90" x14ac:dyDescent="0.25">
      <c r="A103" s="5">
        <v>46196</v>
      </c>
      <c r="B103" t="s">
        <v>73</v>
      </c>
      <c r="C103" s="6" t="s">
        <v>245</v>
      </c>
      <c r="D103" t="s">
        <v>12</v>
      </c>
      <c r="E103" t="s">
        <v>10</v>
      </c>
      <c r="F103" t="s">
        <v>10</v>
      </c>
      <c r="G103" t="s">
        <v>75</v>
      </c>
      <c r="H103" t="s">
        <v>11</v>
      </c>
      <c r="I103" t="str">
        <f>_xlfn.XLOOKUP(Tabla1[[#This Row],[Dependencia]],Tabla2[Dependencia],Tabla2[Clasificación],"No indexado")</f>
        <v>Otros</v>
      </c>
      <c r="J103" t="str">
        <f>_xlfn.XLOOKUP(Tabla1[[#This Row],[Dependencia]],Tabla3[Dependencia],Tabla3[Nivel],"otros",0)</f>
        <v>otros</v>
      </c>
    </row>
    <row r="104" spans="1:10" ht="30" x14ac:dyDescent="0.25">
      <c r="A104" s="5">
        <v>46196</v>
      </c>
      <c r="B104" t="s">
        <v>72</v>
      </c>
      <c r="C104" s="6" t="s">
        <v>246</v>
      </c>
      <c r="D104" t="s">
        <v>13</v>
      </c>
      <c r="E104" t="s">
        <v>23</v>
      </c>
      <c r="F104" t="s">
        <v>247</v>
      </c>
      <c r="G104" t="s">
        <v>88</v>
      </c>
      <c r="H104" t="s">
        <v>11</v>
      </c>
      <c r="I104" t="str">
        <f>_xlfn.XLOOKUP(Tabla1[[#This Row],[Dependencia]],Tabla2[Dependencia],Tabla2[Clasificación],"No indexado")</f>
        <v>Gobierno del estado</v>
      </c>
      <c r="J104" t="str">
        <f>_xlfn.XLOOKUP(Tabla1[[#This Row],[Dependencia]],Tabla3[Dependencia],Tabla3[Nivel],"otros",0)</f>
        <v>Gabinete</v>
      </c>
    </row>
    <row r="105" spans="1:10" ht="30" x14ac:dyDescent="0.25">
      <c r="A105" s="5">
        <v>46196</v>
      </c>
      <c r="B105" t="s">
        <v>72</v>
      </c>
      <c r="C105" s="6" t="s">
        <v>248</v>
      </c>
      <c r="D105" t="s">
        <v>12</v>
      </c>
      <c r="E105" t="s">
        <v>24</v>
      </c>
      <c r="F105" t="s">
        <v>24</v>
      </c>
      <c r="G105" t="s">
        <v>205</v>
      </c>
      <c r="H105" t="s">
        <v>11</v>
      </c>
      <c r="I105" t="str">
        <f>_xlfn.XLOOKUP(Tabla1[[#This Row],[Dependencia]],Tabla2[Dependencia],Tabla2[Clasificación],"No indexado")</f>
        <v>Gobierno del estado</v>
      </c>
      <c r="J105" t="str">
        <f>_xlfn.XLOOKUP(Tabla1[[#This Row],[Dependencia]],Tabla3[Dependencia],Tabla3[Nivel],"otros",0)</f>
        <v>Gobernador</v>
      </c>
    </row>
    <row r="106" spans="1:10" ht="30" x14ac:dyDescent="0.25">
      <c r="A106" s="5">
        <v>46196</v>
      </c>
      <c r="B106" t="s">
        <v>72</v>
      </c>
      <c r="C106" s="6" t="s">
        <v>249</v>
      </c>
      <c r="D106" t="s">
        <v>12</v>
      </c>
      <c r="E106" t="s">
        <v>14</v>
      </c>
      <c r="F106" t="s">
        <v>89</v>
      </c>
      <c r="G106" t="s">
        <v>250</v>
      </c>
      <c r="H106" t="s">
        <v>11</v>
      </c>
      <c r="I106" t="str">
        <f>_xlfn.XLOOKUP(Tabla1[[#This Row],[Dependencia]],Tabla2[Dependencia],Tabla2[Clasificación],"No indexado")</f>
        <v>Presidencia de la República</v>
      </c>
      <c r="J106" t="str">
        <f>_xlfn.XLOOKUP(Tabla1[[#This Row],[Dependencia]],Tabla3[Dependencia],Tabla3[Nivel],"otros",0)</f>
        <v>otros</v>
      </c>
    </row>
    <row r="107" spans="1:10" ht="30" x14ac:dyDescent="0.25">
      <c r="A107" s="5">
        <v>46196</v>
      </c>
      <c r="B107" t="s">
        <v>72</v>
      </c>
      <c r="C107" s="6" t="s">
        <v>251</v>
      </c>
      <c r="D107" t="s">
        <v>12</v>
      </c>
      <c r="E107" t="s">
        <v>10</v>
      </c>
      <c r="F107" t="s">
        <v>10</v>
      </c>
      <c r="G107" t="s">
        <v>252</v>
      </c>
      <c r="H107" t="s">
        <v>11</v>
      </c>
      <c r="I107" t="str">
        <f>_xlfn.XLOOKUP(Tabla1[[#This Row],[Dependencia]],Tabla2[Dependencia],Tabla2[Clasificación],"No indexado")</f>
        <v>Otros</v>
      </c>
      <c r="J107" t="str">
        <f>_xlfn.XLOOKUP(Tabla1[[#This Row],[Dependencia]],Tabla3[Dependencia],Tabla3[Nivel],"otros",0)</f>
        <v>otros</v>
      </c>
    </row>
    <row r="108" spans="1:10" ht="30" x14ac:dyDescent="0.25">
      <c r="A108" s="5">
        <v>46196</v>
      </c>
      <c r="B108" t="s">
        <v>72</v>
      </c>
      <c r="C108" s="6" t="s">
        <v>253</v>
      </c>
      <c r="D108" t="s">
        <v>12</v>
      </c>
      <c r="E108" t="s">
        <v>21</v>
      </c>
      <c r="F108" t="s">
        <v>21</v>
      </c>
      <c r="G108" t="s">
        <v>217</v>
      </c>
      <c r="H108" t="s">
        <v>11</v>
      </c>
      <c r="I108" t="str">
        <f>_xlfn.XLOOKUP(Tabla1[[#This Row],[Dependencia]],Tabla2[Dependencia],Tabla2[Clasificación],"No indexado")</f>
        <v>Gobierno del estado</v>
      </c>
      <c r="J108" t="str">
        <f>_xlfn.XLOOKUP(Tabla1[[#This Row],[Dependencia]],Tabla3[Dependencia],Tabla3[Nivel],"otros",0)</f>
        <v>Gabinete</v>
      </c>
    </row>
    <row r="109" spans="1:10" ht="30" x14ac:dyDescent="0.25">
      <c r="A109" s="5">
        <v>46196</v>
      </c>
      <c r="B109" t="s">
        <v>71</v>
      </c>
      <c r="C109" s="6" t="s">
        <v>254</v>
      </c>
      <c r="D109" t="s">
        <v>12</v>
      </c>
      <c r="E109" t="s">
        <v>24</v>
      </c>
      <c r="F109" t="s">
        <v>24</v>
      </c>
      <c r="G109" t="s">
        <v>205</v>
      </c>
      <c r="H109" t="s">
        <v>11</v>
      </c>
      <c r="I109" t="str">
        <f>_xlfn.XLOOKUP(Tabla1[[#This Row],[Dependencia]],Tabla2[Dependencia],Tabla2[Clasificación],"No indexado")</f>
        <v>Gobierno del estado</v>
      </c>
      <c r="J109" t="str">
        <f>_xlfn.XLOOKUP(Tabla1[[#This Row],[Dependencia]],Tabla3[Dependencia],Tabla3[Nivel],"otros",0)</f>
        <v>Gobernador</v>
      </c>
    </row>
    <row r="110" spans="1:10" ht="30" x14ac:dyDescent="0.25">
      <c r="A110" s="5">
        <v>46196</v>
      </c>
      <c r="B110" t="s">
        <v>71</v>
      </c>
      <c r="C110" s="6" t="s">
        <v>255</v>
      </c>
      <c r="D110" t="s">
        <v>12</v>
      </c>
      <c r="E110" t="s">
        <v>16</v>
      </c>
      <c r="F110" t="s">
        <v>16</v>
      </c>
      <c r="G110" t="s">
        <v>256</v>
      </c>
      <c r="H110" t="s">
        <v>11</v>
      </c>
      <c r="I110" t="str">
        <f>_xlfn.XLOOKUP(Tabla1[[#This Row],[Dependencia]],Tabla2[Dependencia],Tabla2[Clasificación],"No indexado")</f>
        <v>Alcaldías</v>
      </c>
      <c r="J110" t="str">
        <f>_xlfn.XLOOKUP(Tabla1[[#This Row],[Dependencia]],Tabla3[Dependencia],Tabla3[Nivel],"otros",0)</f>
        <v>otros</v>
      </c>
    </row>
    <row r="111" spans="1:10" ht="30" x14ac:dyDescent="0.25">
      <c r="A111" s="5">
        <v>46196</v>
      </c>
      <c r="B111" t="s">
        <v>71</v>
      </c>
      <c r="C111" s="6" t="s">
        <v>257</v>
      </c>
      <c r="D111" t="s">
        <v>13</v>
      </c>
      <c r="E111" t="s">
        <v>10</v>
      </c>
      <c r="F111" t="s">
        <v>10</v>
      </c>
      <c r="G111" t="s">
        <v>258</v>
      </c>
      <c r="H111" t="s">
        <v>11</v>
      </c>
      <c r="I111" t="str">
        <f>_xlfn.XLOOKUP(Tabla1[[#This Row],[Dependencia]],Tabla2[Dependencia],Tabla2[Clasificación],"No indexado")</f>
        <v>Otros</v>
      </c>
      <c r="J111" t="str">
        <f>_xlfn.XLOOKUP(Tabla1[[#This Row],[Dependencia]],Tabla3[Dependencia],Tabla3[Nivel],"otros",0)</f>
        <v>otros</v>
      </c>
    </row>
    <row r="112" spans="1:10" ht="30" x14ac:dyDescent="0.25">
      <c r="A112" s="5">
        <v>46196</v>
      </c>
      <c r="B112" t="s">
        <v>71</v>
      </c>
      <c r="C112" s="6" t="s">
        <v>259</v>
      </c>
      <c r="D112" t="s">
        <v>12</v>
      </c>
      <c r="E112" t="s">
        <v>10</v>
      </c>
      <c r="F112" t="s">
        <v>10</v>
      </c>
      <c r="G112" t="s">
        <v>260</v>
      </c>
      <c r="H112" t="s">
        <v>11</v>
      </c>
      <c r="I112" t="str">
        <f>_xlfn.XLOOKUP(Tabla1[[#This Row],[Dependencia]],Tabla2[Dependencia],Tabla2[Clasificación],"No indexado")</f>
        <v>Otros</v>
      </c>
      <c r="J112" t="str">
        <f>_xlfn.XLOOKUP(Tabla1[[#This Row],[Dependencia]],Tabla3[Dependencia],Tabla3[Nivel],"otros",0)</f>
        <v>otros</v>
      </c>
    </row>
    <row r="113" spans="1:10" x14ac:dyDescent="0.25">
      <c r="A113" s="5">
        <v>46196</v>
      </c>
      <c r="B113" t="s">
        <v>71</v>
      </c>
      <c r="C113" s="6" t="s">
        <v>261</v>
      </c>
      <c r="D113" t="s">
        <v>12</v>
      </c>
      <c r="E113" t="s">
        <v>16</v>
      </c>
      <c r="F113" t="s">
        <v>16</v>
      </c>
      <c r="G113" t="s">
        <v>262</v>
      </c>
      <c r="H113" t="s">
        <v>11</v>
      </c>
      <c r="I113" t="str">
        <f>_xlfn.XLOOKUP(Tabla1[[#This Row],[Dependencia]],Tabla2[Dependencia],Tabla2[Clasificación],"No indexado")</f>
        <v>Alcaldías</v>
      </c>
      <c r="J113" t="str">
        <f>_xlfn.XLOOKUP(Tabla1[[#This Row],[Dependencia]],Tabla3[Dependencia],Tabla3[Nivel],"otros",0)</f>
        <v>otros</v>
      </c>
    </row>
    <row r="114" spans="1:10" ht="30" x14ac:dyDescent="0.25">
      <c r="A114" s="5">
        <v>46196</v>
      </c>
      <c r="B114" t="s">
        <v>76</v>
      </c>
      <c r="C114" s="6" t="s">
        <v>263</v>
      </c>
      <c r="D114" t="s">
        <v>13</v>
      </c>
      <c r="E114" t="s">
        <v>24</v>
      </c>
      <c r="F114" t="s">
        <v>24</v>
      </c>
      <c r="G114" t="s">
        <v>205</v>
      </c>
      <c r="H114" t="s">
        <v>69</v>
      </c>
      <c r="I114" t="str">
        <f>_xlfn.XLOOKUP(Tabla1[[#This Row],[Dependencia]],Tabla2[Dependencia],Tabla2[Clasificación],"No indexado")</f>
        <v>Gobierno del estado</v>
      </c>
      <c r="J114" t="str">
        <f>_xlfn.XLOOKUP(Tabla1[[#This Row],[Dependencia]],Tabla3[Dependencia],Tabla3[Nivel],"otros",0)</f>
        <v>Gobernador</v>
      </c>
    </row>
    <row r="115" spans="1:10" ht="30" x14ac:dyDescent="0.25">
      <c r="A115" s="5">
        <v>46196</v>
      </c>
      <c r="B115" t="s">
        <v>76</v>
      </c>
      <c r="C115" s="6" t="s">
        <v>264</v>
      </c>
      <c r="D115" t="s">
        <v>12</v>
      </c>
      <c r="E115" t="s">
        <v>26</v>
      </c>
      <c r="F115" t="s">
        <v>26</v>
      </c>
      <c r="G115" t="s">
        <v>265</v>
      </c>
      <c r="H115" t="s">
        <v>11</v>
      </c>
      <c r="I115" t="str">
        <f>_xlfn.XLOOKUP(Tabla1[[#This Row],[Dependencia]],Tabla2[Dependencia],Tabla2[Clasificación],"No indexado")</f>
        <v>Gobierno del estado</v>
      </c>
      <c r="J115" t="str">
        <f>_xlfn.XLOOKUP(Tabla1[[#This Row],[Dependencia]],Tabla3[Dependencia],Tabla3[Nivel],"otros",0)</f>
        <v>Gabinete</v>
      </c>
    </row>
    <row r="116" spans="1:10" x14ac:dyDescent="0.25">
      <c r="A116" s="5">
        <v>46196</v>
      </c>
      <c r="B116" t="s">
        <v>76</v>
      </c>
      <c r="C116" s="6" t="s">
        <v>266</v>
      </c>
      <c r="D116" t="s">
        <v>9</v>
      </c>
      <c r="E116" t="s">
        <v>20</v>
      </c>
      <c r="F116" t="s">
        <v>20</v>
      </c>
      <c r="G116" t="s">
        <v>85</v>
      </c>
      <c r="H116" t="s">
        <v>11</v>
      </c>
      <c r="I116" t="str">
        <f>_xlfn.XLOOKUP(Tabla1[[#This Row],[Dependencia]],Tabla2[Dependencia],Tabla2[Clasificación],"No indexado")</f>
        <v>Gobierno del estado</v>
      </c>
      <c r="J116" t="str">
        <f>_xlfn.XLOOKUP(Tabla1[[#This Row],[Dependencia]],Tabla3[Dependencia],Tabla3[Nivel],"otros",0)</f>
        <v>Gabinete</v>
      </c>
    </row>
    <row r="117" spans="1:10" x14ac:dyDescent="0.25">
      <c r="A117" s="5">
        <v>46196</v>
      </c>
      <c r="B117" t="s">
        <v>76</v>
      </c>
      <c r="C117" s="6" t="s">
        <v>267</v>
      </c>
      <c r="D117" t="s">
        <v>12</v>
      </c>
      <c r="E117" t="s">
        <v>22</v>
      </c>
      <c r="F117" t="s">
        <v>22</v>
      </c>
      <c r="G117" t="s">
        <v>268</v>
      </c>
      <c r="H117" t="s">
        <v>11</v>
      </c>
      <c r="I117" t="str">
        <f>_xlfn.XLOOKUP(Tabla1[[#This Row],[Dependencia]],Tabla2[Dependencia],Tabla2[Clasificación],"No indexado")</f>
        <v>Gobierno del estado</v>
      </c>
      <c r="J117" t="str">
        <f>_xlfn.XLOOKUP(Tabla1[[#This Row],[Dependencia]],Tabla3[Dependencia],Tabla3[Nivel],"otros",0)</f>
        <v>Gabinete</v>
      </c>
    </row>
    <row r="118" spans="1:10" ht="30" x14ac:dyDescent="0.25">
      <c r="A118" s="5">
        <v>46196</v>
      </c>
      <c r="B118" t="s">
        <v>76</v>
      </c>
      <c r="C118" s="6" t="s">
        <v>269</v>
      </c>
      <c r="D118" t="s">
        <v>12</v>
      </c>
      <c r="E118" t="s">
        <v>21</v>
      </c>
      <c r="F118" t="s">
        <v>21</v>
      </c>
      <c r="G118" t="s">
        <v>217</v>
      </c>
      <c r="H118" t="s">
        <v>11</v>
      </c>
      <c r="I118" t="str">
        <f>_xlfn.XLOOKUP(Tabla1[[#This Row],[Dependencia]],Tabla2[Dependencia],Tabla2[Clasificación],"No indexado")</f>
        <v>Gobierno del estado</v>
      </c>
      <c r="J118" t="str">
        <f>_xlfn.XLOOKUP(Tabla1[[#This Row],[Dependencia]],Tabla3[Dependencia],Tabla3[Nivel],"otros",0)</f>
        <v>Gabinete</v>
      </c>
    </row>
    <row r="119" spans="1:10" ht="30" x14ac:dyDescent="0.25">
      <c r="A119" s="5">
        <v>46196</v>
      </c>
      <c r="B119" t="s">
        <v>76</v>
      </c>
      <c r="C119" s="6" t="s">
        <v>270</v>
      </c>
      <c r="D119" t="s">
        <v>12</v>
      </c>
      <c r="E119" t="s">
        <v>138</v>
      </c>
      <c r="F119" t="s">
        <v>214</v>
      </c>
      <c r="G119" t="s">
        <v>215</v>
      </c>
      <c r="H119" t="s">
        <v>11</v>
      </c>
      <c r="I119" t="str">
        <f>_xlfn.XLOOKUP(Tabla1[[#This Row],[Dependencia]],Tabla2[Dependencia],Tabla2[Clasificación],"No indexado")</f>
        <v>Gobierno del estado</v>
      </c>
      <c r="J119" t="str">
        <f>_xlfn.XLOOKUP(Tabla1[[#This Row],[Dependencia]],Tabla3[Dependencia],Tabla3[Nivel],"otros",0)</f>
        <v>Gabinete</v>
      </c>
    </row>
    <row r="120" spans="1:10" ht="30" x14ac:dyDescent="0.25">
      <c r="A120" s="5">
        <v>46196</v>
      </c>
      <c r="B120" t="s">
        <v>170</v>
      </c>
      <c r="C120" s="6" t="s">
        <v>271</v>
      </c>
      <c r="D120" t="s">
        <v>12</v>
      </c>
      <c r="E120" t="s">
        <v>47</v>
      </c>
      <c r="F120" t="s">
        <v>47</v>
      </c>
      <c r="G120" t="s">
        <v>231</v>
      </c>
      <c r="H120" t="s">
        <v>11</v>
      </c>
      <c r="I120" t="str">
        <f>_xlfn.XLOOKUP(Tabla1[[#This Row],[Dependencia]],Tabla2[Dependencia],Tabla2[Clasificación],"No indexado")</f>
        <v>Gobierno del estado</v>
      </c>
      <c r="J120" t="str">
        <f>_xlfn.XLOOKUP(Tabla1[[#This Row],[Dependencia]],Tabla3[Dependencia],Tabla3[Nivel],"otros",0)</f>
        <v>Gabinete</v>
      </c>
    </row>
    <row r="121" spans="1:10" ht="45" x14ac:dyDescent="0.25">
      <c r="A121" s="5">
        <v>46196</v>
      </c>
      <c r="B121" t="s">
        <v>170</v>
      </c>
      <c r="C121" s="6" t="s">
        <v>272</v>
      </c>
      <c r="D121" t="s">
        <v>13</v>
      </c>
      <c r="E121" t="s">
        <v>24</v>
      </c>
      <c r="F121" t="s">
        <v>24</v>
      </c>
      <c r="G121" t="s">
        <v>205</v>
      </c>
      <c r="H121" t="s">
        <v>69</v>
      </c>
      <c r="I121" t="str">
        <f>_xlfn.XLOOKUP(Tabla1[[#This Row],[Dependencia]],Tabla2[Dependencia],Tabla2[Clasificación],"No indexado")</f>
        <v>Gobierno del estado</v>
      </c>
      <c r="J121" t="str">
        <f>_xlfn.XLOOKUP(Tabla1[[#This Row],[Dependencia]],Tabla3[Dependencia],Tabla3[Nivel],"otros",0)</f>
        <v>Gobernador</v>
      </c>
    </row>
    <row r="122" spans="1:10" ht="30" x14ac:dyDescent="0.25">
      <c r="A122" s="5">
        <v>46196</v>
      </c>
      <c r="B122" t="s">
        <v>170</v>
      </c>
      <c r="C122" s="6" t="s">
        <v>273</v>
      </c>
      <c r="D122" t="s">
        <v>12</v>
      </c>
      <c r="E122" t="s">
        <v>20</v>
      </c>
      <c r="F122" t="s">
        <v>20</v>
      </c>
      <c r="G122" t="s">
        <v>274</v>
      </c>
      <c r="H122" t="s">
        <v>11</v>
      </c>
      <c r="I122" t="str">
        <f>_xlfn.XLOOKUP(Tabla1[[#This Row],[Dependencia]],Tabla2[Dependencia],Tabla2[Clasificación],"No indexado")</f>
        <v>Gobierno del estado</v>
      </c>
      <c r="J122" t="str">
        <f>_xlfn.XLOOKUP(Tabla1[[#This Row],[Dependencia]],Tabla3[Dependencia],Tabla3[Nivel],"otros",0)</f>
        <v>Gabinete</v>
      </c>
    </row>
    <row r="123" spans="1:10" ht="30" x14ac:dyDescent="0.25">
      <c r="A123" s="5">
        <v>46196</v>
      </c>
      <c r="B123" t="s">
        <v>170</v>
      </c>
      <c r="C123" s="6" t="s">
        <v>275</v>
      </c>
      <c r="D123" t="s">
        <v>12</v>
      </c>
      <c r="E123" t="s">
        <v>14</v>
      </c>
      <c r="F123" t="s">
        <v>276</v>
      </c>
      <c r="G123" t="s">
        <v>277</v>
      </c>
      <c r="H123" t="s">
        <v>69</v>
      </c>
      <c r="I123" t="str">
        <f>_xlfn.XLOOKUP(Tabla1[[#This Row],[Dependencia]],Tabla2[Dependencia],Tabla2[Clasificación],"No indexado")</f>
        <v>Presidencia de la República</v>
      </c>
      <c r="J123" t="str">
        <f>_xlfn.XLOOKUP(Tabla1[[#This Row],[Dependencia]],Tabla3[Dependencia],Tabla3[Nivel],"otros",0)</f>
        <v>otros</v>
      </c>
    </row>
    <row r="124" spans="1:10" ht="30" x14ac:dyDescent="0.25">
      <c r="A124" s="5">
        <v>46196</v>
      </c>
      <c r="B124" t="s">
        <v>170</v>
      </c>
      <c r="C124" s="6" t="s">
        <v>278</v>
      </c>
      <c r="D124" t="s">
        <v>12</v>
      </c>
      <c r="E124" t="s">
        <v>24</v>
      </c>
      <c r="F124" t="s">
        <v>24</v>
      </c>
      <c r="G124" t="s">
        <v>279</v>
      </c>
      <c r="H124" t="s">
        <v>11</v>
      </c>
      <c r="I124" t="str">
        <f>_xlfn.XLOOKUP(Tabla1[[#This Row],[Dependencia]],Tabla2[Dependencia],Tabla2[Clasificación],"No indexado")</f>
        <v>Gobierno del estado</v>
      </c>
      <c r="J124" t="str">
        <f>_xlfn.XLOOKUP(Tabla1[[#This Row],[Dependencia]],Tabla3[Dependencia],Tabla3[Nivel],"otros",0)</f>
        <v>Gobernador</v>
      </c>
    </row>
    <row r="125" spans="1:10" x14ac:dyDescent="0.25">
      <c r="A125" s="5">
        <v>46196</v>
      </c>
      <c r="B125" t="s">
        <v>170</v>
      </c>
      <c r="C125" s="6" t="s">
        <v>280</v>
      </c>
      <c r="D125" t="s">
        <v>12</v>
      </c>
      <c r="E125" t="s">
        <v>16</v>
      </c>
      <c r="F125" t="s">
        <v>16</v>
      </c>
      <c r="G125" t="s">
        <v>281</v>
      </c>
      <c r="H125" t="s">
        <v>11</v>
      </c>
      <c r="I125" t="str">
        <f>_xlfn.XLOOKUP(Tabla1[[#This Row],[Dependencia]],Tabla2[Dependencia],Tabla2[Clasificación],"No indexado")</f>
        <v>Alcaldías</v>
      </c>
      <c r="J125" t="str">
        <f>_xlfn.XLOOKUP(Tabla1[[#This Row],[Dependencia]],Tabla3[Dependencia],Tabla3[Nivel],"otros",0)</f>
        <v>otros</v>
      </c>
    </row>
    <row r="126" spans="1:10" ht="30" x14ac:dyDescent="0.25">
      <c r="A126" s="5">
        <v>46196</v>
      </c>
      <c r="B126" t="s">
        <v>170</v>
      </c>
      <c r="C126" s="6" t="s">
        <v>282</v>
      </c>
      <c r="D126" t="s">
        <v>12</v>
      </c>
      <c r="E126" t="s">
        <v>16</v>
      </c>
      <c r="F126" t="s">
        <v>16</v>
      </c>
      <c r="G126" t="s">
        <v>283</v>
      </c>
      <c r="H126" t="s">
        <v>11</v>
      </c>
      <c r="I126" t="str">
        <f>_xlfn.XLOOKUP(Tabla1[[#This Row],[Dependencia]],Tabla2[Dependencia],Tabla2[Clasificación],"No indexado")</f>
        <v>Alcaldías</v>
      </c>
      <c r="J126" t="str">
        <f>_xlfn.XLOOKUP(Tabla1[[#This Row],[Dependencia]],Tabla3[Dependencia],Tabla3[Nivel],"otros",0)</f>
        <v>otros</v>
      </c>
    </row>
    <row r="127" spans="1:10" ht="30" x14ac:dyDescent="0.25">
      <c r="A127" s="5">
        <v>46196</v>
      </c>
      <c r="B127" t="s">
        <v>170</v>
      </c>
      <c r="C127" s="6" t="s">
        <v>284</v>
      </c>
      <c r="D127" t="s">
        <v>12</v>
      </c>
      <c r="E127" t="s">
        <v>19</v>
      </c>
      <c r="F127" t="s">
        <v>285</v>
      </c>
      <c r="G127" t="s">
        <v>286</v>
      </c>
      <c r="H127" t="s">
        <v>11</v>
      </c>
      <c r="I127" t="str">
        <f>_xlfn.XLOOKUP(Tabla1[[#This Row],[Dependencia]],Tabla2[Dependencia],Tabla2[Clasificación],"No indexado")</f>
        <v>Gobierno del estado</v>
      </c>
      <c r="J127" t="str">
        <f>_xlfn.XLOOKUP(Tabla1[[#This Row],[Dependencia]],Tabla3[Dependencia],Tabla3[Nivel],"otros",0)</f>
        <v>Gabinete</v>
      </c>
    </row>
    <row r="128" spans="1:10" x14ac:dyDescent="0.25">
      <c r="A128" s="5">
        <v>46196</v>
      </c>
      <c r="B128" t="s">
        <v>170</v>
      </c>
      <c r="C128" s="6" t="s">
        <v>287</v>
      </c>
      <c r="D128" t="s">
        <v>12</v>
      </c>
      <c r="E128" t="s">
        <v>59</v>
      </c>
      <c r="F128" t="s">
        <v>59</v>
      </c>
      <c r="G128" t="s">
        <v>288</v>
      </c>
      <c r="H128" t="s">
        <v>11</v>
      </c>
      <c r="I128" t="str">
        <f>_xlfn.XLOOKUP(Tabla1[[#This Row],[Dependencia]],Tabla2[Dependencia],Tabla2[Clasificación],"No indexado")</f>
        <v>Otros</v>
      </c>
      <c r="J128" t="str">
        <f>_xlfn.XLOOKUP(Tabla1[[#This Row],[Dependencia]],Tabla3[Dependencia],Tabla3[Nivel],"otros",0)</f>
        <v>otros</v>
      </c>
    </row>
    <row r="129" spans="1:10" ht="30" x14ac:dyDescent="0.25">
      <c r="A129" s="5">
        <v>46196</v>
      </c>
      <c r="B129" t="s">
        <v>170</v>
      </c>
      <c r="C129" s="6" t="s">
        <v>289</v>
      </c>
      <c r="D129" t="s">
        <v>12</v>
      </c>
      <c r="E129" t="s">
        <v>16</v>
      </c>
      <c r="F129" t="s">
        <v>16</v>
      </c>
      <c r="G129" t="s">
        <v>290</v>
      </c>
      <c r="H129" t="s">
        <v>11</v>
      </c>
      <c r="I129" t="str">
        <f>_xlfn.XLOOKUP(Tabla1[[#This Row],[Dependencia]],Tabla2[Dependencia],Tabla2[Clasificación],"No indexado")</f>
        <v>Alcaldías</v>
      </c>
      <c r="J129" t="str">
        <f>_xlfn.XLOOKUP(Tabla1[[#This Row],[Dependencia]],Tabla3[Dependencia],Tabla3[Nivel],"otros",0)</f>
        <v>otros</v>
      </c>
    </row>
    <row r="130" spans="1:10" x14ac:dyDescent="0.25">
      <c r="A130" s="5">
        <v>46196</v>
      </c>
      <c r="B130" t="s">
        <v>170</v>
      </c>
      <c r="C130" s="6" t="s">
        <v>291</v>
      </c>
      <c r="D130" t="s">
        <v>80</v>
      </c>
      <c r="E130" t="s">
        <v>22</v>
      </c>
      <c r="F130" t="s">
        <v>22</v>
      </c>
      <c r="G130" t="s">
        <v>292</v>
      </c>
      <c r="H130" t="s">
        <v>11</v>
      </c>
      <c r="I130" t="str">
        <f>_xlfn.XLOOKUP(Tabla1[[#This Row],[Dependencia]],Tabla2[Dependencia],Tabla2[Clasificación],"No indexado")</f>
        <v>Gobierno del estado</v>
      </c>
      <c r="J130" t="str">
        <f>_xlfn.XLOOKUP(Tabla1[[#This Row],[Dependencia]],Tabla3[Dependencia],Tabla3[Nivel],"otros",0)</f>
        <v>Gabinete</v>
      </c>
    </row>
    <row r="131" spans="1:10" ht="30" x14ac:dyDescent="0.25">
      <c r="A131" s="5">
        <v>46196</v>
      </c>
      <c r="B131" t="s">
        <v>293</v>
      </c>
      <c r="C131" s="6" t="s">
        <v>294</v>
      </c>
      <c r="D131" t="s">
        <v>13</v>
      </c>
      <c r="E131" t="s">
        <v>24</v>
      </c>
      <c r="F131" t="s">
        <v>24</v>
      </c>
      <c r="G131" t="s">
        <v>205</v>
      </c>
      <c r="H131" t="s">
        <v>69</v>
      </c>
      <c r="I131" t="str">
        <f>_xlfn.XLOOKUP(Tabla1[[#This Row],[Dependencia]],Tabla2[Dependencia],Tabla2[Clasificación],"No indexado")</f>
        <v>Gobierno del estado</v>
      </c>
      <c r="J131" t="str">
        <f>_xlfn.XLOOKUP(Tabla1[[#This Row],[Dependencia]],Tabla3[Dependencia],Tabla3[Nivel],"otros",0)</f>
        <v>Gobernador</v>
      </c>
    </row>
    <row r="132" spans="1:10" x14ac:dyDescent="0.25">
      <c r="A132" s="5">
        <v>46196</v>
      </c>
      <c r="B132" t="s">
        <v>293</v>
      </c>
      <c r="C132" s="6" t="s">
        <v>295</v>
      </c>
      <c r="D132" t="s">
        <v>12</v>
      </c>
      <c r="E132" t="s">
        <v>23</v>
      </c>
      <c r="F132" t="s">
        <v>247</v>
      </c>
      <c r="G132" t="s">
        <v>296</v>
      </c>
      <c r="H132" t="s">
        <v>11</v>
      </c>
      <c r="I132" t="str">
        <f>_xlfn.XLOOKUP(Tabla1[[#This Row],[Dependencia]],Tabla2[Dependencia],Tabla2[Clasificación],"No indexado")</f>
        <v>Gobierno del estado</v>
      </c>
      <c r="J132" t="str">
        <f>_xlfn.XLOOKUP(Tabla1[[#This Row],[Dependencia]],Tabla3[Dependencia],Tabla3[Nivel],"otros",0)</f>
        <v>Gabinete</v>
      </c>
    </row>
    <row r="133" spans="1:10" ht="30" x14ac:dyDescent="0.25">
      <c r="A133" s="5">
        <v>46196</v>
      </c>
      <c r="B133" t="s">
        <v>293</v>
      </c>
      <c r="C133" s="6" t="s">
        <v>297</v>
      </c>
      <c r="D133" t="s">
        <v>12</v>
      </c>
      <c r="E133" t="s">
        <v>16</v>
      </c>
      <c r="F133" t="s">
        <v>148</v>
      </c>
      <c r="G133" t="s">
        <v>298</v>
      </c>
      <c r="H133" t="s">
        <v>11</v>
      </c>
      <c r="I133" t="str">
        <f>_xlfn.XLOOKUP(Tabla1[[#This Row],[Dependencia]],Tabla2[Dependencia],Tabla2[Clasificación],"No indexado")</f>
        <v>Alcaldías</v>
      </c>
      <c r="J133" t="str">
        <f>_xlfn.XLOOKUP(Tabla1[[#This Row],[Dependencia]],Tabla3[Dependencia],Tabla3[Nivel],"otros",0)</f>
        <v>otros</v>
      </c>
    </row>
    <row r="134" spans="1:10" ht="30" x14ac:dyDescent="0.25">
      <c r="A134" s="5">
        <v>46196</v>
      </c>
      <c r="B134" t="s">
        <v>293</v>
      </c>
      <c r="C134" s="6" t="s">
        <v>299</v>
      </c>
      <c r="D134" t="s">
        <v>12</v>
      </c>
      <c r="E134" t="s">
        <v>26</v>
      </c>
      <c r="F134" t="s">
        <v>2</v>
      </c>
      <c r="G134" t="s">
        <v>300</v>
      </c>
      <c r="H134" t="s">
        <v>11</v>
      </c>
      <c r="I134" t="str">
        <f>_xlfn.XLOOKUP(Tabla1[[#This Row],[Dependencia]],Tabla2[Dependencia],Tabla2[Clasificación],"No indexado")</f>
        <v>Gobierno del estado</v>
      </c>
      <c r="J134" t="str">
        <f>_xlfn.XLOOKUP(Tabla1[[#This Row],[Dependencia]],Tabla3[Dependencia],Tabla3[Nivel],"otros",0)</f>
        <v>Gabinete</v>
      </c>
    </row>
    <row r="135" spans="1:10" ht="30" x14ac:dyDescent="0.25">
      <c r="A135" s="5">
        <v>46196</v>
      </c>
      <c r="B135" t="s">
        <v>293</v>
      </c>
      <c r="C135" s="6" t="s">
        <v>301</v>
      </c>
      <c r="D135" t="s">
        <v>12</v>
      </c>
      <c r="E135" t="s">
        <v>22</v>
      </c>
      <c r="F135" t="s">
        <v>22</v>
      </c>
      <c r="G135" t="s">
        <v>268</v>
      </c>
      <c r="H135" t="s">
        <v>11</v>
      </c>
      <c r="I135" t="str">
        <f>_xlfn.XLOOKUP(Tabla1[[#This Row],[Dependencia]],Tabla2[Dependencia],Tabla2[Clasificación],"No indexado")</f>
        <v>Gobierno del estado</v>
      </c>
      <c r="J135" t="str">
        <f>_xlfn.XLOOKUP(Tabla1[[#This Row],[Dependencia]],Tabla3[Dependencia],Tabla3[Nivel],"otros",0)</f>
        <v>Gabinete</v>
      </c>
    </row>
    <row r="136" spans="1:10" x14ac:dyDescent="0.25">
      <c r="A136" s="5">
        <v>46196</v>
      </c>
      <c r="B136" t="s">
        <v>293</v>
      </c>
      <c r="C136" s="6" t="s">
        <v>91</v>
      </c>
      <c r="D136" t="s">
        <v>80</v>
      </c>
      <c r="E136" t="s">
        <v>16</v>
      </c>
      <c r="F136" t="s">
        <v>16</v>
      </c>
      <c r="G136" t="s">
        <v>84</v>
      </c>
      <c r="H136" t="s">
        <v>11</v>
      </c>
      <c r="I136" t="str">
        <f>_xlfn.XLOOKUP(Tabla1[[#This Row],[Dependencia]],Tabla2[Dependencia],Tabla2[Clasificación],"No indexado")</f>
        <v>Alcaldías</v>
      </c>
      <c r="J136" t="str">
        <f>_xlfn.XLOOKUP(Tabla1[[#This Row],[Dependencia]],Tabla3[Dependencia],Tabla3[Nivel],"otros",0)</f>
        <v>otros</v>
      </c>
    </row>
    <row r="137" spans="1:10" x14ac:dyDescent="0.25">
      <c r="A137" s="5">
        <v>46196</v>
      </c>
      <c r="B137" t="s">
        <v>293</v>
      </c>
      <c r="C137" s="6" t="s">
        <v>302</v>
      </c>
      <c r="D137" t="s">
        <v>80</v>
      </c>
      <c r="E137" t="s">
        <v>26</v>
      </c>
      <c r="F137" t="s">
        <v>158</v>
      </c>
      <c r="G137" t="s">
        <v>303</v>
      </c>
      <c r="H137" t="s">
        <v>11</v>
      </c>
      <c r="I137" t="str">
        <f>_xlfn.XLOOKUP(Tabla1[[#This Row],[Dependencia]],Tabla2[Dependencia],Tabla2[Clasificación],"No indexado")</f>
        <v>Gobierno del estado</v>
      </c>
      <c r="J137" t="str">
        <f>_xlfn.XLOOKUP(Tabla1[[#This Row],[Dependencia]],Tabla3[Dependencia],Tabla3[Nivel],"otros",0)</f>
        <v>Gabinete</v>
      </c>
    </row>
    <row r="138" spans="1:10" ht="30" x14ac:dyDescent="0.25">
      <c r="A138" s="5">
        <v>46196</v>
      </c>
      <c r="B138" t="s">
        <v>78</v>
      </c>
      <c r="C138" s="6" t="s">
        <v>304</v>
      </c>
      <c r="D138" t="s">
        <v>13</v>
      </c>
      <c r="E138" t="s">
        <v>22</v>
      </c>
      <c r="F138" t="s">
        <v>22</v>
      </c>
      <c r="G138" t="s">
        <v>268</v>
      </c>
      <c r="H138" t="s">
        <v>11</v>
      </c>
      <c r="I138" t="str">
        <f>_xlfn.XLOOKUP(Tabla1[[#This Row],[Dependencia]],Tabla2[Dependencia],Tabla2[Clasificación],"No indexado")</f>
        <v>Gobierno del estado</v>
      </c>
      <c r="J138" t="str">
        <f>_xlfn.XLOOKUP(Tabla1[[#This Row],[Dependencia]],Tabla3[Dependencia],Tabla3[Nivel],"otros",0)</f>
        <v>Gabinete</v>
      </c>
    </row>
    <row r="139" spans="1:10" x14ac:dyDescent="0.25">
      <c r="A139" s="5">
        <v>46196</v>
      </c>
      <c r="B139" t="s">
        <v>78</v>
      </c>
      <c r="C139" s="6" t="s">
        <v>305</v>
      </c>
      <c r="D139" t="s">
        <v>12</v>
      </c>
      <c r="E139" t="s">
        <v>10</v>
      </c>
      <c r="F139" t="s">
        <v>10</v>
      </c>
      <c r="G139" t="s">
        <v>86</v>
      </c>
      <c r="H139" t="s">
        <v>11</v>
      </c>
      <c r="I139" t="str">
        <f>_xlfn.XLOOKUP(Tabla1[[#This Row],[Dependencia]],Tabla2[Dependencia],Tabla2[Clasificación],"No indexado")</f>
        <v>Otros</v>
      </c>
      <c r="J139" t="str">
        <f>_xlfn.XLOOKUP(Tabla1[[#This Row],[Dependencia]],Tabla3[Dependencia],Tabla3[Nivel],"otros",0)</f>
        <v>otros</v>
      </c>
    </row>
    <row r="140" spans="1:10" ht="75" x14ac:dyDescent="0.25">
      <c r="A140" s="5">
        <v>46196</v>
      </c>
      <c r="B140" t="s">
        <v>78</v>
      </c>
      <c r="C140" s="6" t="s">
        <v>306</v>
      </c>
      <c r="D140" t="s">
        <v>92</v>
      </c>
      <c r="E140" t="s">
        <v>26</v>
      </c>
      <c r="F140" t="s">
        <v>307</v>
      </c>
      <c r="G140" t="s">
        <v>308</v>
      </c>
      <c r="H140" t="s">
        <v>69</v>
      </c>
      <c r="I140" t="str">
        <f>_xlfn.XLOOKUP(Tabla1[[#This Row],[Dependencia]],Tabla2[Dependencia],Tabla2[Clasificación],"No indexado")</f>
        <v>Gobierno del estado</v>
      </c>
      <c r="J140" t="str">
        <f>_xlfn.XLOOKUP(Tabla1[[#This Row],[Dependencia]],Tabla3[Dependencia],Tabla3[Nivel],"otros",0)</f>
        <v>Gabinete</v>
      </c>
    </row>
    <row r="141" spans="1:10" x14ac:dyDescent="0.25">
      <c r="A141" s="5">
        <v>46196</v>
      </c>
      <c r="B141" t="s">
        <v>78</v>
      </c>
      <c r="C141" s="6" t="s">
        <v>309</v>
      </c>
      <c r="D141" t="s">
        <v>9</v>
      </c>
      <c r="E141" t="s">
        <v>24</v>
      </c>
      <c r="F141" t="s">
        <v>24</v>
      </c>
      <c r="G141" t="s">
        <v>205</v>
      </c>
      <c r="H141" t="s">
        <v>69</v>
      </c>
      <c r="I141" t="str">
        <f>_xlfn.XLOOKUP(Tabla1[[#This Row],[Dependencia]],Tabla2[Dependencia],Tabla2[Clasificación],"No indexado")</f>
        <v>Gobierno del estado</v>
      </c>
      <c r="J141" t="str">
        <f>_xlfn.XLOOKUP(Tabla1[[#This Row],[Dependencia]],Tabla3[Dependencia],Tabla3[Nivel],"otros",0)</f>
        <v>Gobernador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51DEFD-FF29-4969-B1FC-DF47C7CD743C}">
  <dimension ref="A1:E48"/>
  <sheetViews>
    <sheetView workbookViewId="0">
      <selection activeCell="D4" sqref="D4"/>
    </sheetView>
  </sheetViews>
  <sheetFormatPr baseColWidth="10" defaultRowHeight="15" x14ac:dyDescent="0.25"/>
  <cols>
    <col min="1" max="1" width="20.85546875" bestFit="1" customWidth="1"/>
    <col min="2" max="2" width="25.7109375" bestFit="1" customWidth="1"/>
    <col min="4" max="4" width="15.140625" customWidth="1"/>
  </cols>
  <sheetData>
    <row r="1" spans="1:5" x14ac:dyDescent="0.25">
      <c r="A1" t="s">
        <v>4</v>
      </c>
      <c r="B1" t="s">
        <v>30</v>
      </c>
      <c r="D1" s="8" t="s">
        <v>4</v>
      </c>
      <c r="E1" t="s">
        <v>65</v>
      </c>
    </row>
    <row r="2" spans="1:5" x14ac:dyDescent="0.25">
      <c r="A2" t="s">
        <v>61</v>
      </c>
      <c r="B2" t="s">
        <v>62</v>
      </c>
      <c r="D2" s="10" t="s">
        <v>19</v>
      </c>
      <c r="E2" t="s">
        <v>66</v>
      </c>
    </row>
    <row r="3" spans="1:5" x14ac:dyDescent="0.25">
      <c r="A3" t="s">
        <v>16</v>
      </c>
      <c r="B3" t="s">
        <v>31</v>
      </c>
      <c r="D3" s="9" t="s">
        <v>74</v>
      </c>
      <c r="E3" t="s">
        <v>66</v>
      </c>
    </row>
    <row r="4" spans="1:5" x14ac:dyDescent="0.25">
      <c r="A4" t="s">
        <v>19</v>
      </c>
      <c r="B4" t="s">
        <v>32</v>
      </c>
      <c r="D4" s="9" t="s">
        <v>34</v>
      </c>
      <c r="E4" t="s">
        <v>66</v>
      </c>
    </row>
    <row r="5" spans="1:5" x14ac:dyDescent="0.25">
      <c r="A5" t="s">
        <v>60</v>
      </c>
      <c r="B5" t="s">
        <v>10</v>
      </c>
      <c r="D5" s="10" t="s">
        <v>28</v>
      </c>
      <c r="E5" t="s">
        <v>66</v>
      </c>
    </row>
    <row r="6" spans="1:5" x14ac:dyDescent="0.25">
      <c r="A6" t="s">
        <v>74</v>
      </c>
      <c r="B6" t="s">
        <v>32</v>
      </c>
      <c r="D6" s="10" t="s">
        <v>35</v>
      </c>
      <c r="E6" t="s">
        <v>66</v>
      </c>
    </row>
    <row r="7" spans="1:5" x14ac:dyDescent="0.25">
      <c r="A7" t="s">
        <v>33</v>
      </c>
      <c r="B7" t="s">
        <v>10</v>
      </c>
      <c r="D7" s="9" t="s">
        <v>36</v>
      </c>
      <c r="E7" t="s">
        <v>66</v>
      </c>
    </row>
    <row r="8" spans="1:5" x14ac:dyDescent="0.25">
      <c r="A8" t="s">
        <v>34</v>
      </c>
      <c r="B8" t="s">
        <v>32</v>
      </c>
      <c r="D8" s="9" t="s">
        <v>36</v>
      </c>
      <c r="E8" t="s">
        <v>66</v>
      </c>
    </row>
    <row r="9" spans="1:5" x14ac:dyDescent="0.25">
      <c r="A9" t="s">
        <v>28</v>
      </c>
      <c r="B9" t="s">
        <v>32</v>
      </c>
      <c r="D9" s="9" t="s">
        <v>37</v>
      </c>
      <c r="E9" t="s">
        <v>66</v>
      </c>
    </row>
    <row r="10" spans="1:5" x14ac:dyDescent="0.25">
      <c r="A10" t="s">
        <v>25</v>
      </c>
      <c r="B10" t="s">
        <v>10</v>
      </c>
      <c r="D10" s="10" t="s">
        <v>24</v>
      </c>
      <c r="E10" t="s">
        <v>24</v>
      </c>
    </row>
    <row r="11" spans="1:5" x14ac:dyDescent="0.25">
      <c r="A11" t="s">
        <v>35</v>
      </c>
      <c r="B11" t="s">
        <v>32</v>
      </c>
      <c r="D11" s="9" t="s">
        <v>38</v>
      </c>
      <c r="E11" t="s">
        <v>66</v>
      </c>
    </row>
    <row r="12" spans="1:5" x14ac:dyDescent="0.25">
      <c r="A12" t="s">
        <v>36</v>
      </c>
      <c r="B12" t="s">
        <v>32</v>
      </c>
      <c r="D12" s="10" t="s">
        <v>39</v>
      </c>
      <c r="E12" t="s">
        <v>66</v>
      </c>
    </row>
    <row r="13" spans="1:5" x14ac:dyDescent="0.25">
      <c r="A13" t="s">
        <v>36</v>
      </c>
      <c r="B13" t="s">
        <v>32</v>
      </c>
      <c r="D13" s="10" t="s">
        <v>39</v>
      </c>
      <c r="E13" t="s">
        <v>66</v>
      </c>
    </row>
    <row r="14" spans="1:5" x14ac:dyDescent="0.25">
      <c r="A14" t="s">
        <v>63</v>
      </c>
      <c r="B14" t="s">
        <v>44</v>
      </c>
      <c r="D14" s="9" t="s">
        <v>21</v>
      </c>
      <c r="E14" t="s">
        <v>66</v>
      </c>
    </row>
    <row r="15" spans="1:5" x14ac:dyDescent="0.25">
      <c r="A15" t="s">
        <v>37</v>
      </c>
      <c r="B15" t="s">
        <v>32</v>
      </c>
      <c r="D15" s="10" t="s">
        <v>17</v>
      </c>
      <c r="E15" t="s">
        <v>66</v>
      </c>
    </row>
    <row r="16" spans="1:5" x14ac:dyDescent="0.25">
      <c r="A16" t="s">
        <v>24</v>
      </c>
      <c r="B16" t="s">
        <v>32</v>
      </c>
      <c r="D16" s="9" t="s">
        <v>47</v>
      </c>
      <c r="E16" t="s">
        <v>66</v>
      </c>
    </row>
    <row r="17" spans="1:5" x14ac:dyDescent="0.25">
      <c r="A17" t="s">
        <v>38</v>
      </c>
      <c r="B17" t="s">
        <v>32</v>
      </c>
      <c r="D17" s="9" t="s">
        <v>53</v>
      </c>
      <c r="E17" t="s">
        <v>66</v>
      </c>
    </row>
    <row r="18" spans="1:5" x14ac:dyDescent="0.25">
      <c r="A18" t="s">
        <v>39</v>
      </c>
      <c r="B18" t="s">
        <v>32</v>
      </c>
      <c r="D18" s="9" t="s">
        <v>54</v>
      </c>
      <c r="E18" t="s">
        <v>66</v>
      </c>
    </row>
    <row r="19" spans="1:5" x14ac:dyDescent="0.25">
      <c r="A19" t="s">
        <v>40</v>
      </c>
      <c r="B19" t="s">
        <v>10</v>
      </c>
      <c r="D19" s="9" t="s">
        <v>23</v>
      </c>
      <c r="E19" t="s">
        <v>66</v>
      </c>
    </row>
    <row r="20" spans="1:5" x14ac:dyDescent="0.25">
      <c r="A20" t="s">
        <v>41</v>
      </c>
      <c r="B20" t="s">
        <v>42</v>
      </c>
      <c r="D20" s="10" t="s">
        <v>20</v>
      </c>
      <c r="E20" t="s">
        <v>66</v>
      </c>
    </row>
    <row r="21" spans="1:5" x14ac:dyDescent="0.25">
      <c r="A21" t="s">
        <v>43</v>
      </c>
      <c r="B21" t="s">
        <v>44</v>
      </c>
      <c r="D21" s="9" t="s">
        <v>27</v>
      </c>
      <c r="E21" t="s">
        <v>66</v>
      </c>
    </row>
    <row r="22" spans="1:5" x14ac:dyDescent="0.25">
      <c r="A22" t="s">
        <v>18</v>
      </c>
      <c r="B22" t="s">
        <v>44</v>
      </c>
      <c r="D22" s="10" t="s">
        <v>26</v>
      </c>
      <c r="E22" t="s">
        <v>66</v>
      </c>
    </row>
    <row r="23" spans="1:5" x14ac:dyDescent="0.25">
      <c r="A23" t="s">
        <v>21</v>
      </c>
      <c r="B23" t="s">
        <v>32</v>
      </c>
      <c r="D23" s="9" t="s">
        <v>55</v>
      </c>
      <c r="E23" t="s">
        <v>66</v>
      </c>
    </row>
    <row r="24" spans="1:5" x14ac:dyDescent="0.25">
      <c r="A24" t="s">
        <v>10</v>
      </c>
      <c r="B24" t="s">
        <v>10</v>
      </c>
      <c r="D24" s="9" t="s">
        <v>15</v>
      </c>
      <c r="E24" t="s">
        <v>66</v>
      </c>
    </row>
    <row r="25" spans="1:5" x14ac:dyDescent="0.25">
      <c r="A25" t="s">
        <v>45</v>
      </c>
      <c r="B25" t="s">
        <v>44</v>
      </c>
      <c r="D25" s="10" t="s">
        <v>22</v>
      </c>
      <c r="E25" t="s">
        <v>66</v>
      </c>
    </row>
    <row r="26" spans="1:5" x14ac:dyDescent="0.25">
      <c r="A26" t="s">
        <v>46</v>
      </c>
      <c r="B26" t="s">
        <v>44</v>
      </c>
      <c r="D26" s="9" t="s">
        <v>56</v>
      </c>
      <c r="E26" t="s">
        <v>66</v>
      </c>
    </row>
    <row r="27" spans="1:5" x14ac:dyDescent="0.25">
      <c r="A27" t="s">
        <v>64</v>
      </c>
      <c r="B27" t="s">
        <v>44</v>
      </c>
      <c r="D27" s="11" t="s">
        <v>29</v>
      </c>
      <c r="E27" t="s">
        <v>66</v>
      </c>
    </row>
    <row r="28" spans="1:5" x14ac:dyDescent="0.25">
      <c r="A28" t="s">
        <v>17</v>
      </c>
      <c r="B28" t="s">
        <v>32</v>
      </c>
    </row>
    <row r="29" spans="1:5" x14ac:dyDescent="0.25">
      <c r="A29" t="s">
        <v>47</v>
      </c>
      <c r="B29" t="s">
        <v>32</v>
      </c>
    </row>
    <row r="30" spans="1:5" x14ac:dyDescent="0.25">
      <c r="A30" t="s">
        <v>48</v>
      </c>
      <c r="B30" t="s">
        <v>44</v>
      </c>
    </row>
    <row r="31" spans="1:5" x14ac:dyDescent="0.25">
      <c r="A31" t="s">
        <v>14</v>
      </c>
      <c r="B31" t="s">
        <v>49</v>
      </c>
    </row>
    <row r="32" spans="1:5" x14ac:dyDescent="0.25">
      <c r="A32" t="s">
        <v>50</v>
      </c>
      <c r="B32" t="s">
        <v>44</v>
      </c>
    </row>
    <row r="33" spans="1:2" x14ac:dyDescent="0.25">
      <c r="A33" t="s">
        <v>51</v>
      </c>
      <c r="B33" t="s">
        <v>44</v>
      </c>
    </row>
    <row r="34" spans="1:2" x14ac:dyDescent="0.25">
      <c r="A34" t="s">
        <v>52</v>
      </c>
      <c r="B34" t="s">
        <v>44</v>
      </c>
    </row>
    <row r="35" spans="1:2" x14ac:dyDescent="0.25">
      <c r="A35" t="s">
        <v>53</v>
      </c>
      <c r="B35" t="s">
        <v>32</v>
      </c>
    </row>
    <row r="36" spans="1:2" x14ac:dyDescent="0.25">
      <c r="A36" t="s">
        <v>54</v>
      </c>
      <c r="B36" t="s">
        <v>32</v>
      </c>
    </row>
    <row r="37" spans="1:2" x14ac:dyDescent="0.25">
      <c r="A37" t="s">
        <v>23</v>
      </c>
      <c r="B37" t="s">
        <v>32</v>
      </c>
    </row>
    <row r="38" spans="1:2" x14ac:dyDescent="0.25">
      <c r="A38" t="s">
        <v>20</v>
      </c>
      <c r="B38" t="s">
        <v>32</v>
      </c>
    </row>
    <row r="39" spans="1:2" x14ac:dyDescent="0.25">
      <c r="A39" t="s">
        <v>27</v>
      </c>
      <c r="B39" t="s">
        <v>32</v>
      </c>
    </row>
    <row r="40" spans="1:2" x14ac:dyDescent="0.25">
      <c r="A40" t="s">
        <v>26</v>
      </c>
      <c r="B40" t="s">
        <v>32</v>
      </c>
    </row>
    <row r="41" spans="1:2" x14ac:dyDescent="0.25">
      <c r="A41" t="s">
        <v>55</v>
      </c>
      <c r="B41" t="s">
        <v>32</v>
      </c>
    </row>
    <row r="42" spans="1:2" x14ac:dyDescent="0.25">
      <c r="A42" t="s">
        <v>15</v>
      </c>
      <c r="B42" t="s">
        <v>32</v>
      </c>
    </row>
    <row r="43" spans="1:2" x14ac:dyDescent="0.25">
      <c r="A43" t="s">
        <v>22</v>
      </c>
      <c r="B43" t="s">
        <v>32</v>
      </c>
    </row>
    <row r="44" spans="1:2" x14ac:dyDescent="0.25">
      <c r="A44" t="s">
        <v>56</v>
      </c>
      <c r="B44" t="s">
        <v>32</v>
      </c>
    </row>
    <row r="45" spans="1:2" x14ac:dyDescent="0.25">
      <c r="A45" t="s">
        <v>57</v>
      </c>
      <c r="B45" t="s">
        <v>10</v>
      </c>
    </row>
    <row r="46" spans="1:2" x14ac:dyDescent="0.25">
      <c r="A46" t="s">
        <v>58</v>
      </c>
      <c r="B46" t="s">
        <v>10</v>
      </c>
    </row>
    <row r="47" spans="1:2" x14ac:dyDescent="0.25">
      <c r="A47" t="s">
        <v>29</v>
      </c>
      <c r="B47" t="s">
        <v>32</v>
      </c>
    </row>
    <row r="48" spans="1:2" x14ac:dyDescent="0.25">
      <c r="A48" t="s">
        <v>59</v>
      </c>
      <c r="B48" t="s">
        <v>10</v>
      </c>
    </row>
  </sheetData>
  <pageMargins left="0.7" right="0.7" top="0.75" bottom="0.75" header="0.3" footer="0.3"/>
  <tableParts count="2">
    <tablePart r:id="rId1"/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Hoja1</vt:lpstr>
      <vt:lpstr>Hoja2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Francisco Villeda Velazquez</dc:creator>
  <cp:lastModifiedBy>Francisco Villeda Velazquez</cp:lastModifiedBy>
  <dcterms:created xsi:type="dcterms:W3CDTF">2026-02-26T13:38:55Z</dcterms:created>
  <dcterms:modified xsi:type="dcterms:W3CDTF">2026-06-23T15:07:36Z</dcterms:modified>
</cp:coreProperties>
</file>