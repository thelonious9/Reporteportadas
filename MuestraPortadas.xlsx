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7CDBB76E-5D9D-4EB0-BE44-D7E227D165D3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1" l="1"/>
  <c r="I69" i="1"/>
  <c r="I70" i="1"/>
  <c r="J68" i="1"/>
  <c r="J69" i="1"/>
  <c r="J70" i="1"/>
  <c r="I67" i="1"/>
  <c r="J6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2" i="1"/>
  <c r="I2" i="1"/>
</calcChain>
</file>

<file path=xl/sharedStrings.xml><?xml version="1.0" encoding="utf-8"?>
<sst xmlns="http://schemas.openxmlformats.org/spreadsheetml/2006/main" count="643" uniqueCount="206">
  <si>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</si>
  <si>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</si>
  <si>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</si>
  <si>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</si>
  <si>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</si>
  <si>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</si>
  <si>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</si>
  <si>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</si>
  <si>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</si>
  <si>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</si>
  <si>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</si>
  <si>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</si>
  <si>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</si>
  <si>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</si>
  <si>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</si>
  <si>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</si>
  <si>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</si>
  <si>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</si>
  <si>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</si>
  <si>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</si>
  <si>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</si>
  <si>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</si>
  <si>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</si>
  <si>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</si>
  <si>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</si>
  <si>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</si>
  <si>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</si>
  <si>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</si>
  <si>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</si>
  <si>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</si>
  <si>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</si>
  <si>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</si>
  <si>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</si>
  <si>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</si>
  <si>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</si>
  <si>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</si>
  <si>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</si>
  <si>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</si>
  <si>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</si>
  <si>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</si>
  <si>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</si>
  <si>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</si>
  <si>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</si>
  <si>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</si>
  <si>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</si>
  <si>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</si>
  <si>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</si>
  <si>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</si>
  <si>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</si>
  <si>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</si>
  <si>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</si>
  <si>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</si>
  <si>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</si>
  <si>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</si>
  <si>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</si>
  <si>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</si>
  <si>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</si>
  <si>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</si>
  <si>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</si>
  <si>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</si>
  <si>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</si>
  <si>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</si>
  <si>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</si>
  <si>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</si>
  <si>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</si>
  <si>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</si>
  <si>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</si>
  <si>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</si>
  <si>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</si>
  <si>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</si>
  <si>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</si>
  <si>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</si>
  <si>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</si>
  <si>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</si>
  <si>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Criterio</t>
  </si>
  <si>
    <t>El Universal Hidalgo</t>
  </si>
  <si>
    <t>Marfeca</t>
  </si>
  <si>
    <t>Plaza Juárez</t>
  </si>
  <si>
    <t>Negativa</t>
  </si>
  <si>
    <t>Temas varios</t>
  </si>
  <si>
    <t>Alcalde</t>
  </si>
  <si>
    <t>Cintillo</t>
  </si>
  <si>
    <t>Zunoticia</t>
  </si>
  <si>
    <t>Pachuca Brilla</t>
  </si>
  <si>
    <t>Publicidad</t>
  </si>
  <si>
    <t>Temas internacionales</t>
  </si>
  <si>
    <t>Sipdus</t>
  </si>
  <si>
    <t>Policía municipal</t>
  </si>
  <si>
    <t>Deportes</t>
  </si>
  <si>
    <t>Milenio Hidalgo</t>
  </si>
  <si>
    <t>Homicidios</t>
  </si>
  <si>
    <t>Luminarias</t>
  </si>
  <si>
    <t>Feria Pachuca</t>
  </si>
  <si>
    <t>Videovigilancia</t>
  </si>
  <si>
    <t>Solo 20% de suelo es explorado por minería</t>
  </si>
  <si>
    <t>Minería</t>
  </si>
  <si>
    <t>Reducen 70% asaltos en Arco Norte</t>
  </si>
  <si>
    <t>Estrategia De Seguridad</t>
  </si>
  <si>
    <t>México pondrá denuncia penal</t>
  </si>
  <si>
    <t>Gobernación</t>
  </si>
  <si>
    <t>Leyenda: La monja de la Catedral de Tulancingo</t>
  </si>
  <si>
    <t>FRANCIA ES SEMIFINALISTA</t>
  </si>
  <si>
    <t>AUTOS TU PASIÓN POR LOS AUTOS</t>
  </si>
  <si>
    <t>Publicidad Comercial</t>
  </si>
  <si>
    <t>VIGILARÁN 5 MIL POLICÍAS VACACIONES DE VERANO</t>
  </si>
  <si>
    <t>Operativo de seguridad</t>
  </si>
  <si>
    <t>Detectan 40 accesos ilegales en Arco Norte</t>
  </si>
  <si>
    <t>Seguridad Carretera</t>
  </si>
  <si>
    <t>Homicida ubicó a su víctima a través de las redes sociales</t>
  </si>
  <si>
    <t>EN SEIS MESES Registran 10 mil nuevos empleos</t>
  </si>
  <si>
    <t>Generación De Empleo</t>
  </si>
  <si>
    <t>RUMBO A 2027 Condiciona Morena sus alianzas</t>
  </si>
  <si>
    <t>Alianzas electorales</t>
  </si>
  <si>
    <t>TERCERA CONSECUTIVA Mbappé lidera a Francia a la semifinal</t>
  </si>
  <si>
    <t>DAN 172 AÑOS EN LA PRISIÓN AL FEMINICIDA DE ROSAURA</t>
  </si>
  <si>
    <t>Feminicidio</t>
  </si>
  <si>
    <t>SUMAN 7 DENUNCIAS POR PROBABLE FRAUDE DE AUTO</t>
  </si>
  <si>
    <t>Fraude Automotriz</t>
  </si>
  <si>
    <t>SUSPENDE LA SEBISOH A UN SERVIDOR POR POSIBLE ACOSO</t>
  </si>
  <si>
    <t>Acoso Laboral</t>
  </si>
  <si>
    <t>REPORTA SIPDUS AVANCE DEL 12% EN LAS TORRES</t>
  </si>
  <si>
    <t>Obra Pública</t>
  </si>
  <si>
    <t>LLAMA PÉREZ A CONSTRUIR POLÍTICA POR SU MUNICIPIO</t>
  </si>
  <si>
    <t>Política Municipal</t>
  </si>
  <si>
    <t>MBAPPÉ METE A FRANCIA EN SEMIS</t>
  </si>
  <si>
    <t>MURALLA ESPAÑOLA DESAFÍA A BÉLGICA</t>
  </si>
  <si>
    <t>La entidad encabezó el crecimiento industrial en el primer trimestre</t>
  </si>
  <si>
    <t>Índice de actividad industrial</t>
  </si>
  <si>
    <t>Sentencian a 172 años de prisión a la pareja de Rosaura por feminicidio</t>
  </si>
  <si>
    <t>Sentencia feminicida</t>
  </si>
  <si>
    <t>Obras. Renuevan la iluminación con led en el bulevar Colosio</t>
  </si>
  <si>
    <t>Acciones contra cambio climático</t>
  </si>
  <si>
    <t>Cambio Climático</t>
  </si>
  <si>
    <t>Tiene Actopan una barbacoa de Guinness</t>
  </si>
  <si>
    <t>otros</t>
  </si>
  <si>
    <t>Festival gastronómico</t>
  </si>
  <si>
    <t>Arco Norte. Detecta Guardia Nacional 8 accesos irregulares a la vía</t>
  </si>
  <si>
    <t>Y el precio de la vivienda tuvo un alza de 13.6%</t>
  </si>
  <si>
    <t>Precio De Vivienda</t>
  </si>
  <si>
    <t>Crímenes de la migra. México recurrirá a la vía penal por los muertos</t>
  </si>
  <si>
    <t>Categórico 2-0. Francia avanza con paso firme</t>
  </si>
  <si>
    <t>Dan 172 años de prisión a expolicía por caso Rosaura</t>
  </si>
  <si>
    <t>Diecisiete mexicanos muertos bajo la custodia del ICE en EU</t>
  </si>
  <si>
    <t>Arco Norte coloca nuevas cámaras tras presión de la SSPH</t>
  </si>
  <si>
    <t>Lo que los regidores de Apan no alineados con la presidenta buscan es que el nombramiento del titular del Órgano Interno de Control garantice imparcialidad</t>
  </si>
  <si>
    <t>Regidor</t>
  </si>
  <si>
    <t>Enfrentamiento político</t>
  </si>
  <si>
    <t>Comerciantes recuperan ganancias tras baja en precio del jitomate</t>
  </si>
  <si>
    <t>Canasta básica</t>
  </si>
  <si>
    <t>Disminuye 70% la incidencia delictiva el primer semestre del año</t>
  </si>
  <si>
    <t>Reforzarán videovigilancia en Hidalgo con 5 mil 100 nuevos dispositivos</t>
  </si>
  <si>
    <t>C5i</t>
  </si>
  <si>
    <t>Condenan con 172 años de prisión a feminicida de Rosaura</t>
  </si>
  <si>
    <t>Piden conectar cámaras de comercios del Arco Norte al C5i y exámenes de confianza a caseteros</t>
  </si>
  <si>
    <t>Aprueban descuentos de hasta 20% por pago anticipado de agua</t>
  </si>
  <si>
    <t>Pago de servicios</t>
  </si>
  <si>
    <t>Presentan cartelera oficial del Palenque de la Feria de San Francisco Pachuca Hidalgo 2026</t>
  </si>
  <si>
    <t>Reglamentos ponen orden a comerciantes en Coacuilco</t>
  </si>
  <si>
    <t>Actualización de reglamentos</t>
  </si>
  <si>
    <t>AVANZAN ACCIONES PARA MEJORAR OPERACIÓN DE LA AUTOPISTA ARCO NORTE.</t>
  </si>
  <si>
    <t>PIDEN EXTREMAR PRECAUCIONES POR PRONÓSTICO DE LLUVIAS EN LA HUASTECA.</t>
  </si>
  <si>
    <t>PC</t>
  </si>
  <si>
    <t>Alerta meteorológica</t>
  </si>
  <si>
    <t>LLAMAN A SUMARSE A LA CAMPAÑA DE CANJE DE PET POR PLANTAS.</t>
  </si>
  <si>
    <t>Campaña de reciclaje</t>
  </si>
  <si>
    <t>Me quieren hacer el mal de la película: Compa Nato.</t>
  </si>
  <si>
    <t>Expolicía recibe sentencia de 172 años por feminicidio de Rosaura</t>
  </si>
  <si>
    <t>Fundación María Elena Moreno lleva despensas a 50 colonias de Pachuca</t>
  </si>
  <si>
    <t>Asistencia Social</t>
  </si>
  <si>
    <t>Morena aún no define qué alcaldes podrán reelegirse</t>
  </si>
  <si>
    <t>Elecciones 2027</t>
  </si>
  <si>
    <t>2027, el gran muro</t>
  </si>
  <si>
    <t>Editorial</t>
  </si>
  <si>
    <t>Análisis Político Electoral</t>
  </si>
  <si>
    <t>LLUVIA TORRENCIAL DAÑA 48 VIVIENDAS</t>
  </si>
  <si>
    <t>Inundaciones En Tizayuca</t>
  </si>
  <si>
    <t>Cobros de hasta 50 mil pesos</t>
  </si>
  <si>
    <t>Abusos De Grúas Y Corralones</t>
  </si>
  <si>
    <t>de El Niño prolongará las lluvias</t>
  </si>
  <si>
    <t>Fenómeno De El Niño</t>
  </si>
  <si>
    <t>Francisco López, Yeeymi Solís y Shadia Martínez.</t>
  </si>
  <si>
    <t>Trascendidos Sociales</t>
  </si>
  <si>
    <t>Sentencian a expolicía de Mineral de la Reforma a 172 años de prisión</t>
  </si>
  <si>
    <t>Avanzan acciones para mejorar operación de la autopista Arco Norte</t>
  </si>
  <si>
    <t>Gobierno estatal fortalece la prevención ante el incremento de lluvias por el fenómeno de El Niño</t>
  </si>
  <si>
    <t>Ciudad policía: Gobierno de Tula de Allende acompaña acciones para fortalecer la cultura de la prevención en la niñez</t>
  </si>
  <si>
    <t>Prevención Del Delito</t>
  </si>
  <si>
    <t>Atitalaquia promueve la integridad en el servicio público</t>
  </si>
  <si>
    <t>Combate a la corrupción</t>
  </si>
  <si>
    <t>Hidalgo fortalece la promoción turística regional en el Festival Internacional de las Luciérnagas 2026</t>
  </si>
  <si>
    <t>Promoción turística</t>
  </si>
  <si>
    <t>Hidalgo fortalece su política climática con convenio de colaboración entre Semarnath e INECC</t>
  </si>
  <si>
    <t>SIPDUS entrega tubería de compuertas para optimizar el riego en Ixmiquilpan</t>
  </si>
  <si>
    <t>PALENQUE PACHUCA 2026 PRESENTA CARTELERA; LUNES, VENTA DE BOLETOS</t>
  </si>
  <si>
    <t>BARBACOA, TRADICIÓN QUE DA ORGULLO A ACTOPENSES</t>
  </si>
  <si>
    <t>DIF PACHUCA INVITA A PARTICIPAR EN EL CURSO VERANO RECREATIVO PARA NIÑAS, NIÑOS Y ADOLESCENTES.</t>
  </si>
  <si>
    <t>Curso De Verano</t>
  </si>
  <si>
    <t>NATIVIDAD CASTREJÓN ENCABEZA GRADUACIÓN DE ESTUDIANTES DEL CONALEP HIDALGO</t>
  </si>
  <si>
    <t>Graduación</t>
  </si>
  <si>
    <t>DAN 172 AÑOS DE PRISIÓN A FEMINICIDA DE MINERAL DE LA REFORMA</t>
  </si>
  <si>
    <t>Proponen cambios de nombre para evitar discriminación</t>
  </si>
  <si>
    <t>Iniciativa</t>
  </si>
  <si>
    <t>Irán extiende sus ataques contra EE.UU.</t>
  </si>
  <si>
    <t>La boxeadora Karla Macías a la selección nacional</t>
  </si>
  <si>
    <t>Francia, primer equipo en las semifinales del Mundial</t>
  </si>
  <si>
    <t>Tecnificación de riego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</si>
</sst>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0" totalsRowShown="0" headerRowDxfId="5" headerRowBorderDxfId="4">
  <autoFilter ref="A1:J70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0"/>
  <sheetViews>
    <sheetView tabSelected="1" workbookViewId="0"/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46213</v>
      </c>
      <c r="B2" t="s">
        <v>67</v>
      </c>
      <c r="C2" s="5" t="s">
        <v>94</v>
      </c>
      <c r="D2" t="s">
        <v>13</v>
      </c>
      <c r="E2" t="s">
        <v>59</v>
      </c>
      <c r="F2" t="s">
        <v>59</v>
      </c>
      <c r="G2" t="s">
        <v>95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46213</v>
      </c>
      <c r="B3" t="s">
        <v>67</v>
      </c>
      <c r="C3" s="5" t="s">
        <v>96</v>
      </c>
      <c r="D3" t="s">
        <v>9</v>
      </c>
      <c r="E3" t="s">
        <v>23</v>
      </c>
      <c r="F3" t="s">
        <v>23</v>
      </c>
      <c r="G3" t="s">
        <v>97</v>
      </c>
      <c r="H3" t="s">
        <v>68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46213</v>
      </c>
      <c r="B4" t="s">
        <v>67</v>
      </c>
      <c r="C4" s="5" t="s">
        <v>98</v>
      </c>
      <c r="D4" t="s">
        <v>12</v>
      </c>
      <c r="E4" t="s">
        <v>14</v>
      </c>
      <c r="F4" t="s">
        <v>99</v>
      </c>
      <c r="G4" t="s">
        <v>85</v>
      </c>
      <c r="H4" t="s">
        <v>78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46213</v>
      </c>
      <c r="B5" t="s">
        <v>67</v>
      </c>
      <c r="C5" s="5" t="s">
        <v>100</v>
      </c>
      <c r="D5" t="s">
        <v>12</v>
      </c>
      <c r="E5" t="s">
        <v>10</v>
      </c>
      <c r="F5" t="s">
        <v>10</v>
      </c>
      <c r="G5" t="s">
        <v>79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46213</v>
      </c>
      <c r="B6" t="s">
        <v>67</v>
      </c>
      <c r="C6" s="5" t="s">
        <v>101</v>
      </c>
      <c r="D6" t="s">
        <v>81</v>
      </c>
      <c r="E6" t="s">
        <v>10</v>
      </c>
      <c r="F6" t="s">
        <v>10</v>
      </c>
      <c r="G6" t="s">
        <v>72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46213</v>
      </c>
      <c r="B7" t="s">
        <v>67</v>
      </c>
      <c r="C7" s="5" t="s">
        <v>102</v>
      </c>
      <c r="D7" t="s">
        <v>84</v>
      </c>
      <c r="E7" t="s">
        <v>10</v>
      </c>
      <c r="F7" t="s">
        <v>10</v>
      </c>
      <c r="G7" t="s">
        <v>103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46213</v>
      </c>
      <c r="B8" t="s">
        <v>75</v>
      </c>
      <c r="C8" s="5" t="s">
        <v>104</v>
      </c>
      <c r="D8" t="s">
        <v>13</v>
      </c>
      <c r="E8" t="s">
        <v>22</v>
      </c>
      <c r="F8" t="s">
        <v>22</v>
      </c>
      <c r="G8" t="s">
        <v>105</v>
      </c>
      <c r="H8" t="s">
        <v>68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11">
        <v>46213</v>
      </c>
      <c r="B9" t="s">
        <v>75</v>
      </c>
      <c r="C9" s="5" t="s">
        <v>106</v>
      </c>
      <c r="D9" t="s">
        <v>9</v>
      </c>
      <c r="E9" t="s">
        <v>22</v>
      </c>
      <c r="F9" t="s">
        <v>22</v>
      </c>
      <c r="G9" t="s">
        <v>107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ht="30" x14ac:dyDescent="0.25">
      <c r="A10" s="11">
        <v>46213</v>
      </c>
      <c r="B10" t="s">
        <v>75</v>
      </c>
      <c r="C10" s="5" t="s">
        <v>108</v>
      </c>
      <c r="D10" t="s">
        <v>12</v>
      </c>
      <c r="E10" t="s">
        <v>17</v>
      </c>
      <c r="F10" t="s">
        <v>17</v>
      </c>
      <c r="G10" t="s">
        <v>90</v>
      </c>
      <c r="H10" t="s">
        <v>78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46213</v>
      </c>
      <c r="B11" t="s">
        <v>75</v>
      </c>
      <c r="C11" s="5" t="s">
        <v>109</v>
      </c>
      <c r="D11" t="s">
        <v>12</v>
      </c>
      <c r="E11" t="s">
        <v>56</v>
      </c>
      <c r="F11" t="s">
        <v>56</v>
      </c>
      <c r="G11" t="s">
        <v>110</v>
      </c>
      <c r="H11" t="s">
        <v>68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1">
        <v>46213</v>
      </c>
      <c r="B12" t="s">
        <v>75</v>
      </c>
      <c r="C12" s="5" t="s">
        <v>111</v>
      </c>
      <c r="D12" t="s">
        <v>12</v>
      </c>
      <c r="E12" t="s">
        <v>18</v>
      </c>
      <c r="F12" t="s">
        <v>18</v>
      </c>
      <c r="G12" t="s">
        <v>112</v>
      </c>
      <c r="H12" t="s">
        <v>11</v>
      </c>
      <c r="I12" t="str">
        <f>_xlfn.XLOOKUP(Tabla1[[#This Row],[Dependencia]],Tabla2[Dependencia],Tabla2[Clasificación],"XXX",0)</f>
        <v>Partidos</v>
      </c>
      <c r="J12" t="str">
        <f>_xlfn.XLOOKUP(Tabla1[[#This Row],[Dependencia]],Tabla3[Dependencia],Tabla3[Nivel],"Otros",0)</f>
        <v>Otros</v>
      </c>
    </row>
    <row r="13" spans="1:10" ht="30" x14ac:dyDescent="0.25">
      <c r="A13" s="11">
        <v>46213</v>
      </c>
      <c r="B13" t="s">
        <v>75</v>
      </c>
      <c r="C13" s="5" t="s">
        <v>113</v>
      </c>
      <c r="D13" t="s">
        <v>12</v>
      </c>
      <c r="E13" t="s">
        <v>10</v>
      </c>
      <c r="F13" t="s">
        <v>10</v>
      </c>
      <c r="G13" t="s">
        <v>72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ht="30" x14ac:dyDescent="0.25">
      <c r="A14" s="11">
        <v>46213</v>
      </c>
      <c r="B14" t="s">
        <v>74</v>
      </c>
      <c r="C14" s="5" t="s">
        <v>114</v>
      </c>
      <c r="D14" t="s">
        <v>13</v>
      </c>
      <c r="E14" t="s">
        <v>17</v>
      </c>
      <c r="F14" t="s">
        <v>17</v>
      </c>
      <c r="G14" t="s">
        <v>115</v>
      </c>
      <c r="H14" t="s">
        <v>11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11">
        <v>46213</v>
      </c>
      <c r="B15" t="s">
        <v>74</v>
      </c>
      <c r="C15" s="5" t="s">
        <v>116</v>
      </c>
      <c r="D15" t="s">
        <v>12</v>
      </c>
      <c r="E15" t="s">
        <v>17</v>
      </c>
      <c r="F15" t="s">
        <v>17</v>
      </c>
      <c r="G15" t="s">
        <v>117</v>
      </c>
      <c r="H15" t="s">
        <v>78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11">
        <v>46213</v>
      </c>
      <c r="B16" t="s">
        <v>74</v>
      </c>
      <c r="C16" s="5" t="s">
        <v>118</v>
      </c>
      <c r="D16" t="s">
        <v>12</v>
      </c>
      <c r="E16" t="s">
        <v>19</v>
      </c>
      <c r="F16" t="s">
        <v>19</v>
      </c>
      <c r="G16" t="s">
        <v>119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11">
        <v>46213</v>
      </c>
      <c r="B17" t="s">
        <v>74</v>
      </c>
      <c r="C17" s="5" t="s">
        <v>120</v>
      </c>
      <c r="D17" t="s">
        <v>12</v>
      </c>
      <c r="E17" t="s">
        <v>86</v>
      </c>
      <c r="F17" t="s">
        <v>86</v>
      </c>
      <c r="G17" t="s">
        <v>121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46213</v>
      </c>
      <c r="B18" t="s">
        <v>74</v>
      </c>
      <c r="C18" s="5" t="s">
        <v>122</v>
      </c>
      <c r="D18" t="s">
        <v>12</v>
      </c>
      <c r="E18" t="s">
        <v>16</v>
      </c>
      <c r="F18" t="s">
        <v>80</v>
      </c>
      <c r="G18" t="s">
        <v>123</v>
      </c>
      <c r="H18" t="s">
        <v>11</v>
      </c>
      <c r="I18" t="str">
        <f>_xlfn.XLOOKUP(Tabla1[[#This Row],[Dependencia]],Tabla2[Dependencia],Tabla2[Clasificación],"XXX",0)</f>
        <v>Alcaldías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46213</v>
      </c>
      <c r="B19" t="s">
        <v>74</v>
      </c>
      <c r="C19" s="5" t="s">
        <v>124</v>
      </c>
      <c r="D19" t="s">
        <v>12</v>
      </c>
      <c r="E19" t="s">
        <v>10</v>
      </c>
      <c r="F19" t="s">
        <v>10</v>
      </c>
      <c r="G19" t="s">
        <v>72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46213</v>
      </c>
      <c r="B20" t="s">
        <v>74</v>
      </c>
      <c r="C20" s="5" t="s">
        <v>125</v>
      </c>
      <c r="D20" t="s">
        <v>12</v>
      </c>
      <c r="E20" t="s">
        <v>10</v>
      </c>
      <c r="F20" t="s">
        <v>10</v>
      </c>
      <c r="G20" t="s">
        <v>72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46213</v>
      </c>
      <c r="B21" t="s">
        <v>89</v>
      </c>
      <c r="C21" s="5" t="s">
        <v>126</v>
      </c>
      <c r="D21" t="s">
        <v>13</v>
      </c>
      <c r="E21" t="s">
        <v>54</v>
      </c>
      <c r="F21" t="s">
        <v>54</v>
      </c>
      <c r="G21" t="s">
        <v>127</v>
      </c>
      <c r="H21" t="s">
        <v>68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ht="30" x14ac:dyDescent="0.25">
      <c r="A22" s="11">
        <v>46213</v>
      </c>
      <c r="B22" t="s">
        <v>89</v>
      </c>
      <c r="C22" s="5" t="s">
        <v>128</v>
      </c>
      <c r="D22" t="s">
        <v>12</v>
      </c>
      <c r="E22" t="s">
        <v>17</v>
      </c>
      <c r="F22" t="s">
        <v>17</v>
      </c>
      <c r="G22" t="s">
        <v>129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ht="30" x14ac:dyDescent="0.25">
      <c r="A23" s="11">
        <v>46213</v>
      </c>
      <c r="B23" t="s">
        <v>89</v>
      </c>
      <c r="C23" s="5" t="s">
        <v>130</v>
      </c>
      <c r="D23" t="s">
        <v>9</v>
      </c>
      <c r="E23" t="s">
        <v>16</v>
      </c>
      <c r="F23" t="s">
        <v>16</v>
      </c>
      <c r="G23" t="s">
        <v>91</v>
      </c>
      <c r="H23" t="s">
        <v>68</v>
      </c>
      <c r="I23" t="str">
        <f>_xlfn.XLOOKUP(Tabla1[[#This Row],[Dependencia]],Tabla2[Dependencia],Tabla2[Clasificación],"XXX",0)</f>
        <v>Alcaldías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46213</v>
      </c>
      <c r="B24" t="s">
        <v>89</v>
      </c>
      <c r="C24" s="5" t="s">
        <v>131</v>
      </c>
      <c r="D24" t="s">
        <v>12</v>
      </c>
      <c r="E24" t="s">
        <v>20</v>
      </c>
      <c r="F24" t="s">
        <v>20</v>
      </c>
      <c r="G24" t="s">
        <v>132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11">
        <v>46213</v>
      </c>
      <c r="B25" t="s">
        <v>89</v>
      </c>
      <c r="C25" s="5" t="s">
        <v>133</v>
      </c>
      <c r="D25" t="s">
        <v>12</v>
      </c>
      <c r="E25" t="s">
        <v>10</v>
      </c>
      <c r="F25" t="s">
        <v>134</v>
      </c>
      <c r="G25" t="s">
        <v>135</v>
      </c>
      <c r="H25" t="s">
        <v>68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11">
        <v>46213</v>
      </c>
      <c r="B26" t="s">
        <v>89</v>
      </c>
      <c r="C26" s="5" t="s">
        <v>136</v>
      </c>
      <c r="D26" t="s">
        <v>12</v>
      </c>
      <c r="E26" t="s">
        <v>22</v>
      </c>
      <c r="F26" t="s">
        <v>22</v>
      </c>
      <c r="G26" t="s">
        <v>97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25">
      <c r="A27" s="11">
        <v>46213</v>
      </c>
      <c r="B27" t="s">
        <v>89</v>
      </c>
      <c r="C27" s="5" t="s">
        <v>137</v>
      </c>
      <c r="D27" t="s">
        <v>12</v>
      </c>
      <c r="E27" t="s">
        <v>14</v>
      </c>
      <c r="F27" t="s">
        <v>14</v>
      </c>
      <c r="G27" t="s">
        <v>138</v>
      </c>
      <c r="H27" t="s">
        <v>11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46213</v>
      </c>
      <c r="B28" t="s">
        <v>89</v>
      </c>
      <c r="C28" s="5" t="s">
        <v>139</v>
      </c>
      <c r="D28" t="s">
        <v>12</v>
      </c>
      <c r="E28" t="s">
        <v>14</v>
      </c>
      <c r="F28" t="s">
        <v>99</v>
      </c>
      <c r="G28" t="s">
        <v>85</v>
      </c>
      <c r="H28" t="s">
        <v>78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46213</v>
      </c>
      <c r="B29" t="s">
        <v>89</v>
      </c>
      <c r="C29" s="5" t="s">
        <v>140</v>
      </c>
      <c r="D29" t="s">
        <v>12</v>
      </c>
      <c r="E29" t="s">
        <v>10</v>
      </c>
      <c r="F29" t="s">
        <v>10</v>
      </c>
      <c r="G29" t="s">
        <v>72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46213</v>
      </c>
      <c r="B30" t="s">
        <v>70</v>
      </c>
      <c r="C30" s="5" t="s">
        <v>141</v>
      </c>
      <c r="D30" t="s">
        <v>12</v>
      </c>
      <c r="E30" t="s">
        <v>17</v>
      </c>
      <c r="F30" t="s">
        <v>17</v>
      </c>
      <c r="G30" t="s">
        <v>129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11">
        <v>46213</v>
      </c>
      <c r="B31" t="s">
        <v>70</v>
      </c>
      <c r="C31" s="5" t="s">
        <v>142</v>
      </c>
      <c r="D31" t="s">
        <v>12</v>
      </c>
      <c r="E31" t="s">
        <v>14</v>
      </c>
      <c r="F31" t="s">
        <v>99</v>
      </c>
      <c r="G31" t="s">
        <v>85</v>
      </c>
      <c r="H31" t="s">
        <v>78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46213</v>
      </c>
      <c r="B32" t="s">
        <v>70</v>
      </c>
      <c r="C32" s="5" t="s">
        <v>143</v>
      </c>
      <c r="D32" t="s">
        <v>13</v>
      </c>
      <c r="E32" t="s">
        <v>22</v>
      </c>
      <c r="F32" t="s">
        <v>22</v>
      </c>
      <c r="G32" t="s">
        <v>93</v>
      </c>
      <c r="H32" t="s">
        <v>68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ht="45" x14ac:dyDescent="0.25">
      <c r="A33" s="11">
        <v>46213</v>
      </c>
      <c r="B33" t="s">
        <v>70</v>
      </c>
      <c r="C33" s="5" t="s">
        <v>144</v>
      </c>
      <c r="D33" t="s">
        <v>12</v>
      </c>
      <c r="E33" t="s">
        <v>16</v>
      </c>
      <c r="F33" t="s">
        <v>145</v>
      </c>
      <c r="G33" t="s">
        <v>146</v>
      </c>
      <c r="H33" t="s">
        <v>78</v>
      </c>
      <c r="I33" t="str">
        <f>_xlfn.XLOOKUP(Tabla1[[#This Row],[Dependencia]],Tabla2[Dependencia],Tabla2[Clasificación],"XXX",0)</f>
        <v>Alcaldías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46213</v>
      </c>
      <c r="B34" t="s">
        <v>70</v>
      </c>
      <c r="C34" s="5" t="s">
        <v>147</v>
      </c>
      <c r="D34" t="s">
        <v>9</v>
      </c>
      <c r="E34" t="s">
        <v>53</v>
      </c>
      <c r="F34" t="s">
        <v>53</v>
      </c>
      <c r="G34" t="s">
        <v>148</v>
      </c>
      <c r="H34" t="s">
        <v>68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11">
        <v>46213</v>
      </c>
      <c r="B35" t="s">
        <v>70</v>
      </c>
      <c r="C35" s="5" t="s">
        <v>149</v>
      </c>
      <c r="D35" t="s">
        <v>12</v>
      </c>
      <c r="E35" t="s">
        <v>22</v>
      </c>
      <c r="F35" t="s">
        <v>22</v>
      </c>
      <c r="G35" t="s">
        <v>97</v>
      </c>
      <c r="H35" t="s">
        <v>68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46213</v>
      </c>
      <c r="B36" t="s">
        <v>69</v>
      </c>
      <c r="C36" s="5" t="s">
        <v>150</v>
      </c>
      <c r="D36" t="s">
        <v>12</v>
      </c>
      <c r="E36" t="s">
        <v>22</v>
      </c>
      <c r="F36" t="s">
        <v>151</v>
      </c>
      <c r="G36" t="s">
        <v>93</v>
      </c>
      <c r="H36" t="s">
        <v>68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46213</v>
      </c>
      <c r="B37" t="s">
        <v>69</v>
      </c>
      <c r="C37" s="5" t="s">
        <v>152</v>
      </c>
      <c r="D37" t="s">
        <v>13</v>
      </c>
      <c r="E37" t="s">
        <v>17</v>
      </c>
      <c r="F37" t="s">
        <v>17</v>
      </c>
      <c r="G37" t="s">
        <v>129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46213</v>
      </c>
      <c r="B38" t="s">
        <v>69</v>
      </c>
      <c r="C38" s="5" t="s">
        <v>153</v>
      </c>
      <c r="D38" t="s">
        <v>12</v>
      </c>
      <c r="E38" t="s">
        <v>22</v>
      </c>
      <c r="F38" t="s">
        <v>151</v>
      </c>
      <c r="G38" t="s">
        <v>93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46213</v>
      </c>
      <c r="B39" t="s">
        <v>69</v>
      </c>
      <c r="C39" s="5" t="s">
        <v>154</v>
      </c>
      <c r="D39" t="s">
        <v>12</v>
      </c>
      <c r="E39" t="s">
        <v>33</v>
      </c>
      <c r="F39" t="s">
        <v>33</v>
      </c>
      <c r="G39" t="s">
        <v>155</v>
      </c>
      <c r="H39" t="s">
        <v>68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46213</v>
      </c>
      <c r="B40" t="s">
        <v>69</v>
      </c>
      <c r="C40" s="5" t="s">
        <v>156</v>
      </c>
      <c r="D40" t="s">
        <v>12</v>
      </c>
      <c r="E40" t="s">
        <v>29</v>
      </c>
      <c r="F40" t="s">
        <v>29</v>
      </c>
      <c r="G40" t="s">
        <v>92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11">
        <v>46213</v>
      </c>
      <c r="B41" t="s">
        <v>82</v>
      </c>
      <c r="C41" s="5" t="s">
        <v>157</v>
      </c>
      <c r="D41" t="s">
        <v>13</v>
      </c>
      <c r="E41" t="s">
        <v>16</v>
      </c>
      <c r="F41" t="s">
        <v>16</v>
      </c>
      <c r="G41" t="s">
        <v>158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46213</v>
      </c>
      <c r="B42" t="s">
        <v>82</v>
      </c>
      <c r="C42" s="5" t="s">
        <v>159</v>
      </c>
      <c r="D42" t="s">
        <v>9</v>
      </c>
      <c r="E42" t="s">
        <v>23</v>
      </c>
      <c r="F42" t="s">
        <v>23</v>
      </c>
      <c r="G42" t="s">
        <v>97</v>
      </c>
      <c r="H42" t="s">
        <v>68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46213</v>
      </c>
      <c r="B43" t="s">
        <v>82</v>
      </c>
      <c r="C43" s="5" t="s">
        <v>160</v>
      </c>
      <c r="D43" t="s">
        <v>12</v>
      </c>
      <c r="E43" t="s">
        <v>23</v>
      </c>
      <c r="F43" t="s">
        <v>161</v>
      </c>
      <c r="G43" t="s">
        <v>162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46213</v>
      </c>
      <c r="B44" t="s">
        <v>82</v>
      </c>
      <c r="C44" s="5" t="s">
        <v>163</v>
      </c>
      <c r="D44" t="s">
        <v>12</v>
      </c>
      <c r="E44" t="s">
        <v>16</v>
      </c>
      <c r="F44" t="s">
        <v>16</v>
      </c>
      <c r="G44" t="s">
        <v>164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x14ac:dyDescent="0.25">
      <c r="A45" s="11">
        <v>46213</v>
      </c>
      <c r="B45" t="s">
        <v>82</v>
      </c>
      <c r="C45" s="5" t="s">
        <v>165</v>
      </c>
      <c r="D45" t="s">
        <v>12</v>
      </c>
      <c r="E45" t="s">
        <v>10</v>
      </c>
      <c r="F45" t="s">
        <v>10</v>
      </c>
      <c r="G45" t="s">
        <v>79</v>
      </c>
      <c r="H45" t="s">
        <v>11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46213</v>
      </c>
      <c r="B46" t="s">
        <v>73</v>
      </c>
      <c r="C46" s="5" t="s">
        <v>166</v>
      </c>
      <c r="D46" t="s">
        <v>13</v>
      </c>
      <c r="E46" t="s">
        <v>17</v>
      </c>
      <c r="F46" t="s">
        <v>17</v>
      </c>
      <c r="G46" t="s">
        <v>115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11">
        <v>46213</v>
      </c>
      <c r="B47" t="s">
        <v>73</v>
      </c>
      <c r="C47" s="5" t="s">
        <v>167</v>
      </c>
      <c r="D47" t="s">
        <v>12</v>
      </c>
      <c r="E47" t="s">
        <v>36</v>
      </c>
      <c r="F47" t="s">
        <v>36</v>
      </c>
      <c r="G47" t="s">
        <v>168</v>
      </c>
      <c r="H47" t="s">
        <v>68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1">
        <v>46213</v>
      </c>
      <c r="B48" t="s">
        <v>73</v>
      </c>
      <c r="C48" s="5" t="s">
        <v>169</v>
      </c>
      <c r="D48" t="s">
        <v>12</v>
      </c>
      <c r="E48" t="s">
        <v>18</v>
      </c>
      <c r="F48" t="s">
        <v>18</v>
      </c>
      <c r="G48" t="s">
        <v>170</v>
      </c>
      <c r="H48" t="s">
        <v>11</v>
      </c>
      <c r="I48" t="str">
        <f>_xlfn.XLOOKUP(Tabla1[[#This Row],[Dependencia]],Tabla2[Dependencia],Tabla2[Clasificación],"XXX",0)</f>
        <v>Partidos</v>
      </c>
      <c r="J48" t="str">
        <f>_xlfn.XLOOKUP(Tabla1[[#This Row],[Dependencia]],Tabla3[Dependencia],Tabla3[Nivel],"Otros",0)</f>
        <v>Otros</v>
      </c>
    </row>
    <row r="49" spans="1:10" x14ac:dyDescent="0.25">
      <c r="A49" s="11">
        <v>46213</v>
      </c>
      <c r="B49" t="s">
        <v>73</v>
      </c>
      <c r="C49" s="5" t="s">
        <v>171</v>
      </c>
      <c r="D49" t="s">
        <v>172</v>
      </c>
      <c r="E49" t="s">
        <v>10</v>
      </c>
      <c r="F49" t="s">
        <v>10</v>
      </c>
      <c r="G49" t="s">
        <v>173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x14ac:dyDescent="0.25">
      <c r="A50" s="11">
        <v>46213</v>
      </c>
      <c r="B50" t="s">
        <v>73</v>
      </c>
      <c r="C50" s="5" t="s">
        <v>174</v>
      </c>
      <c r="D50" t="s">
        <v>9</v>
      </c>
      <c r="E50" t="s">
        <v>16</v>
      </c>
      <c r="F50" t="s">
        <v>16</v>
      </c>
      <c r="G50" t="s">
        <v>175</v>
      </c>
      <c r="H50" t="s">
        <v>78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x14ac:dyDescent="0.25">
      <c r="A51" s="11">
        <v>46213</v>
      </c>
      <c r="B51" t="s">
        <v>73</v>
      </c>
      <c r="C51" s="5" t="s">
        <v>176</v>
      </c>
      <c r="D51" t="s">
        <v>12</v>
      </c>
      <c r="E51" t="s">
        <v>27</v>
      </c>
      <c r="F51" t="s">
        <v>27</v>
      </c>
      <c r="G51" t="s">
        <v>177</v>
      </c>
      <c r="H51" t="s">
        <v>78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25">
      <c r="A52" s="11">
        <v>46213</v>
      </c>
      <c r="B52" t="s">
        <v>73</v>
      </c>
      <c r="C52" s="5" t="s">
        <v>178</v>
      </c>
      <c r="D52" t="s">
        <v>12</v>
      </c>
      <c r="E52" t="s">
        <v>20</v>
      </c>
      <c r="F52" t="s">
        <v>20</v>
      </c>
      <c r="G52" t="s">
        <v>179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25">
      <c r="A53" s="11">
        <v>46213</v>
      </c>
      <c r="B53" t="s">
        <v>73</v>
      </c>
      <c r="C53" s="5" t="s">
        <v>180</v>
      </c>
      <c r="D53" t="s">
        <v>12</v>
      </c>
      <c r="E53" t="s">
        <v>10</v>
      </c>
      <c r="F53" t="s">
        <v>10</v>
      </c>
      <c r="G53" t="s">
        <v>181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46213</v>
      </c>
      <c r="B54" t="s">
        <v>76</v>
      </c>
      <c r="C54" s="5" t="s">
        <v>182</v>
      </c>
      <c r="D54" t="s">
        <v>81</v>
      </c>
      <c r="E54" t="s">
        <v>17</v>
      </c>
      <c r="F54" t="s">
        <v>17</v>
      </c>
      <c r="G54" t="s">
        <v>129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46213</v>
      </c>
      <c r="B55" t="s">
        <v>76</v>
      </c>
      <c r="C55" s="5" t="s">
        <v>183</v>
      </c>
      <c r="D55" t="s">
        <v>13</v>
      </c>
      <c r="E55" t="s">
        <v>23</v>
      </c>
      <c r="F55" t="s">
        <v>23</v>
      </c>
      <c r="G55" t="s">
        <v>97</v>
      </c>
      <c r="H55" t="s">
        <v>68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46213</v>
      </c>
      <c r="B56" t="s">
        <v>76</v>
      </c>
      <c r="C56" s="5" t="s">
        <v>184</v>
      </c>
      <c r="D56" t="s">
        <v>12</v>
      </c>
      <c r="E56" t="s">
        <v>23</v>
      </c>
      <c r="F56" t="s">
        <v>161</v>
      </c>
      <c r="G56" t="s">
        <v>162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ht="45" x14ac:dyDescent="0.25">
      <c r="A57" s="11">
        <v>46213</v>
      </c>
      <c r="B57" t="s">
        <v>76</v>
      </c>
      <c r="C57" s="5" t="s">
        <v>185</v>
      </c>
      <c r="D57" t="s">
        <v>12</v>
      </c>
      <c r="E57" t="s">
        <v>16</v>
      </c>
      <c r="F57" t="s">
        <v>87</v>
      </c>
      <c r="G57" t="s">
        <v>186</v>
      </c>
      <c r="H57" t="s">
        <v>68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46213</v>
      </c>
      <c r="B58" t="s">
        <v>76</v>
      </c>
      <c r="C58" s="5" t="s">
        <v>187</v>
      </c>
      <c r="D58" t="s">
        <v>12</v>
      </c>
      <c r="E58" t="s">
        <v>16</v>
      </c>
      <c r="F58" t="s">
        <v>16</v>
      </c>
      <c r="G58" t="s">
        <v>188</v>
      </c>
      <c r="H58" t="s">
        <v>68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ht="30" x14ac:dyDescent="0.25">
      <c r="A59" s="11">
        <v>46213</v>
      </c>
      <c r="B59" t="s">
        <v>76</v>
      </c>
      <c r="C59" s="5" t="s">
        <v>189</v>
      </c>
      <c r="D59" t="s">
        <v>12</v>
      </c>
      <c r="E59" t="s">
        <v>29</v>
      </c>
      <c r="F59" t="s">
        <v>29</v>
      </c>
      <c r="G59" t="s">
        <v>190</v>
      </c>
      <c r="H59" t="s">
        <v>68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11">
        <v>46213</v>
      </c>
      <c r="B60" t="s">
        <v>76</v>
      </c>
      <c r="C60" s="5" t="s">
        <v>191</v>
      </c>
      <c r="D60" t="s">
        <v>12</v>
      </c>
      <c r="E60" t="s">
        <v>20</v>
      </c>
      <c r="F60" t="s">
        <v>20</v>
      </c>
      <c r="G60" t="s">
        <v>132</v>
      </c>
      <c r="H60" t="s">
        <v>68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11">
        <v>46213</v>
      </c>
      <c r="B61" t="s">
        <v>76</v>
      </c>
      <c r="C61" s="5" t="s">
        <v>192</v>
      </c>
      <c r="D61" t="s">
        <v>12</v>
      </c>
      <c r="E61" t="s">
        <v>86</v>
      </c>
      <c r="F61" t="s">
        <v>86</v>
      </c>
      <c r="G61" t="s">
        <v>205</v>
      </c>
      <c r="H61" t="s">
        <v>68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11">
        <v>46213</v>
      </c>
      <c r="B62" t="s">
        <v>83</v>
      </c>
      <c r="C62" s="5" t="s">
        <v>193</v>
      </c>
      <c r="D62" t="s">
        <v>13</v>
      </c>
      <c r="E62" t="s">
        <v>29</v>
      </c>
      <c r="F62" t="s">
        <v>29</v>
      </c>
      <c r="G62" t="s">
        <v>92</v>
      </c>
      <c r="H62" t="s">
        <v>68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ht="30" x14ac:dyDescent="0.25">
      <c r="A63" s="11">
        <v>46213</v>
      </c>
      <c r="B63" t="s">
        <v>83</v>
      </c>
      <c r="C63" s="5" t="s">
        <v>194</v>
      </c>
      <c r="D63" t="s">
        <v>12</v>
      </c>
      <c r="E63" t="s">
        <v>29</v>
      </c>
      <c r="F63" t="s">
        <v>29</v>
      </c>
      <c r="G63" t="s">
        <v>135</v>
      </c>
      <c r="H63" t="s">
        <v>68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ht="45" x14ac:dyDescent="0.25">
      <c r="A64" s="11">
        <v>46213</v>
      </c>
      <c r="B64" t="s">
        <v>83</v>
      </c>
      <c r="C64" s="5" t="s">
        <v>195</v>
      </c>
      <c r="D64" t="s">
        <v>12</v>
      </c>
      <c r="E64" t="s">
        <v>16</v>
      </c>
      <c r="F64" t="s">
        <v>16</v>
      </c>
      <c r="G64" t="s">
        <v>196</v>
      </c>
      <c r="H64" t="s">
        <v>11</v>
      </c>
      <c r="I64" t="str">
        <f>_xlfn.XLOOKUP(Tabla1[[#This Row],[Dependencia]],Tabla2[Dependencia],Tabla2[Clasificación],"XXX",0)</f>
        <v>Alcaldías</v>
      </c>
      <c r="J64" t="str">
        <f>_xlfn.XLOOKUP(Tabla1[[#This Row],[Dependencia]],Tabla3[Dependencia],Tabla3[Nivel],"Otros",0)</f>
        <v>Otros</v>
      </c>
    </row>
    <row r="65" spans="1:10" ht="30" x14ac:dyDescent="0.25">
      <c r="A65" s="11">
        <v>46213</v>
      </c>
      <c r="B65" t="s">
        <v>83</v>
      </c>
      <c r="C65" s="5" t="s">
        <v>197</v>
      </c>
      <c r="D65" t="s">
        <v>12</v>
      </c>
      <c r="E65" t="s">
        <v>26</v>
      </c>
      <c r="F65" t="s">
        <v>26</v>
      </c>
      <c r="G65" t="s">
        <v>198</v>
      </c>
      <c r="H65" t="s">
        <v>11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Gabinete</v>
      </c>
    </row>
    <row r="66" spans="1:10" ht="30" x14ac:dyDescent="0.25">
      <c r="A66" s="11">
        <v>46213</v>
      </c>
      <c r="B66" t="s">
        <v>83</v>
      </c>
      <c r="C66" s="5" t="s">
        <v>199</v>
      </c>
      <c r="D66" t="s">
        <v>12</v>
      </c>
      <c r="E66" t="s">
        <v>17</v>
      </c>
      <c r="F66" t="s">
        <v>17</v>
      </c>
      <c r="G66" t="s">
        <v>129</v>
      </c>
      <c r="H66" t="s">
        <v>11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Gabinete</v>
      </c>
    </row>
    <row r="67" spans="1:10" ht="30" x14ac:dyDescent="0.25">
      <c r="A67" s="11">
        <v>46213</v>
      </c>
      <c r="B67" t="s">
        <v>77</v>
      </c>
      <c r="C67" s="5" t="s">
        <v>200</v>
      </c>
      <c r="D67" t="s">
        <v>13</v>
      </c>
      <c r="E67" t="s">
        <v>33</v>
      </c>
      <c r="F67" t="s">
        <v>33</v>
      </c>
      <c r="G67" t="s">
        <v>201</v>
      </c>
      <c r="H67" t="s">
        <v>11</v>
      </c>
      <c r="I67" t="str">
        <f>_xlfn.XLOOKUP(Tabla1[[#This Row],[Dependencia]],Tabla2[Dependencia],Tabla2[Clasificación],"XXX",0)</f>
        <v>Otros</v>
      </c>
      <c r="J67" t="str">
        <f>_xlfn.XLOOKUP(Tabla1[[#This Row],[Dependencia]],Tabla3[Dependencia],Tabla3[Nivel],"Otros",0)</f>
        <v>Otros</v>
      </c>
    </row>
    <row r="68" spans="1:10" x14ac:dyDescent="0.25">
      <c r="A68" s="11">
        <v>46213</v>
      </c>
      <c r="B68" t="s">
        <v>77</v>
      </c>
      <c r="C68" s="5" t="s">
        <v>202</v>
      </c>
      <c r="D68" t="s">
        <v>12</v>
      </c>
      <c r="E68" t="s">
        <v>10</v>
      </c>
      <c r="F68" t="s">
        <v>10</v>
      </c>
      <c r="G68" t="s">
        <v>85</v>
      </c>
      <c r="H68" t="s">
        <v>11</v>
      </c>
      <c r="I68" t="str">
        <f>_xlfn.XLOOKUP(Tabla1[[#This Row],[Dependencia]],Tabla2[Dependencia],Tabla2[Clasificación],"XXX",0)</f>
        <v>Otros</v>
      </c>
      <c r="J68" t="str">
        <f>_xlfn.XLOOKUP(Tabla1[[#This Row],[Dependencia]],Tabla3[Dependencia],Tabla3[Nivel],"Otros",0)</f>
        <v>Otros</v>
      </c>
    </row>
    <row r="69" spans="1:10" x14ac:dyDescent="0.25">
      <c r="A69" s="11">
        <v>46213</v>
      </c>
      <c r="B69" t="s">
        <v>77</v>
      </c>
      <c r="C69" s="5" t="s">
        <v>203</v>
      </c>
      <c r="D69" t="s">
        <v>12</v>
      </c>
      <c r="E69" t="s">
        <v>10</v>
      </c>
      <c r="F69" t="s">
        <v>10</v>
      </c>
      <c r="G69" t="s">
        <v>88</v>
      </c>
      <c r="H69" t="s">
        <v>11</v>
      </c>
      <c r="I69" t="str">
        <f>_xlfn.XLOOKUP(Tabla1[[#This Row],[Dependencia]],Tabla2[Dependencia],Tabla2[Clasificación],"XXX",0)</f>
        <v>Otros</v>
      </c>
      <c r="J69" t="str">
        <f>_xlfn.XLOOKUP(Tabla1[[#This Row],[Dependencia]],Tabla3[Dependencia],Tabla3[Nivel],"Otros",0)</f>
        <v>Otros</v>
      </c>
    </row>
    <row r="70" spans="1:10" x14ac:dyDescent="0.25">
      <c r="A70" s="11">
        <v>46213</v>
      </c>
      <c r="B70" t="s">
        <v>77</v>
      </c>
      <c r="C70" s="5" t="s">
        <v>204</v>
      </c>
      <c r="D70" t="s">
        <v>12</v>
      </c>
      <c r="E70" t="s">
        <v>10</v>
      </c>
      <c r="F70" t="s">
        <v>10</v>
      </c>
      <c r="G70" t="s">
        <v>72</v>
      </c>
      <c r="H70" t="s">
        <v>11</v>
      </c>
      <c r="I70" t="str">
        <f>_xlfn.XLOOKUP(Tabla1[[#This Row],[Dependencia]],Tabla2[Dependencia],Tabla2[Clasificación],"XXX",0)</f>
        <v>Otros</v>
      </c>
      <c r="J70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2026-07-11T00:09:04Z</dcterms:modified>
</cp:coreProperties>
</file>