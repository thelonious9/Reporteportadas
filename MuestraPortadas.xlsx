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3BCB1C5B-B10D-4CA8-A76D-084199E1F52E}" xr6:coauthVersionLast="47" xr6:coauthVersionMax="47" xr10:uidLastSave="{00000000-0000-0000-0000-000000000000}"/>
  <bookViews>
    <workbookView xWindow="-1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I2" i="1"/>
  <c r="J2" i="1"/>
</calcChain>
</file>

<file path=xl/sharedStrings.xml><?xml version="1.0" encoding="utf-8"?>
<sst xmlns="http://schemas.openxmlformats.org/spreadsheetml/2006/main" count="601" uniqueCount="187">
  <si>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</si>
  <si>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</si>
  <si>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</si>
  <si>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</si>
  <si>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</si>
  <si>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</si>
  <si>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</si>
  <si>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</si>
  <si>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</si>
  <si>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</si>
  <si>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</si>
  <si>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</si>
  <si>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</si>
  <si>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</si>
  <si>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</si>
  <si>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</si>
  <si>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</si>
  <si>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</si>
  <si>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</si>
  <si>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</si>
  <si>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</si>
  <si>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</si>
  <si>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</si>
  <si>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</si>
  <si>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</si>
  <si>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</si>
  <si>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</si>
  <si>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</si>
  <si>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</si>
  <si>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</si>
  <si>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</si>
  <si>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</si>
  <si>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</si>
  <si>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</si>
  <si>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</si>
  <si>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</si>
  <si>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</si>
  <si>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</si>
  <si>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</si>
  <si>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</si>
  <si>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</si>
  <si>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</si>
  <si>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</si>
  <si>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</si>
  <si>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</si>
  <si>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</si>
  <si>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</si>
  <si>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</si>
  <si>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</si>
  <si>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</si>
  <si>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</si>
  <si>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</si>
  <si>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</si>
  <si>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</si>
  <si>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</si>
  <si>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</si>
  <si>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</si>
  <si>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</si>
  <si>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</si>
  <si>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</si>
  <si>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</si>
  <si>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</si>
  <si>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</si>
  <si>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</si>
  <si>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</si>
  <si>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</si>
  <si>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</si>
  <si>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El Sol de Hidalgo</t>
  </si>
  <si>
    <t>La Jornada Hidalgo</t>
  </si>
  <si>
    <t>OCSAD</t>
  </si>
  <si>
    <t>Negativa</t>
  </si>
  <si>
    <t>El Universal Hidalgo</t>
  </si>
  <si>
    <t>Pachuca Brilla</t>
  </si>
  <si>
    <t>Temas varios</t>
  </si>
  <si>
    <t>Deportes</t>
  </si>
  <si>
    <t>Publicidad</t>
  </si>
  <si>
    <t>Videovigilancia</t>
  </si>
  <si>
    <t>Zunoticia</t>
  </si>
  <si>
    <t>Sipdus</t>
  </si>
  <si>
    <t>Criterio</t>
  </si>
  <si>
    <t>Marfeca</t>
  </si>
  <si>
    <t>Cintillo</t>
  </si>
  <si>
    <t>Positiva</t>
  </si>
  <si>
    <t>Bienestar Animal</t>
  </si>
  <si>
    <t>Síntesis</t>
  </si>
  <si>
    <t>Policía municipal</t>
  </si>
  <si>
    <t>Detención</t>
  </si>
  <si>
    <t>Milenio Hidalgo</t>
  </si>
  <si>
    <t>Rehabilitación Vial</t>
  </si>
  <si>
    <t>ayuda Humanitaria</t>
  </si>
  <si>
    <t>Canta por tu perro</t>
  </si>
  <si>
    <t>Proespa</t>
  </si>
  <si>
    <t>Apoyo a pueblos originarios</t>
  </si>
  <si>
    <t>Detención de policía</t>
  </si>
  <si>
    <t>Alistan festejo a la Virgen de la Asunción</t>
  </si>
  <si>
    <t>Inicia preparación de cultivo de cempasúchil</t>
  </si>
  <si>
    <t>Día De Muertos</t>
  </si>
  <si>
    <t>Cebolla y papa elevan canasta alimentaria</t>
  </si>
  <si>
    <t>Canasta básica</t>
  </si>
  <si>
    <t>Brenda Beltrán ha conquistado Italia</t>
  </si>
  <si>
    <t>Obras viales prolongan el traslado en Pachuca</t>
  </si>
  <si>
    <t>Lanzan mapeo de trabajos de infraestructura</t>
  </si>
  <si>
    <t>Obras De Infraestructura</t>
  </si>
  <si>
    <t>Solicita IEEH ampliar el plazo para registro de las candidaturas</t>
  </si>
  <si>
    <t>Candidaturas</t>
  </si>
  <si>
    <t>Van 635 mdp a Tianguistengo</t>
  </si>
  <si>
    <t>Rutas de la Reconstrucción</t>
  </si>
  <si>
    <t>Matan a sujeto en Pachuca; detienen a dos</t>
  </si>
  <si>
    <t>Intentó ganarle el paso al tren</t>
  </si>
  <si>
    <t>Accidente de tren</t>
  </si>
  <si>
    <t>Van 3.3 mdp a microcréditos</t>
  </si>
  <si>
    <t>Mujer Mipyme</t>
  </si>
  <si>
    <t>Homicidiosdolososbajan 23porcientoenlaentidad</t>
  </si>
  <si>
    <t>Incidencia Delictiva</t>
  </si>
  <si>
    <t>Un cierre digno</t>
  </si>
  <si>
    <t>Princesa del Sol, de vuelta</t>
  </si>
  <si>
    <t>Pide IEEH ampliar el plazo para registro de las candidaturas</t>
  </si>
  <si>
    <t>candidaturas</t>
  </si>
  <si>
    <t>Cerca de 60 mil se autoadscriben como indígenas en capital estatal</t>
  </si>
  <si>
    <t>Cedspi</t>
  </si>
  <si>
    <t>Presentan mujeres sin alas</t>
  </si>
  <si>
    <t>Puesta en escena</t>
  </si>
  <si>
    <t>CONCLUYERON 18  FUNCIONARIOS LAS INHABILITACIONES DE LA CONTRALORÍA</t>
  </si>
  <si>
    <t>Inhabilitación</t>
  </si>
  <si>
    <t>Descartan casos de ciclosporiasis, pero hay repunte en cuadros diarreicos</t>
  </si>
  <si>
    <t>Vigilancia Epidemiológica</t>
  </si>
  <si>
    <t>Caen los homicidios; refuerzan el combate al narco y extorsión</t>
  </si>
  <si>
    <t>Destinan a la Comisión Estatal 4 mdp en 2026</t>
  </si>
  <si>
    <t>CBPEH</t>
  </si>
  <si>
    <t>Búsqueda de personas</t>
  </si>
  <si>
    <t>Deteienen a encargado del C2 de Villa de Tezontepec</t>
  </si>
  <si>
    <t>Suspenden a magistrado y a jueza por violar derechos</t>
  </si>
  <si>
    <t>Economía del estado tiene alza superior a la nacional</t>
  </si>
  <si>
    <t>Índice De Actividad Industrial</t>
  </si>
  <si>
    <t>Retrata el Poder Judicial en teatro la realidad de internas</t>
  </si>
  <si>
    <t>Durante el primer semestre representaron 864 mdd</t>
  </si>
  <si>
    <t>Remesas</t>
  </si>
  <si>
    <t>Cristina Rivera recibirá el Juan Crisóstomo Dorio</t>
  </si>
  <si>
    <t>Cede De La Espriella y abre las puertas de Colombia a rescatistas un día después</t>
  </si>
  <si>
    <t>Warch afrontará un dilema si seis votan por subir tasas</t>
  </si>
  <si>
    <t>Temas internacionales</t>
  </si>
  <si>
    <t>Café y oro para sanar heridas y combatir el cáncer</t>
  </si>
  <si>
    <t>Universidades</t>
  </si>
  <si>
    <t>Investigación académica</t>
  </si>
  <si>
    <t>Tras hallazgo de cráneos, INAH detecta excavaciones clandestinas</t>
  </si>
  <si>
    <t>INAH</t>
  </si>
  <si>
    <t>Vestigios Arqueológicos</t>
  </si>
  <si>
    <t>Cuautepec disfraza sueldos por ""apoyos"" para sus trabajadores</t>
  </si>
  <si>
    <t>Derechos laborales</t>
  </si>
  <si>
    <t>Sheinbaum destaca baja de 51% en homicidios dolosos</t>
  </si>
  <si>
    <t>Ataque armado deja un hombre sin vida en el Minero; dos detenidos</t>
  </si>
  <si>
    <t>El embarazo al ser producto de la violación no es una bendición, es una secuela tortuosa</t>
  </si>
  <si>
    <t>ILE</t>
  </si>
  <si>
    <t>Hidalgo reduce 23% promedio diarios de homicidios dolosos</t>
  </si>
  <si>
    <t>Detienen al encargado del C2 de Villa de Tezontepec</t>
  </si>
  <si>
    <t>En Pachuca 60 mil personas se autoadscriben como indígenas</t>
  </si>
  <si>
    <t>Crece actividad industrial en la entidad: Inegi</t>
  </si>
  <si>
    <t>EN Xochicoatlán, Julio Menchaca reafirma compromiso para reconstruir Hidalgo</t>
  </si>
  <si>
    <t>El 15° festival del Son Huasteco reunirá en Atlapexco a huapangueros</t>
  </si>
  <si>
    <t>Festival Cultural</t>
  </si>
  <si>
    <t>Exigen justicia para "Pintita", perrita agredida con un machete</t>
  </si>
  <si>
    <t>Maltrato animal</t>
  </si>
  <si>
    <t>Cruz Roja reporta ""saldo blanco"" Tlajtoli</t>
  </si>
  <si>
    <t>Día de los pueblos indígenas</t>
  </si>
  <si>
    <t>Artesanos agradecen el apoyo del Ayuntamiento al talento huasteco</t>
  </si>
  <si>
    <t>Apoyo a artesanos</t>
  </si>
  <si>
    <t>Menchaca Salazar anuncia inversión histórica de 635 millones de pesos para Tianguistengo</t>
  </si>
  <si>
    <t>Hidalgo rompe récord de crecimiento industrial en México</t>
  </si>
  <si>
    <t>En Xochicoatlán, Julio Menchaca reafirma compromiso para reconstruir Hidalgo</t>
  </si>
  <si>
    <t>El Depósito estrena nueva cancha de futbol 5</t>
  </si>
  <si>
    <t>Fomento Al Deporte</t>
  </si>
  <si>
    <t>Tezontepec de Aldama inaugura cancha de futbol 5 del Mundial Social</t>
  </si>
  <si>
    <t>Inician pavimentación de la calle sauces en Cerro de la Cruz</t>
  </si>
  <si>
    <t>Pavimentación hidráulica</t>
  </si>
  <si>
    <t>Microbús accidnta contra motocicleta y termina incrustado en un local en El Carmen</t>
  </si>
  <si>
    <t>Accidente transporte público</t>
  </si>
  <si>
    <t>Julio Menchaca reafirma compromiso para reconstruir Hidalgo</t>
  </si>
  <si>
    <t>Con triunfo, Tuzos se despiden de la Leagues Cup</t>
  </si>
  <si>
    <t>Asesinan a persona en Pachuca y huyen en carroza; dos detenidos</t>
  </si>
  <si>
    <t>Mantiene la entidad tendencia a la baja en incidencia delictiva</t>
  </si>
  <si>
    <t>Más tecnología, más cobertura</t>
  </si>
  <si>
    <t>Hidalgo, con incidencia delictiva a la baja</t>
  </si>
  <si>
    <t>Gobierno rehabilitará nueve caminos en Xochicoatlán</t>
  </si>
  <si>
    <t>En 22 meses, los homicidios dolosos disminuyeron 51%</t>
  </si>
  <si>
    <t>Pachuca se despide con victoria de Leagues Cup</t>
  </si>
  <si>
    <t>Alertan sobre tala clandestina en Acaxochitlán</t>
  </si>
  <si>
    <t>Tala clandestina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</si>
</sst>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sortState xmlns:xlrd2="http://schemas.microsoft.com/office/spreadsheetml/2017/richdata2" ref="A2:J2">
    <sortCondition ref="C1:C2"/>
  </sortState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workbookViewId="0">
      <selection activeCell="A2" sqref="A2:H64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46246</v>
      </c>
      <c r="B2" t="s">
        <v>67</v>
      </c>
      <c r="C2" s="5" t="s">
        <v>94</v>
      </c>
      <c r="D2" t="s">
        <v>12</v>
      </c>
      <c r="E2" t="s">
        <v>10</v>
      </c>
      <c r="F2" t="s">
        <v>10</v>
      </c>
      <c r="G2" t="s">
        <v>73</v>
      </c>
      <c r="H2" t="s">
        <v>11</v>
      </c>
      <c r="I2" t="str">
        <f>_xlfn.XLOOKUP(Tabla1[[#This Row],[Dependencia]],Tabla2[Dependencia],Tabla2[Clasificación],"XXX",0)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11">
        <v>46246</v>
      </c>
      <c r="B3" t="s">
        <v>67</v>
      </c>
      <c r="C3" s="5" t="s">
        <v>95</v>
      </c>
      <c r="D3" t="s">
        <v>12</v>
      </c>
      <c r="E3" t="s">
        <v>10</v>
      </c>
      <c r="F3" t="s">
        <v>10</v>
      </c>
      <c r="G3" t="s">
        <v>96</v>
      </c>
      <c r="H3" t="s">
        <v>11</v>
      </c>
      <c r="I3" t="str">
        <f>_xlfn.XLOOKUP(Tabla1[[#This Row],[Dependencia]],Tabla2[Dependencia],Tabla2[Clasificación],"XXX",0)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11">
        <v>46246</v>
      </c>
      <c r="B4" t="s">
        <v>67</v>
      </c>
      <c r="C4" s="5" t="s">
        <v>97</v>
      </c>
      <c r="D4" t="s">
        <v>13</v>
      </c>
      <c r="E4" t="s">
        <v>10</v>
      </c>
      <c r="F4" t="s">
        <v>10</v>
      </c>
      <c r="G4" t="s">
        <v>98</v>
      </c>
      <c r="H4" t="s">
        <v>70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46246</v>
      </c>
      <c r="B5" t="s">
        <v>67</v>
      </c>
      <c r="C5" s="5" t="s">
        <v>99</v>
      </c>
      <c r="D5" t="s">
        <v>12</v>
      </c>
      <c r="E5" t="s">
        <v>10</v>
      </c>
      <c r="F5" t="s">
        <v>10</v>
      </c>
      <c r="G5" t="s">
        <v>73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46246</v>
      </c>
      <c r="B6" t="s">
        <v>67</v>
      </c>
      <c r="C6" s="5" t="s">
        <v>100</v>
      </c>
      <c r="D6" t="s">
        <v>9</v>
      </c>
      <c r="E6" t="s">
        <v>78</v>
      </c>
      <c r="F6" t="s">
        <v>78</v>
      </c>
      <c r="G6" t="s">
        <v>88</v>
      </c>
      <c r="H6" t="s">
        <v>70</v>
      </c>
      <c r="I6" t="str">
        <f>_xlfn.XLOOKUP(Tabla1[[#This Row],[Dependencia]],Tabla2[Dependencia],Tabla2[Clasificación],"XXX",0)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11">
        <v>46246</v>
      </c>
      <c r="B7" t="s">
        <v>67</v>
      </c>
      <c r="C7" s="5" t="s">
        <v>101</v>
      </c>
      <c r="D7" t="s">
        <v>12</v>
      </c>
      <c r="E7" t="s">
        <v>16</v>
      </c>
      <c r="F7" t="s">
        <v>16</v>
      </c>
      <c r="G7" t="s">
        <v>102</v>
      </c>
      <c r="H7" t="s">
        <v>11</v>
      </c>
      <c r="I7" t="str">
        <f>_xlfn.XLOOKUP(Tabla1[[#This Row],[Dependencia]],Tabla2[Dependencia],Tabla2[Clasificación],"XXX",0)</f>
        <v>Alcaldías</v>
      </c>
      <c r="J7" t="str">
        <f>_xlfn.XLOOKUP(Tabla1[[#This Row],[Dependencia]],Tabla3[Dependencia],Tabla3[Nivel],"Otros",0)</f>
        <v>Otros</v>
      </c>
    </row>
    <row r="8" spans="1:10" ht="29" x14ac:dyDescent="0.35">
      <c r="A8" s="11">
        <v>46246</v>
      </c>
      <c r="B8" t="s">
        <v>71</v>
      </c>
      <c r="C8" s="5" t="s">
        <v>103</v>
      </c>
      <c r="D8" t="s">
        <v>13</v>
      </c>
      <c r="E8" t="s">
        <v>40</v>
      </c>
      <c r="F8" t="s">
        <v>40</v>
      </c>
      <c r="G8" t="s">
        <v>104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46246</v>
      </c>
      <c r="B9" t="s">
        <v>71</v>
      </c>
      <c r="C9" s="5" t="s">
        <v>105</v>
      </c>
      <c r="D9" t="s">
        <v>12</v>
      </c>
      <c r="E9" t="s">
        <v>24</v>
      </c>
      <c r="F9" t="s">
        <v>24</v>
      </c>
      <c r="G9" t="s">
        <v>106</v>
      </c>
      <c r="H9" t="s">
        <v>11</v>
      </c>
      <c r="I9" t="str">
        <f>_xlfn.XLOOKUP(Tabla1[[#This Row],[Dependencia]],Tabla2[Dependencia],Tabla2[Clasificación],"XXX",0)</f>
        <v>Gobierno del estado</v>
      </c>
      <c r="J9" t="str">
        <f>_xlfn.XLOOKUP(Tabla1[[#This Row],[Dependencia]],Tabla3[Dependencia],Tabla3[Nivel],"Otros",0)</f>
        <v>Gobernador</v>
      </c>
    </row>
    <row r="10" spans="1:10" x14ac:dyDescent="0.35">
      <c r="A10" s="11">
        <v>46246</v>
      </c>
      <c r="B10" t="s">
        <v>71</v>
      </c>
      <c r="C10" s="5" t="s">
        <v>107</v>
      </c>
      <c r="D10" t="s">
        <v>12</v>
      </c>
      <c r="E10" t="s">
        <v>22</v>
      </c>
      <c r="F10" t="s">
        <v>22</v>
      </c>
      <c r="G10" t="s">
        <v>86</v>
      </c>
      <c r="H10" t="s">
        <v>11</v>
      </c>
      <c r="I10" t="str">
        <f>_xlfn.XLOOKUP(Tabla1[[#This Row],[Dependencia]],Tabla2[Dependencia],Tabla2[Clasificación],"XXX",0)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11">
        <v>46246</v>
      </c>
      <c r="B11" t="s">
        <v>71</v>
      </c>
      <c r="C11" s="5" t="s">
        <v>108</v>
      </c>
      <c r="D11" t="s">
        <v>9</v>
      </c>
      <c r="E11" t="s">
        <v>22</v>
      </c>
      <c r="F11" t="s">
        <v>22</v>
      </c>
      <c r="G11" t="s">
        <v>109</v>
      </c>
      <c r="H11" t="s">
        <v>11</v>
      </c>
      <c r="I11" t="str">
        <f>_xlfn.XLOOKUP(Tabla1[[#This Row],[Dependencia]],Tabla2[Dependencia],Tabla2[Clasificación],"XXX",0)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11">
        <v>46246</v>
      </c>
      <c r="B12" t="s">
        <v>71</v>
      </c>
      <c r="C12" s="5" t="s">
        <v>110</v>
      </c>
      <c r="D12" t="s">
        <v>12</v>
      </c>
      <c r="E12" t="s">
        <v>16</v>
      </c>
      <c r="F12" t="s">
        <v>16</v>
      </c>
      <c r="G12" t="s">
        <v>111</v>
      </c>
      <c r="H12" t="s">
        <v>11</v>
      </c>
      <c r="I12" t="str">
        <f>_xlfn.XLOOKUP(Tabla1[[#This Row],[Dependencia]],Tabla2[Dependencia],Tabla2[Clasificación],"XXX",0)</f>
        <v>Alcaldías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46246</v>
      </c>
      <c r="B13" t="s">
        <v>71</v>
      </c>
      <c r="C13" s="5" t="s">
        <v>112</v>
      </c>
      <c r="D13" t="s">
        <v>12</v>
      </c>
      <c r="E13" t="s">
        <v>14</v>
      </c>
      <c r="F13" t="s">
        <v>14</v>
      </c>
      <c r="G13" t="s">
        <v>113</v>
      </c>
      <c r="H13" t="s">
        <v>82</v>
      </c>
      <c r="I13" t="str">
        <f>_xlfn.XLOOKUP(Tabla1[[#This Row],[Dependencia]],Tabla2[Dependencia],Tabla2[Clasificación],"XXX",0)</f>
        <v>Presidencia de la República</v>
      </c>
      <c r="J13" t="str">
        <f>_xlfn.XLOOKUP(Tabla1[[#This Row],[Dependencia]],Tabla3[Dependencia],Tabla3[Nivel],"Otros",0)</f>
        <v>Otros</v>
      </c>
    </row>
    <row r="14" spans="1:10" x14ac:dyDescent="0.35">
      <c r="A14" s="11">
        <v>46246</v>
      </c>
      <c r="B14" t="s">
        <v>79</v>
      </c>
      <c r="C14" s="5" t="s">
        <v>114</v>
      </c>
      <c r="D14" t="s">
        <v>12</v>
      </c>
      <c r="E14" t="s">
        <v>10</v>
      </c>
      <c r="F14" t="s">
        <v>10</v>
      </c>
      <c r="G14" t="s">
        <v>74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46246</v>
      </c>
      <c r="B15" t="s">
        <v>79</v>
      </c>
      <c r="C15" s="5" t="s">
        <v>115</v>
      </c>
      <c r="D15" t="s">
        <v>12</v>
      </c>
      <c r="E15" t="s">
        <v>10</v>
      </c>
      <c r="F15" t="s">
        <v>10</v>
      </c>
      <c r="G15" t="s">
        <v>74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46246</v>
      </c>
      <c r="B16" t="s">
        <v>79</v>
      </c>
      <c r="C16" s="5" t="s">
        <v>116</v>
      </c>
      <c r="D16" t="s">
        <v>13</v>
      </c>
      <c r="E16" t="s">
        <v>40</v>
      </c>
      <c r="F16" t="s">
        <v>40</v>
      </c>
      <c r="G16" t="s">
        <v>117</v>
      </c>
      <c r="H16" t="s">
        <v>11</v>
      </c>
      <c r="I16" t="str">
        <f>_xlfn.XLOOKUP(Tabla1[[#This Row],[Dependencia]],Tabla2[Dependencia],Tabla2[Clasificación],"XXX",0)</f>
        <v>Otros</v>
      </c>
      <c r="J16" t="str">
        <f>_xlfn.XLOOKUP(Tabla1[[#This Row],[Dependencia]],Tabla3[Dependencia],Tabla3[Nivel],"Otros",0)</f>
        <v>Otros</v>
      </c>
    </row>
    <row r="17" spans="1:10" ht="29" x14ac:dyDescent="0.35">
      <c r="A17" s="11">
        <v>46246</v>
      </c>
      <c r="B17" t="s">
        <v>79</v>
      </c>
      <c r="C17" s="5" t="s">
        <v>118</v>
      </c>
      <c r="D17" t="s">
        <v>12</v>
      </c>
      <c r="E17" t="s">
        <v>47</v>
      </c>
      <c r="F17" t="s">
        <v>119</v>
      </c>
      <c r="G17" t="s">
        <v>92</v>
      </c>
      <c r="H17" t="s">
        <v>11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35">
      <c r="A18" s="11">
        <v>46246</v>
      </c>
      <c r="B18" t="s">
        <v>79</v>
      </c>
      <c r="C18" s="5" t="s">
        <v>120</v>
      </c>
      <c r="D18" t="s">
        <v>9</v>
      </c>
      <c r="E18" t="s">
        <v>58</v>
      </c>
      <c r="F18" t="s">
        <v>58</v>
      </c>
      <c r="G18" t="s">
        <v>121</v>
      </c>
      <c r="H18" t="s">
        <v>11</v>
      </c>
      <c r="I18" t="str">
        <f>_xlfn.XLOOKUP(Tabla1[[#This Row],[Dependencia]],Tabla2[Dependencia],Tabla2[Clasificación],"XXX",0)</f>
        <v>Otros</v>
      </c>
      <c r="J18" t="str">
        <f>_xlfn.XLOOKUP(Tabla1[[#This Row],[Dependencia]],Tabla3[Dependencia],Tabla3[Nivel],"Otros",0)</f>
        <v>Otros</v>
      </c>
    </row>
    <row r="19" spans="1:10" ht="29" x14ac:dyDescent="0.35">
      <c r="A19" s="11">
        <v>46246</v>
      </c>
      <c r="B19" t="s">
        <v>79</v>
      </c>
      <c r="C19" s="5" t="s">
        <v>122</v>
      </c>
      <c r="D19" t="s">
        <v>12</v>
      </c>
      <c r="E19" t="s">
        <v>34</v>
      </c>
      <c r="F19" t="s">
        <v>34</v>
      </c>
      <c r="G19" t="s">
        <v>123</v>
      </c>
      <c r="H19" t="s">
        <v>11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Gabinete</v>
      </c>
    </row>
    <row r="20" spans="1:10" ht="29" x14ac:dyDescent="0.35">
      <c r="A20" s="11">
        <v>46246</v>
      </c>
      <c r="B20" t="s">
        <v>79</v>
      </c>
      <c r="C20" s="5" t="s">
        <v>124</v>
      </c>
      <c r="D20" t="s">
        <v>12</v>
      </c>
      <c r="E20" t="s">
        <v>15</v>
      </c>
      <c r="F20" t="s">
        <v>15</v>
      </c>
      <c r="G20" t="s">
        <v>125</v>
      </c>
      <c r="H20" t="s">
        <v>11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Gabinete</v>
      </c>
    </row>
    <row r="21" spans="1:10" ht="29" x14ac:dyDescent="0.35">
      <c r="A21" s="11">
        <v>46246</v>
      </c>
      <c r="B21" t="s">
        <v>87</v>
      </c>
      <c r="C21" s="5" t="s">
        <v>126</v>
      </c>
      <c r="D21" t="s">
        <v>13</v>
      </c>
      <c r="E21" t="s">
        <v>22</v>
      </c>
      <c r="F21" t="s">
        <v>22</v>
      </c>
      <c r="G21" t="s">
        <v>113</v>
      </c>
      <c r="H21" t="s">
        <v>82</v>
      </c>
      <c r="I21" t="str">
        <f>_xlfn.XLOOKUP(Tabla1[[#This Row],[Dependencia]],Tabla2[Dependencia],Tabla2[Clasificación],"XXX",0)</f>
        <v>Gobierno del estado</v>
      </c>
      <c r="J21" t="str">
        <f>_xlfn.XLOOKUP(Tabla1[[#This Row],[Dependencia]],Tabla3[Dependencia],Tabla3[Nivel],"Otros",0)</f>
        <v>Gabinete</v>
      </c>
    </row>
    <row r="22" spans="1:10" x14ac:dyDescent="0.35">
      <c r="A22" s="11">
        <v>46246</v>
      </c>
      <c r="B22" t="s">
        <v>87</v>
      </c>
      <c r="C22" s="5" t="s">
        <v>127</v>
      </c>
      <c r="D22" t="s">
        <v>12</v>
      </c>
      <c r="E22" t="s">
        <v>23</v>
      </c>
      <c r="F22" t="s">
        <v>128</v>
      </c>
      <c r="G22" t="s">
        <v>129</v>
      </c>
      <c r="H22" t="s">
        <v>11</v>
      </c>
      <c r="I22" t="str">
        <f>_xlfn.XLOOKUP(Tabla1[[#This Row],[Dependencia]],Tabla2[Dependencia],Tabla2[Clasificación],"XXX",0)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11">
        <v>46246</v>
      </c>
      <c r="B23" t="s">
        <v>87</v>
      </c>
      <c r="C23" s="5" t="s">
        <v>130</v>
      </c>
      <c r="D23" t="s">
        <v>12</v>
      </c>
      <c r="E23" t="s">
        <v>22</v>
      </c>
      <c r="F23" t="s">
        <v>22</v>
      </c>
      <c r="G23" t="s">
        <v>93</v>
      </c>
      <c r="H23" t="s">
        <v>11</v>
      </c>
      <c r="I23" t="str">
        <f>_xlfn.XLOOKUP(Tabla1[[#This Row],[Dependencia]],Tabla2[Dependencia],Tabla2[Clasificación],"XXX",0)</f>
        <v>Gobierno del estado</v>
      </c>
      <c r="J23" t="str">
        <f>_xlfn.XLOOKUP(Tabla1[[#This Row],[Dependencia]],Tabla3[Dependencia],Tabla3[Nivel],"Otros",0)</f>
        <v>Gabinete</v>
      </c>
    </row>
    <row r="24" spans="1:10" x14ac:dyDescent="0.35">
      <c r="A24" s="11">
        <v>46246</v>
      </c>
      <c r="B24" t="s">
        <v>87</v>
      </c>
      <c r="C24" s="5" t="s">
        <v>131</v>
      </c>
      <c r="D24" t="s">
        <v>12</v>
      </c>
      <c r="E24" t="s">
        <v>10</v>
      </c>
      <c r="F24" t="s">
        <v>10</v>
      </c>
      <c r="G24" t="s">
        <v>123</v>
      </c>
      <c r="H24" t="s">
        <v>11</v>
      </c>
      <c r="I24" t="str">
        <f>_xlfn.XLOOKUP(Tabla1[[#This Row],[Dependencia]],Tabla2[Dependencia],Tabla2[Clasificación],"XXX",0)</f>
        <v>Otros</v>
      </c>
      <c r="J24" t="str">
        <f>_xlfn.XLOOKUP(Tabla1[[#This Row],[Dependencia]],Tabla3[Dependencia],Tabla3[Nivel],"Otros",0)</f>
        <v>Otros</v>
      </c>
    </row>
    <row r="25" spans="1:10" x14ac:dyDescent="0.35">
      <c r="A25" s="11">
        <v>46246</v>
      </c>
      <c r="B25" t="s">
        <v>87</v>
      </c>
      <c r="C25" s="5" t="s">
        <v>132</v>
      </c>
      <c r="D25" t="s">
        <v>12</v>
      </c>
      <c r="E25" t="s">
        <v>54</v>
      </c>
      <c r="F25" t="s">
        <v>54</v>
      </c>
      <c r="G25" t="s">
        <v>133</v>
      </c>
      <c r="H25" t="s">
        <v>82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Gabinete</v>
      </c>
    </row>
    <row r="26" spans="1:10" x14ac:dyDescent="0.35">
      <c r="A26" s="11">
        <v>46246</v>
      </c>
      <c r="B26" t="s">
        <v>87</v>
      </c>
      <c r="C26" s="5" t="s">
        <v>134</v>
      </c>
      <c r="D26" t="s">
        <v>9</v>
      </c>
      <c r="E26" t="s">
        <v>58</v>
      </c>
      <c r="F26" t="s">
        <v>58</v>
      </c>
      <c r="G26" t="s">
        <v>121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11">
        <v>46246</v>
      </c>
      <c r="B27" t="s">
        <v>87</v>
      </c>
      <c r="C27" s="5" t="s">
        <v>135</v>
      </c>
      <c r="D27" t="s">
        <v>12</v>
      </c>
      <c r="E27" t="s">
        <v>10</v>
      </c>
      <c r="F27" t="s">
        <v>10</v>
      </c>
      <c r="G27" t="s">
        <v>136</v>
      </c>
      <c r="H27" t="s">
        <v>11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x14ac:dyDescent="0.35">
      <c r="A28" s="11">
        <v>46246</v>
      </c>
      <c r="B28" t="s">
        <v>87</v>
      </c>
      <c r="C28" s="5" t="s">
        <v>137</v>
      </c>
      <c r="D28" t="s">
        <v>12</v>
      </c>
      <c r="E28" t="s">
        <v>10</v>
      </c>
      <c r="F28" t="s">
        <v>10</v>
      </c>
      <c r="G28" t="s">
        <v>74</v>
      </c>
      <c r="H28" t="s">
        <v>11</v>
      </c>
      <c r="I28" t="str">
        <f>_xlfn.XLOOKUP(Tabla1[[#This Row],[Dependencia]],Tabla2[Dependencia],Tabla2[Clasificación],"XXX",0)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11">
        <v>46246</v>
      </c>
      <c r="B29" t="s">
        <v>87</v>
      </c>
      <c r="C29" s="5" t="s">
        <v>138</v>
      </c>
      <c r="D29" t="s">
        <v>12</v>
      </c>
      <c r="E29" t="s">
        <v>10</v>
      </c>
      <c r="F29" t="s">
        <v>10</v>
      </c>
      <c r="G29" t="s">
        <v>89</v>
      </c>
      <c r="H29" t="s">
        <v>11</v>
      </c>
      <c r="I29" t="str">
        <f>_xlfn.XLOOKUP(Tabla1[[#This Row],[Dependencia]],Tabla2[Dependencia],Tabla2[Clasificación],"XXX",0)</f>
        <v>Otros</v>
      </c>
      <c r="J29" t="str">
        <f>_xlfn.XLOOKUP(Tabla1[[#This Row],[Dependencia]],Tabla3[Dependencia],Tabla3[Nivel],"Otros",0)</f>
        <v>Otros</v>
      </c>
    </row>
    <row r="30" spans="1:10" x14ac:dyDescent="0.35">
      <c r="A30" s="11">
        <v>46246</v>
      </c>
      <c r="B30" t="s">
        <v>87</v>
      </c>
      <c r="C30" s="5" t="s">
        <v>139</v>
      </c>
      <c r="D30" t="s">
        <v>12</v>
      </c>
      <c r="E30" t="s">
        <v>10</v>
      </c>
      <c r="F30" t="s">
        <v>10</v>
      </c>
      <c r="G30" t="s">
        <v>140</v>
      </c>
      <c r="H30" t="s">
        <v>11</v>
      </c>
      <c r="I30" t="str">
        <f>_xlfn.XLOOKUP(Tabla1[[#This Row],[Dependencia]],Tabla2[Dependencia],Tabla2[Clasificación],"XXX",0)</f>
        <v>Otros</v>
      </c>
      <c r="J30" t="str">
        <f>_xlfn.XLOOKUP(Tabla1[[#This Row],[Dependencia]],Tabla3[Dependencia],Tabla3[Nivel],"Otros",0)</f>
        <v>Otros</v>
      </c>
    </row>
    <row r="31" spans="1:10" x14ac:dyDescent="0.35">
      <c r="A31" s="11">
        <v>46246</v>
      </c>
      <c r="B31" t="s">
        <v>87</v>
      </c>
      <c r="C31" s="5" t="s">
        <v>141</v>
      </c>
      <c r="D31" t="s">
        <v>12</v>
      </c>
      <c r="E31" t="s">
        <v>26</v>
      </c>
      <c r="F31" t="s">
        <v>142</v>
      </c>
      <c r="G31" t="s">
        <v>143</v>
      </c>
      <c r="H31" t="s">
        <v>11</v>
      </c>
      <c r="I31" t="str">
        <f>_xlfn.XLOOKUP(Tabla1[[#This Row],[Dependencia]],Tabla2[Dependencia],Tabla2[Clasificación],"XXX",0)</f>
        <v>Gobierno del estado</v>
      </c>
      <c r="J31" t="str">
        <f>_xlfn.XLOOKUP(Tabla1[[#This Row],[Dependencia]],Tabla3[Dependencia],Tabla3[Nivel],"Otros",0)</f>
        <v>Gabinete</v>
      </c>
    </row>
    <row r="32" spans="1:10" ht="29" x14ac:dyDescent="0.35">
      <c r="A32" s="11">
        <v>46246</v>
      </c>
      <c r="B32" t="s">
        <v>68</v>
      </c>
      <c r="C32" s="5" t="s">
        <v>144</v>
      </c>
      <c r="D32" t="s">
        <v>12</v>
      </c>
      <c r="E32" t="s">
        <v>14</v>
      </c>
      <c r="F32" t="s">
        <v>145</v>
      </c>
      <c r="G32" t="s">
        <v>146</v>
      </c>
      <c r="H32" t="s">
        <v>11</v>
      </c>
      <c r="I32" t="str">
        <f>_xlfn.XLOOKUP(Tabla1[[#This Row],[Dependencia]],Tabla2[Dependencia],Tabla2[Clasificación],"XXX",0)</f>
        <v>Presidencia de la República</v>
      </c>
      <c r="J32" t="str">
        <f>_xlfn.XLOOKUP(Tabla1[[#This Row],[Dependencia]],Tabla3[Dependencia],Tabla3[Nivel],"Otros",0)</f>
        <v>Otros</v>
      </c>
    </row>
    <row r="33" spans="1:10" ht="29" x14ac:dyDescent="0.35">
      <c r="A33" s="11">
        <v>46246</v>
      </c>
      <c r="B33" t="s">
        <v>68</v>
      </c>
      <c r="C33" s="5" t="s">
        <v>147</v>
      </c>
      <c r="D33" t="s">
        <v>13</v>
      </c>
      <c r="E33" t="s">
        <v>16</v>
      </c>
      <c r="F33" t="s">
        <v>16</v>
      </c>
      <c r="G33" t="s">
        <v>148</v>
      </c>
      <c r="H33" t="s">
        <v>70</v>
      </c>
      <c r="I33" t="str">
        <f>_xlfn.XLOOKUP(Tabla1[[#This Row],[Dependencia]],Tabla2[Dependencia],Tabla2[Clasificación],"XXX",0)</f>
        <v>Alcaldías</v>
      </c>
      <c r="J33" t="str">
        <f>_xlfn.XLOOKUP(Tabla1[[#This Row],[Dependencia]],Tabla3[Dependencia],Tabla3[Nivel],"Otros",0)</f>
        <v>Otros</v>
      </c>
    </row>
    <row r="34" spans="1:10" x14ac:dyDescent="0.35">
      <c r="A34" s="11">
        <v>46246</v>
      </c>
      <c r="B34" t="s">
        <v>68</v>
      </c>
      <c r="C34" s="5" t="s">
        <v>149</v>
      </c>
      <c r="D34" t="s">
        <v>12</v>
      </c>
      <c r="E34" t="s">
        <v>14</v>
      </c>
      <c r="F34" t="s">
        <v>14</v>
      </c>
      <c r="G34" t="s">
        <v>113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29" x14ac:dyDescent="0.35">
      <c r="A35" s="11">
        <v>46246</v>
      </c>
      <c r="B35" t="s">
        <v>68</v>
      </c>
      <c r="C35" s="5" t="s">
        <v>150</v>
      </c>
      <c r="D35" t="s">
        <v>9</v>
      </c>
      <c r="E35" t="s">
        <v>22</v>
      </c>
      <c r="F35" t="s">
        <v>22</v>
      </c>
      <c r="G35" t="s">
        <v>86</v>
      </c>
      <c r="H35" t="s">
        <v>11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Gabinete</v>
      </c>
    </row>
    <row r="36" spans="1:10" ht="29" x14ac:dyDescent="0.35">
      <c r="A36" s="11">
        <v>46246</v>
      </c>
      <c r="B36" t="s">
        <v>68</v>
      </c>
      <c r="C36" s="5" t="s">
        <v>151</v>
      </c>
      <c r="D36" t="s">
        <v>12</v>
      </c>
      <c r="E36" t="s">
        <v>10</v>
      </c>
      <c r="F36" t="s">
        <v>10</v>
      </c>
      <c r="G36" t="s">
        <v>152</v>
      </c>
      <c r="H36" t="s">
        <v>11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x14ac:dyDescent="0.35">
      <c r="A37" s="11">
        <v>46246</v>
      </c>
      <c r="B37" t="s">
        <v>84</v>
      </c>
      <c r="C37" s="5" t="s">
        <v>153</v>
      </c>
      <c r="D37" t="s">
        <v>13</v>
      </c>
      <c r="E37" t="s">
        <v>14</v>
      </c>
      <c r="F37" t="s">
        <v>14</v>
      </c>
      <c r="G37" t="s">
        <v>113</v>
      </c>
      <c r="H37" t="s">
        <v>82</v>
      </c>
      <c r="I37" t="str">
        <f>_xlfn.XLOOKUP(Tabla1[[#This Row],[Dependencia]],Tabla2[Dependencia],Tabla2[Clasificación],"XXX",0)</f>
        <v>Presidencia de la República</v>
      </c>
      <c r="J37" t="str">
        <f>_xlfn.XLOOKUP(Tabla1[[#This Row],[Dependencia]],Tabla3[Dependencia],Tabla3[Nivel],"Otros",0)</f>
        <v>Otros</v>
      </c>
    </row>
    <row r="38" spans="1:10" x14ac:dyDescent="0.35">
      <c r="A38" s="11">
        <v>46246</v>
      </c>
      <c r="B38" t="s">
        <v>84</v>
      </c>
      <c r="C38" s="5" t="s">
        <v>154</v>
      </c>
      <c r="D38" t="s">
        <v>12</v>
      </c>
      <c r="E38" t="s">
        <v>22</v>
      </c>
      <c r="F38" t="s">
        <v>22</v>
      </c>
      <c r="G38" t="s">
        <v>93</v>
      </c>
      <c r="H38" t="s">
        <v>11</v>
      </c>
      <c r="I38" t="str">
        <f>_xlfn.XLOOKUP(Tabla1[[#This Row],[Dependencia]],Tabla2[Dependencia],Tabla2[Clasificación],"XXX",0)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11">
        <v>46246</v>
      </c>
      <c r="B39" t="s">
        <v>84</v>
      </c>
      <c r="C39" s="5" t="s">
        <v>155</v>
      </c>
      <c r="D39" t="s">
        <v>12</v>
      </c>
      <c r="E39" t="s">
        <v>47</v>
      </c>
      <c r="F39" t="s">
        <v>119</v>
      </c>
      <c r="G39" t="s">
        <v>92</v>
      </c>
      <c r="H39" t="s">
        <v>11</v>
      </c>
      <c r="I39" t="str">
        <f>_xlfn.XLOOKUP(Tabla1[[#This Row],[Dependencia]],Tabla2[Dependencia],Tabla2[Clasificación],"XXX",0)</f>
        <v>Gobierno del estado</v>
      </c>
      <c r="J39" t="str">
        <f>_xlfn.XLOOKUP(Tabla1[[#This Row],[Dependencia]],Tabla3[Dependencia],Tabla3[Nivel],"Otros",0)</f>
        <v>Gabinete</v>
      </c>
    </row>
    <row r="40" spans="1:10" x14ac:dyDescent="0.35">
      <c r="A40" s="11">
        <v>46246</v>
      </c>
      <c r="B40" t="s">
        <v>84</v>
      </c>
      <c r="C40" s="5" t="s">
        <v>156</v>
      </c>
      <c r="D40" t="s">
        <v>12</v>
      </c>
      <c r="E40" t="s">
        <v>54</v>
      </c>
      <c r="F40" t="s">
        <v>54</v>
      </c>
      <c r="G40" t="s">
        <v>133</v>
      </c>
      <c r="H40" t="s">
        <v>11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Gabinete</v>
      </c>
    </row>
    <row r="41" spans="1:10" ht="29" x14ac:dyDescent="0.35">
      <c r="A41" s="11">
        <v>46246</v>
      </c>
      <c r="B41" t="s">
        <v>77</v>
      </c>
      <c r="C41" s="5" t="s">
        <v>157</v>
      </c>
      <c r="D41" t="s">
        <v>12</v>
      </c>
      <c r="E41" t="s">
        <v>24</v>
      </c>
      <c r="F41" t="s">
        <v>24</v>
      </c>
      <c r="G41" t="s">
        <v>106</v>
      </c>
      <c r="H41" t="s">
        <v>82</v>
      </c>
      <c r="I41" t="str">
        <f>_xlfn.XLOOKUP(Tabla1[[#This Row],[Dependencia]],Tabla2[Dependencia],Tabla2[Clasificación],"XXX",0)</f>
        <v>Gobierno del estado</v>
      </c>
      <c r="J41" t="str">
        <f>_xlfn.XLOOKUP(Tabla1[[#This Row],[Dependencia]],Tabla3[Dependencia],Tabla3[Nivel],"Otros",0)</f>
        <v>Gobernador</v>
      </c>
    </row>
    <row r="42" spans="1:10" ht="29" x14ac:dyDescent="0.35">
      <c r="A42" s="11">
        <v>46246</v>
      </c>
      <c r="B42" t="s">
        <v>77</v>
      </c>
      <c r="C42" s="5" t="s">
        <v>158</v>
      </c>
      <c r="D42" t="s">
        <v>12</v>
      </c>
      <c r="E42" t="s">
        <v>28</v>
      </c>
      <c r="F42" t="s">
        <v>28</v>
      </c>
      <c r="G42" t="s">
        <v>159</v>
      </c>
      <c r="H42" t="s">
        <v>11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11">
        <v>46246</v>
      </c>
      <c r="B43" t="s">
        <v>77</v>
      </c>
      <c r="C43" s="5" t="s">
        <v>160</v>
      </c>
      <c r="D43" t="s">
        <v>13</v>
      </c>
      <c r="E43" t="s">
        <v>16</v>
      </c>
      <c r="F43" t="s">
        <v>16</v>
      </c>
      <c r="G43" t="s">
        <v>161</v>
      </c>
      <c r="H43" t="s">
        <v>11</v>
      </c>
      <c r="I43" t="str">
        <f>_xlfn.XLOOKUP(Tabla1[[#This Row],[Dependencia]],Tabla2[Dependencia],Tabla2[Clasificación],"XXX",0)</f>
        <v>Alcaldías</v>
      </c>
      <c r="J43" t="str">
        <f>_xlfn.XLOOKUP(Tabla1[[#This Row],[Dependencia]],Tabla3[Dependencia],Tabla3[Nivel],"Otros",0)</f>
        <v>Otros</v>
      </c>
    </row>
    <row r="44" spans="1:10" x14ac:dyDescent="0.35">
      <c r="A44" s="11">
        <v>46246</v>
      </c>
      <c r="B44" t="s">
        <v>77</v>
      </c>
      <c r="C44" s="5" t="s">
        <v>162</v>
      </c>
      <c r="D44" t="s">
        <v>12</v>
      </c>
      <c r="E44" t="s">
        <v>10</v>
      </c>
      <c r="F44" t="s">
        <v>10</v>
      </c>
      <c r="G44" t="s">
        <v>163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ht="29" x14ac:dyDescent="0.35">
      <c r="A45" s="11">
        <v>46246</v>
      </c>
      <c r="B45" t="s">
        <v>77</v>
      </c>
      <c r="C45" s="5" t="s">
        <v>164</v>
      </c>
      <c r="D45" t="s">
        <v>12</v>
      </c>
      <c r="E45" t="s">
        <v>16</v>
      </c>
      <c r="F45" t="s">
        <v>16</v>
      </c>
      <c r="G45" t="s">
        <v>165</v>
      </c>
      <c r="H45" t="s">
        <v>11</v>
      </c>
      <c r="I45" t="str">
        <f>_xlfn.XLOOKUP(Tabla1[[#This Row],[Dependencia]],Tabla2[Dependencia],Tabla2[Clasificación],"XXX",0)</f>
        <v>Alcaldías</v>
      </c>
      <c r="J45" t="str">
        <f>_xlfn.XLOOKUP(Tabla1[[#This Row],[Dependencia]],Tabla3[Dependencia],Tabla3[Nivel],"Otros",0)</f>
        <v>Otros</v>
      </c>
    </row>
    <row r="46" spans="1:10" ht="29" x14ac:dyDescent="0.35">
      <c r="A46" s="11">
        <v>46246</v>
      </c>
      <c r="B46" t="s">
        <v>77</v>
      </c>
      <c r="C46" s="5" t="s">
        <v>166</v>
      </c>
      <c r="D46" t="s">
        <v>12</v>
      </c>
      <c r="E46" t="s">
        <v>24</v>
      </c>
      <c r="F46" t="s">
        <v>24</v>
      </c>
      <c r="G46" t="s">
        <v>106</v>
      </c>
      <c r="H46" t="s">
        <v>11</v>
      </c>
      <c r="I46" t="str">
        <f>_xlfn.XLOOKUP(Tabla1[[#This Row],[Dependencia]],Tabla2[Dependencia],Tabla2[Clasificación],"XXX",0)</f>
        <v>Gobierno del estado</v>
      </c>
      <c r="J46" t="str">
        <f>_xlfn.XLOOKUP(Tabla1[[#This Row],[Dependencia]],Tabla3[Dependencia],Tabla3[Nivel],"Otros",0)</f>
        <v>Gobernador</v>
      </c>
    </row>
    <row r="47" spans="1:10" x14ac:dyDescent="0.35">
      <c r="A47" s="11">
        <v>46246</v>
      </c>
      <c r="B47" t="s">
        <v>80</v>
      </c>
      <c r="C47" s="5" t="s">
        <v>167</v>
      </c>
      <c r="D47" t="s">
        <v>81</v>
      </c>
      <c r="E47" t="s">
        <v>54</v>
      </c>
      <c r="F47" t="s">
        <v>54</v>
      </c>
      <c r="G47" t="s">
        <v>133</v>
      </c>
      <c r="H47" t="s">
        <v>82</v>
      </c>
      <c r="I47" t="str">
        <f>_xlfn.XLOOKUP(Tabla1[[#This Row],[Dependencia]],Tabla2[Dependencia],Tabla2[Clasificación],"XXX",0)</f>
        <v>Gobierno del estado</v>
      </c>
      <c r="J47" t="str">
        <f>_xlfn.XLOOKUP(Tabla1[[#This Row],[Dependencia]],Tabla3[Dependencia],Tabla3[Nivel],"Otros",0)</f>
        <v>Gabinete</v>
      </c>
    </row>
    <row r="48" spans="1:10" ht="29" x14ac:dyDescent="0.35">
      <c r="A48" s="11">
        <v>46246</v>
      </c>
      <c r="B48" t="s">
        <v>80</v>
      </c>
      <c r="C48" s="5" t="s">
        <v>168</v>
      </c>
      <c r="D48" t="s">
        <v>13</v>
      </c>
      <c r="E48" t="s">
        <v>24</v>
      </c>
      <c r="F48" t="s">
        <v>24</v>
      </c>
      <c r="G48" t="s">
        <v>106</v>
      </c>
      <c r="H48" t="s">
        <v>82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x14ac:dyDescent="0.35">
      <c r="A49" s="11">
        <v>46246</v>
      </c>
      <c r="B49" t="s">
        <v>80</v>
      </c>
      <c r="C49" s="5" t="s">
        <v>169</v>
      </c>
      <c r="D49" t="s">
        <v>12</v>
      </c>
      <c r="E49" t="s">
        <v>16</v>
      </c>
      <c r="F49" t="s">
        <v>16</v>
      </c>
      <c r="G49" t="s">
        <v>170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11">
        <v>46246</v>
      </c>
      <c r="B50" t="s">
        <v>80</v>
      </c>
      <c r="C50" s="5" t="s">
        <v>171</v>
      </c>
      <c r="D50" t="s">
        <v>12</v>
      </c>
      <c r="E50" t="s">
        <v>16</v>
      </c>
      <c r="F50" t="s">
        <v>16</v>
      </c>
      <c r="G50" t="s">
        <v>170</v>
      </c>
      <c r="H50" t="s">
        <v>11</v>
      </c>
      <c r="I50" t="str">
        <f>_xlfn.XLOOKUP(Tabla1[[#This Row],[Dependencia]],Tabla2[Dependencia],Tabla2[Clasificación],"XXX",0)</f>
        <v>Alcaldías</v>
      </c>
      <c r="J50" t="str">
        <f>_xlfn.XLOOKUP(Tabla1[[#This Row],[Dependencia]],Tabla3[Dependencia],Tabla3[Nivel],"Otros",0)</f>
        <v>Otros</v>
      </c>
    </row>
    <row r="51" spans="1:10" x14ac:dyDescent="0.35">
      <c r="A51" s="11">
        <v>46246</v>
      </c>
      <c r="B51" t="s">
        <v>80</v>
      </c>
      <c r="C51" s="5" t="s">
        <v>172</v>
      </c>
      <c r="D51" t="s">
        <v>12</v>
      </c>
      <c r="E51" t="s">
        <v>16</v>
      </c>
      <c r="F51" t="s">
        <v>16</v>
      </c>
      <c r="G51" t="s">
        <v>173</v>
      </c>
      <c r="H51" t="s">
        <v>11</v>
      </c>
      <c r="I51" t="str">
        <f>_xlfn.XLOOKUP(Tabla1[[#This Row],[Dependencia]],Tabla2[Dependencia],Tabla2[Clasificación],"XXX",0)</f>
        <v>Alcaldías</v>
      </c>
      <c r="J51" t="str">
        <f>_xlfn.XLOOKUP(Tabla1[[#This Row],[Dependencia]],Tabla3[Dependencia],Tabla3[Nivel],"Otros",0)</f>
        <v>Otros</v>
      </c>
    </row>
    <row r="52" spans="1:10" ht="29" x14ac:dyDescent="0.35">
      <c r="A52" s="11">
        <v>46246</v>
      </c>
      <c r="B52" t="s">
        <v>80</v>
      </c>
      <c r="C52" s="5" t="s">
        <v>174</v>
      </c>
      <c r="D52" t="s">
        <v>12</v>
      </c>
      <c r="E52" t="s">
        <v>16</v>
      </c>
      <c r="F52" t="s">
        <v>16</v>
      </c>
      <c r="G52" t="s">
        <v>175</v>
      </c>
      <c r="H52" t="s">
        <v>70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x14ac:dyDescent="0.35">
      <c r="A53" s="11">
        <v>46246</v>
      </c>
      <c r="B53" t="s">
        <v>72</v>
      </c>
      <c r="C53" s="5" t="s">
        <v>167</v>
      </c>
      <c r="D53" t="s">
        <v>13</v>
      </c>
      <c r="E53" t="s">
        <v>54</v>
      </c>
      <c r="F53" t="s">
        <v>54</v>
      </c>
      <c r="G53" t="s">
        <v>133</v>
      </c>
      <c r="H53" t="s">
        <v>82</v>
      </c>
      <c r="I53" t="str">
        <f>_xlfn.XLOOKUP(Tabla1[[#This Row],[Dependencia]],Tabla2[Dependencia],Tabla2[Clasificación],"XXX",0)</f>
        <v>Gobierno del estado</v>
      </c>
      <c r="J53" t="str">
        <f>_xlfn.XLOOKUP(Tabla1[[#This Row],[Dependencia]],Tabla3[Dependencia],Tabla3[Nivel],"Otros",0)</f>
        <v>Gabinete</v>
      </c>
    </row>
    <row r="54" spans="1:10" ht="29" x14ac:dyDescent="0.35">
      <c r="A54" s="11">
        <v>46246</v>
      </c>
      <c r="B54" t="s">
        <v>72</v>
      </c>
      <c r="C54" s="5" t="s">
        <v>176</v>
      </c>
      <c r="D54" t="s">
        <v>12</v>
      </c>
      <c r="E54" t="s">
        <v>24</v>
      </c>
      <c r="F54" t="s">
        <v>24</v>
      </c>
      <c r="G54" t="s">
        <v>106</v>
      </c>
      <c r="H54" t="s">
        <v>82</v>
      </c>
      <c r="I54" t="str">
        <f>_xlfn.XLOOKUP(Tabla1[[#This Row],[Dependencia]],Tabla2[Dependencia],Tabla2[Clasificación],"XXX",0)</f>
        <v>Gobierno del estado</v>
      </c>
      <c r="J54" t="str">
        <f>_xlfn.XLOOKUP(Tabla1[[#This Row],[Dependencia]],Tabla3[Dependencia],Tabla3[Nivel],"Otros",0)</f>
        <v>Gobernador</v>
      </c>
    </row>
    <row r="55" spans="1:10" x14ac:dyDescent="0.35">
      <c r="A55" s="11">
        <v>46246</v>
      </c>
      <c r="B55" t="s">
        <v>72</v>
      </c>
      <c r="C55" s="5" t="s">
        <v>177</v>
      </c>
      <c r="D55" t="s">
        <v>12</v>
      </c>
      <c r="E55" t="s">
        <v>10</v>
      </c>
      <c r="F55" t="s">
        <v>10</v>
      </c>
      <c r="G55" t="s">
        <v>74</v>
      </c>
      <c r="H55" t="s">
        <v>11</v>
      </c>
      <c r="I55" t="str">
        <f>_xlfn.XLOOKUP(Tabla1[[#This Row],[Dependencia]],Tabla2[Dependencia],Tabla2[Clasificación],"XXX",0)</f>
        <v>Otros</v>
      </c>
      <c r="J55" t="str">
        <f>_xlfn.XLOOKUP(Tabla1[[#This Row],[Dependencia]],Tabla3[Dependencia],Tabla3[Nivel],"Otros",0)</f>
        <v>Otros</v>
      </c>
    </row>
    <row r="56" spans="1:10" ht="29" x14ac:dyDescent="0.35">
      <c r="A56" s="11">
        <v>46246</v>
      </c>
      <c r="B56" t="s">
        <v>72</v>
      </c>
      <c r="C56" s="5" t="s">
        <v>178</v>
      </c>
      <c r="D56" t="s">
        <v>12</v>
      </c>
      <c r="E56" t="s">
        <v>22</v>
      </c>
      <c r="F56" t="s">
        <v>22</v>
      </c>
      <c r="G56" t="s">
        <v>86</v>
      </c>
      <c r="H56" t="s">
        <v>11</v>
      </c>
      <c r="I56" t="str">
        <f>_xlfn.XLOOKUP(Tabla1[[#This Row],[Dependencia]],Tabla2[Dependencia],Tabla2[Clasificación],"XXX",0)</f>
        <v>Gobierno del estado</v>
      </c>
      <c r="J56" t="str">
        <f>_xlfn.XLOOKUP(Tabla1[[#This Row],[Dependencia]],Tabla3[Dependencia],Tabla3[Nivel],"Otros",0)</f>
        <v>Gabinete</v>
      </c>
    </row>
    <row r="57" spans="1:10" ht="29" x14ac:dyDescent="0.35">
      <c r="A57" s="11">
        <v>46246</v>
      </c>
      <c r="B57" t="s">
        <v>72</v>
      </c>
      <c r="C57" s="5" t="s">
        <v>179</v>
      </c>
      <c r="D57" t="s">
        <v>12</v>
      </c>
      <c r="E57" t="s">
        <v>22</v>
      </c>
      <c r="F57" t="s">
        <v>22</v>
      </c>
      <c r="G57" t="s">
        <v>113</v>
      </c>
      <c r="H57" t="s">
        <v>82</v>
      </c>
      <c r="I57" t="str">
        <f>_xlfn.XLOOKUP(Tabla1[[#This Row],[Dependencia]],Tabla2[Dependencia],Tabla2[Clasificación],"XXX",0)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35">
      <c r="A58" s="11">
        <v>46246</v>
      </c>
      <c r="B58" t="s">
        <v>72</v>
      </c>
      <c r="C58" s="5" t="s">
        <v>90</v>
      </c>
      <c r="D58" t="s">
        <v>75</v>
      </c>
      <c r="E58" t="s">
        <v>20</v>
      </c>
      <c r="F58" t="s">
        <v>91</v>
      </c>
      <c r="G58" t="s">
        <v>83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35">
      <c r="A59" s="11">
        <v>46246</v>
      </c>
      <c r="B59" t="s">
        <v>72</v>
      </c>
      <c r="C59" s="5" t="s">
        <v>180</v>
      </c>
      <c r="D59" t="s">
        <v>75</v>
      </c>
      <c r="E59" t="s">
        <v>16</v>
      </c>
      <c r="F59" t="s">
        <v>85</v>
      </c>
      <c r="G59" t="s">
        <v>76</v>
      </c>
      <c r="H59" t="s">
        <v>11</v>
      </c>
      <c r="I59" t="str">
        <f>_xlfn.XLOOKUP(Tabla1[[#This Row],[Dependencia]],Tabla2[Dependencia],Tabla2[Clasificación],"XXX",0)</f>
        <v>Alcaldías</v>
      </c>
      <c r="J59" t="str">
        <f>_xlfn.XLOOKUP(Tabla1[[#This Row],[Dependencia]],Tabla3[Dependencia],Tabla3[Nivel],"Otros",0)</f>
        <v>Otros</v>
      </c>
    </row>
    <row r="60" spans="1:10" x14ac:dyDescent="0.35">
      <c r="A60" s="11">
        <v>46246</v>
      </c>
      <c r="B60" t="s">
        <v>72</v>
      </c>
      <c r="C60" s="5" t="s">
        <v>181</v>
      </c>
      <c r="D60" t="s">
        <v>13</v>
      </c>
      <c r="E60" t="s">
        <v>22</v>
      </c>
      <c r="F60" t="s">
        <v>22</v>
      </c>
      <c r="G60" t="s">
        <v>113</v>
      </c>
      <c r="H60" t="s">
        <v>82</v>
      </c>
      <c r="I60" t="str">
        <f>_xlfn.XLOOKUP(Tabla1[[#This Row],[Dependencia]],Tabla2[Dependencia],Tabla2[Clasificación],"XXX",0)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11">
        <v>46246</v>
      </c>
      <c r="B61" t="s">
        <v>72</v>
      </c>
      <c r="C61" s="5" t="s">
        <v>182</v>
      </c>
      <c r="D61" t="s">
        <v>12</v>
      </c>
      <c r="E61" t="s">
        <v>24</v>
      </c>
      <c r="F61" t="s">
        <v>24</v>
      </c>
      <c r="G61" t="s">
        <v>106</v>
      </c>
      <c r="H61" t="s">
        <v>82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Gobernador</v>
      </c>
    </row>
    <row r="62" spans="1:10" x14ac:dyDescent="0.35">
      <c r="A62" s="11">
        <v>46246</v>
      </c>
      <c r="B62" t="s">
        <v>72</v>
      </c>
      <c r="C62" s="5" t="s">
        <v>183</v>
      </c>
      <c r="D62" t="s">
        <v>12</v>
      </c>
      <c r="E62" t="s">
        <v>14</v>
      </c>
      <c r="F62" t="s">
        <v>14</v>
      </c>
      <c r="G62" t="s">
        <v>113</v>
      </c>
      <c r="H62" t="s">
        <v>11</v>
      </c>
      <c r="I62" t="str">
        <f>_xlfn.XLOOKUP(Tabla1[[#This Row],[Dependencia]],Tabla2[Dependencia],Tabla2[Clasificación],"XXX",0)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35">
      <c r="A63" s="11">
        <v>46246</v>
      </c>
      <c r="B63" t="s">
        <v>72</v>
      </c>
      <c r="C63" s="5" t="s">
        <v>184</v>
      </c>
      <c r="D63" t="s">
        <v>12</v>
      </c>
      <c r="E63" t="s">
        <v>10</v>
      </c>
      <c r="F63" t="s">
        <v>10</v>
      </c>
      <c r="G63" t="s">
        <v>74</v>
      </c>
      <c r="H63" t="s">
        <v>11</v>
      </c>
      <c r="I63" t="str">
        <f>_xlfn.XLOOKUP(Tabla1[[#This Row],[Dependencia]],Tabla2[Dependencia],Tabla2[Clasificación],"XXX",0)</f>
        <v>Otros</v>
      </c>
      <c r="J63" t="str">
        <f>_xlfn.XLOOKUP(Tabla1[[#This Row],[Dependencia]],Tabla3[Dependencia],Tabla3[Nivel],"Otros",0)</f>
        <v>Otros</v>
      </c>
    </row>
    <row r="64" spans="1:10" x14ac:dyDescent="0.35">
      <c r="A64" s="11">
        <v>46246</v>
      </c>
      <c r="B64" t="s">
        <v>72</v>
      </c>
      <c r="C64" s="5" t="s">
        <v>185</v>
      </c>
      <c r="D64" t="s">
        <v>12</v>
      </c>
      <c r="E64" t="s">
        <v>20</v>
      </c>
      <c r="F64" t="s">
        <v>20</v>
      </c>
      <c r="G64" t="s">
        <v>186</v>
      </c>
      <c r="H64" t="s">
        <v>11</v>
      </c>
      <c r="I64" t="str">
        <f>_xlfn.XLOOKUP(Tabla1[[#This Row],[Dependencia]],Tabla2[Dependencia],Tabla2[Clasificación],"XXX",0)</f>
        <v>Gobierno del estado</v>
      </c>
      <c r="J64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69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69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2026-08-12T18:59:40Z</dcterms:modified>
</cp:coreProperties>
</file>