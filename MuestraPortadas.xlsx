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71210D97-17FB-4A6D-BF23-D2C6F58E7B21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</calcChain>
</file>

<file path=xl/sharedStrings.xml><?xml version="1.0" encoding="utf-8"?>
<sst xmlns="http://schemas.openxmlformats.org/spreadsheetml/2006/main" count="615" uniqueCount="199">
  <si>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</si>
  <si>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</si>
  <si>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</si>
  <si>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</si>
  <si>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</si>
  <si>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</si>
  <si>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</si>
  <si>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</si>
  <si>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</si>
  <si>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</si>
  <si>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</si>
  <si>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</si>
  <si>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</si>
  <si>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</si>
  <si>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</si>
  <si>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</si>
  <si>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</si>
  <si>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</si>
  <si>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</si>
  <si>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</si>
  <si>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</si>
  <si>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</si>
  <si>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</si>
  <si>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</si>
  <si>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</si>
  <si>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</si>
  <si>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</si>
  <si>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</si>
  <si>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</si>
  <si>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</si>
  <si>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</si>
  <si>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</si>
  <si>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</si>
  <si>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</si>
  <si>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</si>
  <si>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</si>
  <si>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</si>
  <si>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</si>
  <si>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</si>
  <si>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</si>
  <si>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</si>
  <si>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</si>
  <si>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</si>
  <si>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</si>
  <si>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</si>
  <si>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</si>
  <si>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</si>
  <si>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</si>
  <si>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</si>
  <si>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</si>
  <si>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</si>
  <si>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</si>
  <si>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</si>
  <si>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</si>
  <si>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</si>
  <si>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</si>
  <si>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</si>
  <si>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</si>
  <si>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</si>
  <si>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</si>
  <si>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</si>
  <si>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</si>
  <si>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</si>
  <si>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</si>
  <si>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</si>
  <si>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</si>
  <si>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</si>
  <si>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</si>
  <si>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</si>
  <si>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</si>
  <si>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</si>
  <si>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</si>
  <si>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Temas varios</t>
  </si>
  <si>
    <t>Deportes</t>
  </si>
  <si>
    <t>Criterio</t>
  </si>
  <si>
    <t>Positiva</t>
  </si>
  <si>
    <t>Effetá</t>
  </si>
  <si>
    <t>Pachuca Brilla</t>
  </si>
  <si>
    <t>Plaza Juárez</t>
  </si>
  <si>
    <t>Policía municipal</t>
  </si>
  <si>
    <t>Síntesis</t>
  </si>
  <si>
    <t>Fiestas Patrias</t>
  </si>
  <si>
    <t>Sipdus</t>
  </si>
  <si>
    <t>Temas internacionales</t>
  </si>
  <si>
    <t>Afectaciones Por Lluvias</t>
  </si>
  <si>
    <t>Zunoticia</t>
  </si>
  <si>
    <t>Marfeca</t>
  </si>
  <si>
    <t>Informe Regidor</t>
  </si>
  <si>
    <t>Piden que arreglen las avenidas principales</t>
  </si>
  <si>
    <t>Exigen rehabilitación vial</t>
  </si>
  <si>
    <t>Indígenas rechazan la iniciativa de derechos</t>
  </si>
  <si>
    <t>Consulta Indígena</t>
  </si>
  <si>
    <t>Persiste violencia entre menores</t>
  </si>
  <si>
    <t>Sipinna</t>
  </si>
  <si>
    <t>Maltrato infantil</t>
  </si>
  <si>
    <t>Escuelas del Bienestar, a 45% de su matrícula</t>
  </si>
  <si>
    <t>Oferta académica</t>
  </si>
  <si>
    <t>Mes amarillo, reflexión respecto del suicidio</t>
  </si>
  <si>
    <t>Prevención del suicidio</t>
  </si>
  <si>
    <t>Corte de líneas afectó a la población indígena</t>
  </si>
  <si>
    <t>Falta de servicios públicos</t>
  </si>
  <si>
    <t>Tras 24 horas de protesta, piden diálogo</t>
  </si>
  <si>
    <t>Universidades</t>
  </si>
  <si>
    <t>Protesta sindical</t>
  </si>
  <si>
    <t>Pese a recortes, es el IEEH de los más caros</t>
  </si>
  <si>
    <t>Presupuesto IEEH</t>
  </si>
  <si>
    <t>Pachuca se pinta de colores patrios</t>
  </si>
  <si>
    <t>Pide reponer consulta</t>
  </si>
  <si>
    <t>Profes frenan clases</t>
  </si>
  <si>
    <t>Busca SNTE revertir fallo en el caso Mirna García</t>
  </si>
  <si>
    <t>Abuso de confianza</t>
  </si>
  <si>
    <t>Invade espuma tóxica</t>
  </si>
  <si>
    <t>Contaminación de acuíferos</t>
  </si>
  <si>
    <t>Exige localidad de Tezontepec reconocimiento como indígena</t>
  </si>
  <si>
    <t>Invitan a correr en el Norteño Perrón</t>
  </si>
  <si>
    <t>Evento Con Causa</t>
  </si>
  <si>
    <t>El Mezquital, con déficit de policías</t>
  </si>
  <si>
    <t>Déficit policial</t>
  </si>
  <si>
    <t>Abrirán retorno del bulevar Las Torres</t>
  </si>
  <si>
    <t>Rehabilitación Vial</t>
  </si>
  <si>
    <t>Los Bravos no están muertos</t>
  </si>
  <si>
    <t>Un par de ases para el mundial</t>
  </si>
  <si>
    <t>Por inviables, hay 200 iniciativas sin ser dictaminadas</t>
  </si>
  <si>
    <t>Productividad legislativa</t>
  </si>
  <si>
    <t>Milenio Hidalgo</t>
  </si>
  <si>
    <t>Recuperan los restos de sus seres queridos 180 familias en 2 años</t>
  </si>
  <si>
    <t>Identificación de cadáveres</t>
  </si>
  <si>
    <t>Inteligencia y coordinación, la base en Tizayuca: Atilano</t>
  </si>
  <si>
    <t>Alcalde</t>
  </si>
  <si>
    <t>Estrategia de seguridad</t>
  </si>
  <si>
    <t>Presentan nuevo plan para Pachuca este mes</t>
  </si>
  <si>
    <t>Atlas de Riesgos</t>
  </si>
  <si>
    <t>Medicinas con mayor precisión</t>
  </si>
  <si>
    <t>Investigación académica</t>
  </si>
  <si>
    <t>Lula y DiCaprio defienden el medioambiente</t>
  </si>
  <si>
    <t>Suma estado en obras más de $3,400 millones en 99 proyectos durante 2026</t>
  </si>
  <si>
    <t>Obras De Infraestructura</t>
  </si>
  <si>
    <t>El gobernador destacó los trenes y polos de desarrollo</t>
  </si>
  <si>
    <t>Proyectos Federales</t>
  </si>
  <si>
    <t>Francisco Toledo y Jan Hendrix, un diálogo entre amigos en la GAMA</t>
  </si>
  <si>
    <t>En NL embarran a Musk en despojo de tierras para la planta fallida</t>
  </si>
  <si>
    <t>Despojo</t>
  </si>
  <si>
    <t>Empresas en el estado resfuerzan la prevención laboral</t>
  </si>
  <si>
    <t>IMSS</t>
  </si>
  <si>
    <t>Seguridad Social</t>
  </si>
  <si>
    <t>ASEH concluirá investigaciones contra exediles de Pachuca</t>
  </si>
  <si>
    <t>ASEH</t>
  </si>
  <si>
    <t>Irregularidades exalcalde</t>
  </si>
  <si>
    <t>Intenta EU intervenir en elecciones mexicanas</t>
  </si>
  <si>
    <t>Intervención extranjera</t>
  </si>
  <si>
    <t>Indígenas dudan de iniciativa de ley por ""consulta viciada""</t>
  </si>
  <si>
    <t>Fuertes lluvias forman laguna; afecta a conductores y comercios</t>
  </si>
  <si>
    <t>Una buena política se construye exhibiendo el fruto del trabajo hecho en privado, no convirtiendo lo  privado en espectáculo”.</t>
  </si>
  <si>
    <t>Preparan adecuación de las nuevas instalaciones</t>
  </si>
  <si>
    <t>EMEH</t>
  </si>
  <si>
    <t>Rechazan pueblos originarios foros regionales organizados por el IEEH</t>
  </si>
  <si>
    <t>Sobrevive Roberto Flores a descarga eléctrica; hoy busca salir adelante</t>
  </si>
  <si>
    <t>Edificio d egobierno ha albergado obras de 65 artistas hidalguenses</t>
  </si>
  <si>
    <t>Intervención Gráfica</t>
  </si>
  <si>
    <t>Entrega Edda Vite apoyos por 1.2 mdp a comunidades prioritarias de la Huasteca</t>
  </si>
  <si>
    <t>Entrega De Apoyos</t>
  </si>
  <si>
    <t>DIF Hidalgo y DIF Huejutla fortalecen la inclusión y el bienestar comunitario</t>
  </si>
  <si>
    <t>Instalación de Procuraduría Municipal de Protección de Niñas, Niños y Adolescentes</t>
  </si>
  <si>
    <t>Procuraduría municipal del menor</t>
  </si>
  <si>
    <t>Por regreso a clases vialidad hace llamado a reducir velocidad</t>
  </si>
  <si>
    <t>Regreso A Clases</t>
  </si>
  <si>
    <t>Presentan regidoras de Tlanchinol su segundo informe</t>
  </si>
  <si>
    <t>Los celulares no son niñeras""</t>
  </si>
  <si>
    <t>Regulación de dispositivos digitales</t>
  </si>
  <si>
    <t>Bacheo no aguantó las lluvias en Pachuca</t>
  </si>
  <si>
    <t>Obras públicas</t>
  </si>
  <si>
    <t>Deficiencias en obra</t>
  </si>
  <si>
    <t>Hidalgo, entre los siete estados que apuestan por formación STEM</t>
  </si>
  <si>
    <t>Formación STEM}</t>
  </si>
  <si>
    <t>Asesinan a dos hombres en Tulancingo</t>
  </si>
  <si>
    <t>Homicidios</t>
  </si>
  <si>
    <t>Organizaciones indígenas rechazan consulta del IEEH</t>
  </si>
  <si>
    <t>Hospital con Garra atiende 310 casos de maltrato y abandono animal</t>
  </si>
  <si>
    <t>Rescate Animal</t>
  </si>
  <si>
    <t>Con inversión de más de 50 mdp, arranca reconstrucción total de la calzada Melchor Ocampo</t>
  </si>
  <si>
    <t>Abren inscripciones para el Curso de Rehabilitación de Fauna</t>
  </si>
  <si>
    <t>Rehabilitación animal</t>
  </si>
  <si>
    <t>Ana María Rivera encabeza reapertura de la casa de salud</t>
  </si>
  <si>
    <t>Entrega de instalaciones</t>
  </si>
  <si>
    <t>Tlahuelilpan anuncia su Expo Feria San Francisco 2026</t>
  </si>
  <si>
    <t>Feria Patronal</t>
  </si>
  <si>
    <t>Said Vargas impulsa la voz de las nuevas generaciones del magisterio en la sección 15 del SNTE</t>
  </si>
  <si>
    <t>Calles de Pachuca se pintan de verde, blanco y rojo en el mes patrio</t>
  </si>
  <si>
    <t>Ayuntamiento abre inscripciones para el curso de rehabilitación silvestre</t>
  </si>
  <si>
    <t>Natividad Castrejón entrega útiles, calzado y uniformes en cinco municipios</t>
  </si>
  <si>
    <t>Útiles escolares</t>
  </si>
  <si>
    <t>Despacho del Gobernador afianza recuperación de espacios públicos para la cultura y el deporte</t>
  </si>
  <si>
    <t>Recuperación De Espacios Públicos</t>
  </si>
  <si>
    <t>Movimiento indígena rechaza foros del IEEH</t>
  </si>
  <si>
    <t>Biofutura descubre ejemplar de grisón</t>
  </si>
  <si>
    <t>Avistamiento</t>
  </si>
  <si>
    <t>En operativo coordinado, aseguran 7 vehículos e hidrocarburo</t>
  </si>
  <si>
    <t>Combate Al Huachicol</t>
  </si>
  <si>
    <t>No hay pruebas para detener a gobernador de Sinaloa""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</si>
</sst>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6" totalsRowShown="0" headerRowDxfId="5" headerRowBorderDxfId="4">
  <autoFilter ref="A1:J66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6"/>
  <sheetViews>
    <sheetView tabSelected="1" workbookViewId="0">
      <selection activeCell="A2" sqref="A2:H6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46268</v>
      </c>
      <c r="B2" t="s">
        <v>67</v>
      </c>
      <c r="C2" s="5" t="s">
        <v>88</v>
      </c>
      <c r="D2" t="s">
        <v>12</v>
      </c>
      <c r="E2" t="s">
        <v>16</v>
      </c>
      <c r="F2" t="s">
        <v>16</v>
      </c>
      <c r="G2" t="s">
        <v>89</v>
      </c>
      <c r="H2" t="s">
        <v>70</v>
      </c>
      <c r="I2" t="str">
        <f>_xlfn.XLOOKUP(Tabla1[[#This Row],[Dependencia]],Tabla2[Dependencia],Tabla2[Clasificación],"XXX",0)</f>
        <v>Alcaldías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46268</v>
      </c>
      <c r="B3" t="s">
        <v>67</v>
      </c>
      <c r="C3" s="5" t="s">
        <v>90</v>
      </c>
      <c r="D3" t="s">
        <v>12</v>
      </c>
      <c r="E3" t="s">
        <v>40</v>
      </c>
      <c r="F3" t="s">
        <v>40</v>
      </c>
      <c r="G3" t="s">
        <v>91</v>
      </c>
      <c r="H3" t="s">
        <v>70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46268</v>
      </c>
      <c r="B4" t="s">
        <v>67</v>
      </c>
      <c r="C4" s="5" t="s">
        <v>92</v>
      </c>
      <c r="D4" t="s">
        <v>12</v>
      </c>
      <c r="E4" t="s">
        <v>23</v>
      </c>
      <c r="F4" t="s">
        <v>93</v>
      </c>
      <c r="G4" t="s">
        <v>94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46268</v>
      </c>
      <c r="B5" t="s">
        <v>67</v>
      </c>
      <c r="C5" s="5" t="s">
        <v>95</v>
      </c>
      <c r="D5" t="s">
        <v>13</v>
      </c>
      <c r="E5" t="s">
        <v>14</v>
      </c>
      <c r="F5" t="s">
        <v>14</v>
      </c>
      <c r="G5" t="s">
        <v>96</v>
      </c>
      <c r="H5" t="s">
        <v>70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46268</v>
      </c>
      <c r="B6" t="s">
        <v>67</v>
      </c>
      <c r="C6" s="5" t="s">
        <v>97</v>
      </c>
      <c r="D6" t="s">
        <v>12</v>
      </c>
      <c r="E6" t="s">
        <v>10</v>
      </c>
      <c r="F6" t="s">
        <v>10</v>
      </c>
      <c r="G6" t="s">
        <v>98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46268</v>
      </c>
      <c r="B7" t="s">
        <v>67</v>
      </c>
      <c r="C7" s="5" t="s">
        <v>99</v>
      </c>
      <c r="D7" t="s">
        <v>12</v>
      </c>
      <c r="E7" t="s">
        <v>10</v>
      </c>
      <c r="F7" t="s">
        <v>10</v>
      </c>
      <c r="G7" t="s">
        <v>100</v>
      </c>
      <c r="H7" t="s">
        <v>70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46268</v>
      </c>
      <c r="B8" t="s">
        <v>67</v>
      </c>
      <c r="C8" s="5" t="s">
        <v>101</v>
      </c>
      <c r="D8" t="s">
        <v>9</v>
      </c>
      <c r="E8" t="s">
        <v>26</v>
      </c>
      <c r="F8" t="s">
        <v>102</v>
      </c>
      <c r="G8" t="s">
        <v>103</v>
      </c>
      <c r="H8" t="s">
        <v>70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46268</v>
      </c>
      <c r="B9" t="s">
        <v>71</v>
      </c>
      <c r="C9" s="5" t="s">
        <v>104</v>
      </c>
      <c r="D9" t="s">
        <v>13</v>
      </c>
      <c r="E9" t="s">
        <v>40</v>
      </c>
      <c r="F9" t="s">
        <v>40</v>
      </c>
      <c r="G9" t="s">
        <v>105</v>
      </c>
      <c r="H9" t="s">
        <v>70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46268</v>
      </c>
      <c r="B10" t="s">
        <v>71</v>
      </c>
      <c r="C10" s="5" t="s">
        <v>106</v>
      </c>
      <c r="D10" t="s">
        <v>9</v>
      </c>
      <c r="E10" t="s">
        <v>10</v>
      </c>
      <c r="F10" t="s">
        <v>10</v>
      </c>
      <c r="G10" t="s">
        <v>81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46268</v>
      </c>
      <c r="B11" t="s">
        <v>71</v>
      </c>
      <c r="C11" s="5" t="s">
        <v>107</v>
      </c>
      <c r="D11" t="s">
        <v>12</v>
      </c>
      <c r="E11" t="s">
        <v>10</v>
      </c>
      <c r="F11" t="s">
        <v>10</v>
      </c>
      <c r="G11" t="s">
        <v>91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46268</v>
      </c>
      <c r="B12" t="s">
        <v>71</v>
      </c>
      <c r="C12" s="5" t="s">
        <v>108</v>
      </c>
      <c r="D12" t="s">
        <v>12</v>
      </c>
      <c r="E12" t="s">
        <v>26</v>
      </c>
      <c r="F12" t="s">
        <v>102</v>
      </c>
      <c r="G12" t="s">
        <v>103</v>
      </c>
      <c r="H12" t="s">
        <v>70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46268</v>
      </c>
      <c r="B13" t="s">
        <v>71</v>
      </c>
      <c r="C13" s="5" t="s">
        <v>109</v>
      </c>
      <c r="D13" t="s">
        <v>12</v>
      </c>
      <c r="E13" t="s">
        <v>10</v>
      </c>
      <c r="F13" t="s">
        <v>10</v>
      </c>
      <c r="G13" t="s">
        <v>110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46268</v>
      </c>
      <c r="B14" t="s">
        <v>71</v>
      </c>
      <c r="C14" s="5" t="s">
        <v>111</v>
      </c>
      <c r="D14" t="s">
        <v>12</v>
      </c>
      <c r="E14" t="s">
        <v>10</v>
      </c>
      <c r="F14" t="s">
        <v>10</v>
      </c>
      <c r="G14" t="s">
        <v>112</v>
      </c>
      <c r="H14" t="s">
        <v>70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11">
        <v>46268</v>
      </c>
      <c r="B15" t="s">
        <v>74</v>
      </c>
      <c r="C15" s="5" t="s">
        <v>113</v>
      </c>
      <c r="D15" t="s">
        <v>12</v>
      </c>
      <c r="E15" t="s">
        <v>10</v>
      </c>
      <c r="F15" t="s">
        <v>10</v>
      </c>
      <c r="G15" t="s">
        <v>91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46268</v>
      </c>
      <c r="B16" t="s">
        <v>74</v>
      </c>
      <c r="C16" s="5" t="s">
        <v>114</v>
      </c>
      <c r="D16" t="s">
        <v>12</v>
      </c>
      <c r="E16" t="s">
        <v>10</v>
      </c>
      <c r="F16" t="s">
        <v>10</v>
      </c>
      <c r="G16" t="s">
        <v>115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46268</v>
      </c>
      <c r="B17" t="s">
        <v>74</v>
      </c>
      <c r="C17" s="5" t="s">
        <v>116</v>
      </c>
      <c r="D17" t="s">
        <v>13</v>
      </c>
      <c r="E17" t="s">
        <v>16</v>
      </c>
      <c r="F17" t="s">
        <v>79</v>
      </c>
      <c r="G17" t="s">
        <v>117</v>
      </c>
      <c r="H17" t="s">
        <v>70</v>
      </c>
      <c r="I17" t="str">
        <f>_xlfn.XLOOKUP(Tabla1[[#This Row],[Dependencia]],Tabla2[Dependencia],Tabla2[Clasificación],"XXX",0)</f>
        <v>Alcaldías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46268</v>
      </c>
      <c r="B18" t="s">
        <v>74</v>
      </c>
      <c r="C18" s="5" t="s">
        <v>118</v>
      </c>
      <c r="D18" t="s">
        <v>9</v>
      </c>
      <c r="E18" t="s">
        <v>82</v>
      </c>
      <c r="F18" t="s">
        <v>82</v>
      </c>
      <c r="G18" t="s">
        <v>119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11">
        <v>46268</v>
      </c>
      <c r="B19" t="s">
        <v>74</v>
      </c>
      <c r="C19" s="5" t="s">
        <v>120</v>
      </c>
      <c r="D19" t="s">
        <v>12</v>
      </c>
      <c r="E19" t="s">
        <v>10</v>
      </c>
      <c r="F19" t="s">
        <v>10</v>
      </c>
      <c r="G19" t="s">
        <v>73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46268</v>
      </c>
      <c r="B20" t="s">
        <v>74</v>
      </c>
      <c r="C20" s="5" t="s">
        <v>121</v>
      </c>
      <c r="D20" t="s">
        <v>12</v>
      </c>
      <c r="E20" t="s">
        <v>10</v>
      </c>
      <c r="F20" t="s">
        <v>10</v>
      </c>
      <c r="G20" t="s">
        <v>73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46268</v>
      </c>
      <c r="B21" t="s">
        <v>74</v>
      </c>
      <c r="C21" s="5" t="s">
        <v>122</v>
      </c>
      <c r="D21" t="s">
        <v>12</v>
      </c>
      <c r="E21" t="s">
        <v>33</v>
      </c>
      <c r="F21" t="s">
        <v>33</v>
      </c>
      <c r="G21" t="s">
        <v>123</v>
      </c>
      <c r="H21" t="s">
        <v>70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46268</v>
      </c>
      <c r="B22" t="s">
        <v>124</v>
      </c>
      <c r="C22" s="5" t="s">
        <v>125</v>
      </c>
      <c r="D22" t="s">
        <v>13</v>
      </c>
      <c r="E22" t="s">
        <v>17</v>
      </c>
      <c r="F22" t="s">
        <v>17</v>
      </c>
      <c r="G22" t="s">
        <v>126</v>
      </c>
      <c r="H22" t="s">
        <v>75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11">
        <v>46268</v>
      </c>
      <c r="B23" t="s">
        <v>124</v>
      </c>
      <c r="C23" s="5" t="s">
        <v>127</v>
      </c>
      <c r="D23" t="s">
        <v>12</v>
      </c>
      <c r="E23" t="s">
        <v>16</v>
      </c>
      <c r="F23" t="s">
        <v>128</v>
      </c>
      <c r="G23" t="s">
        <v>129</v>
      </c>
      <c r="H23" t="s">
        <v>11</v>
      </c>
      <c r="I23" t="str">
        <f>_xlfn.XLOOKUP(Tabla1[[#This Row],[Dependencia]],Tabla2[Dependencia],Tabla2[Clasificación],"XXX",0)</f>
        <v>Alcaldías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46268</v>
      </c>
      <c r="B24" t="s">
        <v>124</v>
      </c>
      <c r="C24" s="5" t="s">
        <v>130</v>
      </c>
      <c r="D24" t="s">
        <v>12</v>
      </c>
      <c r="E24" t="s">
        <v>16</v>
      </c>
      <c r="F24" t="s">
        <v>16</v>
      </c>
      <c r="G24" t="s">
        <v>131</v>
      </c>
      <c r="H24" t="s">
        <v>11</v>
      </c>
      <c r="I24" t="str">
        <f>_xlfn.XLOOKUP(Tabla1[[#This Row],[Dependencia]],Tabla2[Dependencia],Tabla2[Clasificación],"XXX",0)</f>
        <v>Alcaldías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46268</v>
      </c>
      <c r="B25" t="s">
        <v>124</v>
      </c>
      <c r="C25" s="5" t="s">
        <v>132</v>
      </c>
      <c r="D25" t="s">
        <v>12</v>
      </c>
      <c r="E25" t="s">
        <v>59</v>
      </c>
      <c r="F25" t="s">
        <v>59</v>
      </c>
      <c r="G25" t="s">
        <v>133</v>
      </c>
      <c r="H25" t="s">
        <v>75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46268</v>
      </c>
      <c r="B26" t="s">
        <v>124</v>
      </c>
      <c r="C26" s="5" t="s">
        <v>134</v>
      </c>
      <c r="D26" t="s">
        <v>9</v>
      </c>
      <c r="E26" t="s">
        <v>10</v>
      </c>
      <c r="F26" t="s">
        <v>10</v>
      </c>
      <c r="G26" t="s">
        <v>83</v>
      </c>
      <c r="H26" t="s">
        <v>75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46268</v>
      </c>
      <c r="B27" t="s">
        <v>124</v>
      </c>
      <c r="C27" s="5" t="s">
        <v>135</v>
      </c>
      <c r="D27" t="s">
        <v>12</v>
      </c>
      <c r="E27" t="s">
        <v>38</v>
      </c>
      <c r="F27" t="s">
        <v>38</v>
      </c>
      <c r="G27" t="s">
        <v>136</v>
      </c>
      <c r="H27" t="s">
        <v>75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11">
        <v>46268</v>
      </c>
      <c r="B28" t="s">
        <v>124</v>
      </c>
      <c r="C28" s="5" t="s">
        <v>137</v>
      </c>
      <c r="D28" t="s">
        <v>12</v>
      </c>
      <c r="E28" t="s">
        <v>24</v>
      </c>
      <c r="F28" t="s">
        <v>24</v>
      </c>
      <c r="G28" t="s">
        <v>138</v>
      </c>
      <c r="H28" t="s">
        <v>75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Gobernador</v>
      </c>
    </row>
    <row r="29" spans="1:10" ht="30" x14ac:dyDescent="0.25">
      <c r="A29" s="11">
        <v>46268</v>
      </c>
      <c r="B29" t="s">
        <v>124</v>
      </c>
      <c r="C29" s="5" t="s">
        <v>139</v>
      </c>
      <c r="D29" t="s">
        <v>12</v>
      </c>
      <c r="E29" t="s">
        <v>10</v>
      </c>
      <c r="F29" t="s">
        <v>10</v>
      </c>
      <c r="G29" t="s">
        <v>72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46268</v>
      </c>
      <c r="B30" t="s">
        <v>124</v>
      </c>
      <c r="C30" s="5" t="s">
        <v>140</v>
      </c>
      <c r="D30" t="s">
        <v>12</v>
      </c>
      <c r="E30" t="s">
        <v>10</v>
      </c>
      <c r="F30" t="s">
        <v>10</v>
      </c>
      <c r="G30" t="s">
        <v>141</v>
      </c>
      <c r="H30" t="s">
        <v>70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46268</v>
      </c>
      <c r="B31" t="s">
        <v>124</v>
      </c>
      <c r="C31" s="5" t="s">
        <v>142</v>
      </c>
      <c r="D31" t="s">
        <v>12</v>
      </c>
      <c r="E31" t="s">
        <v>14</v>
      </c>
      <c r="F31" t="s">
        <v>143</v>
      </c>
      <c r="G31" t="s">
        <v>144</v>
      </c>
      <c r="H31" t="s">
        <v>75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46268</v>
      </c>
      <c r="B32" t="s">
        <v>68</v>
      </c>
      <c r="C32" s="5" t="s">
        <v>145</v>
      </c>
      <c r="D32" t="s">
        <v>12</v>
      </c>
      <c r="E32" t="s">
        <v>33</v>
      </c>
      <c r="F32" t="s">
        <v>146</v>
      </c>
      <c r="G32" t="s">
        <v>147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46268</v>
      </c>
      <c r="B33" t="s">
        <v>68</v>
      </c>
      <c r="C33" s="5" t="s">
        <v>148</v>
      </c>
      <c r="D33" t="s">
        <v>12</v>
      </c>
      <c r="E33" t="s">
        <v>14</v>
      </c>
      <c r="F33" t="s">
        <v>14</v>
      </c>
      <c r="G33" t="s">
        <v>149</v>
      </c>
      <c r="H33" t="s">
        <v>11</v>
      </c>
      <c r="I33" t="str">
        <f>_xlfn.XLOOKUP(Tabla1[[#This Row],[Dependencia]],Tabla2[Dependencia],Tabla2[Clasificación],"XXX",0)</f>
        <v>Presidencia de la República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46268</v>
      </c>
      <c r="B34" t="s">
        <v>68</v>
      </c>
      <c r="C34" s="5" t="s">
        <v>150</v>
      </c>
      <c r="D34" t="s">
        <v>12</v>
      </c>
      <c r="E34" t="s">
        <v>33</v>
      </c>
      <c r="F34" t="s">
        <v>33</v>
      </c>
      <c r="G34" t="s">
        <v>91</v>
      </c>
      <c r="H34" t="s">
        <v>70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46268</v>
      </c>
      <c r="B35" t="s">
        <v>68</v>
      </c>
      <c r="C35" s="5" t="s">
        <v>151</v>
      </c>
      <c r="D35" t="s">
        <v>9</v>
      </c>
      <c r="E35" t="s">
        <v>16</v>
      </c>
      <c r="F35" t="s">
        <v>16</v>
      </c>
      <c r="G35" t="s">
        <v>84</v>
      </c>
      <c r="H35" t="s">
        <v>70</v>
      </c>
      <c r="I35" t="str">
        <f>_xlfn.XLOOKUP(Tabla1[[#This Row],[Dependencia]],Tabla2[Dependencia],Tabla2[Clasificación],"XXX",0)</f>
        <v>Alcaldías</v>
      </c>
      <c r="J35" t="str">
        <f>_xlfn.XLOOKUP(Tabla1[[#This Row],[Dependencia]],Tabla3[Dependencia],Tabla3[Nivel],"Otros",0)</f>
        <v>Otros</v>
      </c>
    </row>
    <row r="36" spans="1:10" ht="45" x14ac:dyDescent="0.25">
      <c r="A36" s="11">
        <v>46268</v>
      </c>
      <c r="B36" t="s">
        <v>68</v>
      </c>
      <c r="C36" s="5" t="s">
        <v>152</v>
      </c>
      <c r="D36" t="s">
        <v>12</v>
      </c>
      <c r="E36" t="s">
        <v>10</v>
      </c>
      <c r="F36" t="s">
        <v>10</v>
      </c>
      <c r="G36" t="s">
        <v>72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11">
        <v>46268</v>
      </c>
      <c r="B37" t="s">
        <v>80</v>
      </c>
      <c r="C37" s="5" t="s">
        <v>153</v>
      </c>
      <c r="D37" t="s">
        <v>13</v>
      </c>
      <c r="E37" t="s">
        <v>82</v>
      </c>
      <c r="F37" t="s">
        <v>82</v>
      </c>
      <c r="G37" t="s">
        <v>154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46268</v>
      </c>
      <c r="B38" t="s">
        <v>80</v>
      </c>
      <c r="C38" s="5" t="s">
        <v>155</v>
      </c>
      <c r="D38" t="s">
        <v>12</v>
      </c>
      <c r="E38" t="s">
        <v>40</v>
      </c>
      <c r="F38" t="s">
        <v>40</v>
      </c>
      <c r="G38" t="s">
        <v>91</v>
      </c>
      <c r="H38" t="s">
        <v>70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46268</v>
      </c>
      <c r="B39" t="s">
        <v>80</v>
      </c>
      <c r="C39" s="5" t="s">
        <v>156</v>
      </c>
      <c r="D39" t="s">
        <v>12</v>
      </c>
      <c r="E39" t="s">
        <v>10</v>
      </c>
      <c r="F39" t="s">
        <v>10</v>
      </c>
      <c r="G39" t="s">
        <v>72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46268</v>
      </c>
      <c r="B40" t="s">
        <v>80</v>
      </c>
      <c r="C40" s="5" t="s">
        <v>157</v>
      </c>
      <c r="D40" t="s">
        <v>12</v>
      </c>
      <c r="E40" t="s">
        <v>24</v>
      </c>
      <c r="F40" t="s">
        <v>24</v>
      </c>
      <c r="G40" t="s">
        <v>158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ht="30" x14ac:dyDescent="0.25">
      <c r="A41" s="11">
        <v>46268</v>
      </c>
      <c r="B41" t="s">
        <v>85</v>
      </c>
      <c r="C41" s="5" t="s">
        <v>159</v>
      </c>
      <c r="D41" t="s">
        <v>13</v>
      </c>
      <c r="E41" t="s">
        <v>36</v>
      </c>
      <c r="F41" t="s">
        <v>2</v>
      </c>
      <c r="G41" t="s">
        <v>160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11">
        <v>46268</v>
      </c>
      <c r="B42" t="s">
        <v>85</v>
      </c>
      <c r="C42" s="5" t="s">
        <v>161</v>
      </c>
      <c r="D42" t="s">
        <v>12</v>
      </c>
      <c r="E42" t="s">
        <v>36</v>
      </c>
      <c r="F42" t="s">
        <v>36</v>
      </c>
      <c r="G42" t="s">
        <v>160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46268</v>
      </c>
      <c r="B43" t="s">
        <v>85</v>
      </c>
      <c r="C43" s="5" t="s">
        <v>162</v>
      </c>
      <c r="D43" t="s">
        <v>12</v>
      </c>
      <c r="E43" t="s">
        <v>36</v>
      </c>
      <c r="F43" t="s">
        <v>36</v>
      </c>
      <c r="G43" t="s">
        <v>163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46268</v>
      </c>
      <c r="B44" t="s">
        <v>85</v>
      </c>
      <c r="C44" s="5" t="s">
        <v>164</v>
      </c>
      <c r="D44" t="s">
        <v>12</v>
      </c>
      <c r="E44" t="s">
        <v>16</v>
      </c>
      <c r="F44" t="s">
        <v>16</v>
      </c>
      <c r="G44" t="s">
        <v>165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11">
        <v>46268</v>
      </c>
      <c r="B45" t="s">
        <v>85</v>
      </c>
      <c r="C45" s="5" t="s">
        <v>166</v>
      </c>
      <c r="D45" t="s">
        <v>12</v>
      </c>
      <c r="E45" t="s">
        <v>16</v>
      </c>
      <c r="F45" t="s">
        <v>16</v>
      </c>
      <c r="G45" t="s">
        <v>87</v>
      </c>
      <c r="H45" t="s">
        <v>11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x14ac:dyDescent="0.25">
      <c r="A46" s="11">
        <v>46268</v>
      </c>
      <c r="B46" t="s">
        <v>76</v>
      </c>
      <c r="C46" s="5" t="s">
        <v>167</v>
      </c>
      <c r="D46" t="s">
        <v>13</v>
      </c>
      <c r="E46" t="s">
        <v>36</v>
      </c>
      <c r="F46" t="s">
        <v>2</v>
      </c>
      <c r="G46" t="s">
        <v>168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11">
        <v>46268</v>
      </c>
      <c r="B47" t="s">
        <v>76</v>
      </c>
      <c r="C47" s="5" t="s">
        <v>169</v>
      </c>
      <c r="D47" t="s">
        <v>9</v>
      </c>
      <c r="E47" t="s">
        <v>16</v>
      </c>
      <c r="F47" t="s">
        <v>170</v>
      </c>
      <c r="G47" t="s">
        <v>171</v>
      </c>
      <c r="H47" t="s">
        <v>70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46268</v>
      </c>
      <c r="B48" t="s">
        <v>76</v>
      </c>
      <c r="C48" s="5" t="s">
        <v>172</v>
      </c>
      <c r="D48" t="s">
        <v>12</v>
      </c>
      <c r="E48" t="s">
        <v>26</v>
      </c>
      <c r="F48" t="s">
        <v>26</v>
      </c>
      <c r="G48" t="s">
        <v>173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25">
      <c r="A49" s="11">
        <v>46268</v>
      </c>
      <c r="B49" t="s">
        <v>76</v>
      </c>
      <c r="C49" s="5" t="s">
        <v>174</v>
      </c>
      <c r="D49" t="s">
        <v>12</v>
      </c>
      <c r="E49" t="s">
        <v>16</v>
      </c>
      <c r="F49" t="s">
        <v>16</v>
      </c>
      <c r="G49" t="s">
        <v>175</v>
      </c>
      <c r="H49" t="s">
        <v>70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46268</v>
      </c>
      <c r="B50" t="s">
        <v>76</v>
      </c>
      <c r="C50" s="5" t="s">
        <v>176</v>
      </c>
      <c r="D50" t="s">
        <v>12</v>
      </c>
      <c r="E50" t="s">
        <v>40</v>
      </c>
      <c r="F50" t="s">
        <v>40</v>
      </c>
      <c r="G50" t="s">
        <v>91</v>
      </c>
      <c r="H50" t="s">
        <v>70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46268</v>
      </c>
      <c r="B51" t="s">
        <v>76</v>
      </c>
      <c r="C51" s="5" t="s">
        <v>177</v>
      </c>
      <c r="D51" t="s">
        <v>12</v>
      </c>
      <c r="E51" t="s">
        <v>16</v>
      </c>
      <c r="F51" t="s">
        <v>16</v>
      </c>
      <c r="G51" t="s">
        <v>178</v>
      </c>
      <c r="H51" t="s">
        <v>75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46268</v>
      </c>
      <c r="B52" t="s">
        <v>86</v>
      </c>
      <c r="C52" s="5" t="s">
        <v>179</v>
      </c>
      <c r="D52" t="s">
        <v>13</v>
      </c>
      <c r="E52" t="s">
        <v>16</v>
      </c>
      <c r="F52" t="s">
        <v>16</v>
      </c>
      <c r="G52" t="s">
        <v>119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46268</v>
      </c>
      <c r="B53" t="s">
        <v>86</v>
      </c>
      <c r="C53" s="5" t="s">
        <v>180</v>
      </c>
      <c r="D53" t="s">
        <v>12</v>
      </c>
      <c r="E53" t="s">
        <v>10</v>
      </c>
      <c r="F53" t="s">
        <v>10</v>
      </c>
      <c r="G53" t="s">
        <v>181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46268</v>
      </c>
      <c r="B54" t="s">
        <v>86</v>
      </c>
      <c r="C54" s="5" t="s">
        <v>159</v>
      </c>
      <c r="D54" t="s">
        <v>12</v>
      </c>
      <c r="E54" t="s">
        <v>36</v>
      </c>
      <c r="F54" t="s">
        <v>2</v>
      </c>
      <c r="G54" t="s">
        <v>160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46268</v>
      </c>
      <c r="B55" t="s">
        <v>86</v>
      </c>
      <c r="C55" s="5" t="s">
        <v>182</v>
      </c>
      <c r="D55" t="s">
        <v>12</v>
      </c>
      <c r="E55" t="s">
        <v>16</v>
      </c>
      <c r="F55" t="s">
        <v>16</v>
      </c>
      <c r="G55" t="s">
        <v>183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x14ac:dyDescent="0.25">
      <c r="A56" s="11">
        <v>46268</v>
      </c>
      <c r="B56" t="s">
        <v>86</v>
      </c>
      <c r="C56" s="5" t="s">
        <v>184</v>
      </c>
      <c r="D56" t="s">
        <v>12</v>
      </c>
      <c r="E56" t="s">
        <v>16</v>
      </c>
      <c r="F56" t="s">
        <v>16</v>
      </c>
      <c r="G56" t="s">
        <v>185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46268</v>
      </c>
      <c r="B57" t="s">
        <v>86</v>
      </c>
      <c r="C57" s="5" t="s">
        <v>186</v>
      </c>
      <c r="D57" t="s">
        <v>12</v>
      </c>
      <c r="E57" t="s">
        <v>10</v>
      </c>
      <c r="F57" t="s">
        <v>10</v>
      </c>
      <c r="G57" t="s">
        <v>72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46268</v>
      </c>
      <c r="B58" t="s">
        <v>77</v>
      </c>
      <c r="C58" s="5" t="s">
        <v>187</v>
      </c>
      <c r="D58" t="s">
        <v>13</v>
      </c>
      <c r="E58" t="s">
        <v>10</v>
      </c>
      <c r="F58" t="s">
        <v>10</v>
      </c>
      <c r="G58" t="s">
        <v>72</v>
      </c>
      <c r="H58" t="s">
        <v>11</v>
      </c>
      <c r="I58" t="str">
        <f>_xlfn.XLOOKUP(Tabla1[[#This Row],[Dependencia]],Tabla2[Dependencia],Tabla2[Clasificación],"XXX",0)</f>
        <v>Otros</v>
      </c>
      <c r="J58" t="str">
        <f>_xlfn.XLOOKUP(Tabla1[[#This Row],[Dependencia]],Tabla3[Dependencia],Tabla3[Nivel],"Otros",0)</f>
        <v>Otros</v>
      </c>
    </row>
    <row r="59" spans="1:10" ht="30" x14ac:dyDescent="0.25">
      <c r="A59" s="11">
        <v>46268</v>
      </c>
      <c r="B59" t="s">
        <v>77</v>
      </c>
      <c r="C59" s="5" t="s">
        <v>188</v>
      </c>
      <c r="D59" t="s">
        <v>12</v>
      </c>
      <c r="E59" t="s">
        <v>16</v>
      </c>
      <c r="F59" t="s">
        <v>16</v>
      </c>
      <c r="G59" t="s">
        <v>181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46268</v>
      </c>
      <c r="B60" t="s">
        <v>77</v>
      </c>
      <c r="C60" s="5" t="s">
        <v>159</v>
      </c>
      <c r="D60" t="s">
        <v>12</v>
      </c>
      <c r="E60" t="s">
        <v>36</v>
      </c>
      <c r="F60" t="s">
        <v>2</v>
      </c>
      <c r="G60" t="s">
        <v>160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46268</v>
      </c>
      <c r="B61" t="s">
        <v>77</v>
      </c>
      <c r="C61" s="5" t="s">
        <v>189</v>
      </c>
      <c r="D61" t="s">
        <v>12</v>
      </c>
      <c r="E61" t="s">
        <v>26</v>
      </c>
      <c r="F61" t="s">
        <v>2</v>
      </c>
      <c r="G61" t="s">
        <v>190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46268</v>
      </c>
      <c r="B62" t="s">
        <v>77</v>
      </c>
      <c r="C62" s="5" t="s">
        <v>191</v>
      </c>
      <c r="D62" t="s">
        <v>12</v>
      </c>
      <c r="E62" t="s">
        <v>35</v>
      </c>
      <c r="F62" t="s">
        <v>35</v>
      </c>
      <c r="G62" t="s">
        <v>192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11">
        <v>46268</v>
      </c>
      <c r="B63" t="s">
        <v>78</v>
      </c>
      <c r="C63" s="5" t="s">
        <v>193</v>
      </c>
      <c r="D63" t="s">
        <v>13</v>
      </c>
      <c r="E63" t="s">
        <v>40</v>
      </c>
      <c r="F63" t="s">
        <v>40</v>
      </c>
      <c r="G63" t="s">
        <v>91</v>
      </c>
      <c r="H63" t="s">
        <v>70</v>
      </c>
      <c r="I63" t="str">
        <f>_xlfn.XLOOKUP(Tabla1[[#This Row],[Dependencia]],Tabla2[Dependencia],Tabla2[Clasificación],"XXX",0)</f>
        <v>Otros</v>
      </c>
      <c r="J63" t="str">
        <f>_xlfn.XLOOKUP(Tabla1[[#This Row],[Dependencia]],Tabla3[Dependencia],Tabla3[Nivel],"Otros",0)</f>
        <v>Otros</v>
      </c>
    </row>
    <row r="64" spans="1:10" x14ac:dyDescent="0.25">
      <c r="A64" s="11">
        <v>46268</v>
      </c>
      <c r="B64" t="s">
        <v>78</v>
      </c>
      <c r="C64" s="5" t="s">
        <v>194</v>
      </c>
      <c r="D64" t="s">
        <v>12</v>
      </c>
      <c r="E64" t="s">
        <v>10</v>
      </c>
      <c r="F64" t="s">
        <v>10</v>
      </c>
      <c r="G64" t="s">
        <v>195</v>
      </c>
      <c r="H64" t="s">
        <v>11</v>
      </c>
      <c r="I64" t="str">
        <f>_xlfn.XLOOKUP(Tabla1[[#This Row],[Dependencia]],Tabla2[Dependencia],Tabla2[Clasificación],"XXX",0)</f>
        <v>Otros</v>
      </c>
      <c r="J64" t="str">
        <f>_xlfn.XLOOKUP(Tabla1[[#This Row],[Dependencia]],Tabla3[Dependencia],Tabla3[Nivel],"Otros",0)</f>
        <v>Otros</v>
      </c>
    </row>
    <row r="65" spans="1:10" ht="30" x14ac:dyDescent="0.25">
      <c r="A65" s="11">
        <v>46268</v>
      </c>
      <c r="B65" t="s">
        <v>78</v>
      </c>
      <c r="C65" s="5" t="s">
        <v>196</v>
      </c>
      <c r="D65" t="s">
        <v>12</v>
      </c>
      <c r="E65" t="s">
        <v>22</v>
      </c>
      <c r="F65" t="s">
        <v>22</v>
      </c>
      <c r="G65" t="s">
        <v>197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ht="30" x14ac:dyDescent="0.25">
      <c r="A66" s="11">
        <v>46268</v>
      </c>
      <c r="B66" t="s">
        <v>78</v>
      </c>
      <c r="C66" s="5" t="s">
        <v>198</v>
      </c>
      <c r="D66" t="s">
        <v>12</v>
      </c>
      <c r="E66" t="s">
        <v>14</v>
      </c>
      <c r="F66" t="s">
        <v>14</v>
      </c>
      <c r="G66" t="s">
        <v>83</v>
      </c>
      <c r="H66" t="s">
        <v>11</v>
      </c>
      <c r="I66" t="str">
        <f>_xlfn.XLOOKUP(Tabla1[[#This Row],[Dependencia]],Tabla2[Dependencia],Tabla2[Clasificación],"XXX",0)</f>
        <v>Presidencia de la República</v>
      </c>
      <c r="J66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2026-09-03T15:47:40Z</dcterms:modified>
</cp:coreProperties>
</file>