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983D81AA-BADD-456A-A0E0-2EF5560A4E6E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</calcChain>
</file>

<file path=xl/sharedStrings.xml><?xml version="1.0" encoding="utf-8"?>
<sst xmlns="http://schemas.openxmlformats.org/spreadsheetml/2006/main" count="643" uniqueCount="205">
  <si>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</si>
  <si>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</si>
  <si>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</si>
  <si>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</si>
  <si>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</si>
  <si>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</si>
  <si>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</si>
  <si>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</si>
  <si>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</si>
  <si>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</si>
  <si>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</si>
  <si>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</si>
  <si>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</si>
  <si>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</si>
  <si>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</si>
  <si>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</si>
  <si>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</si>
  <si>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</si>
  <si>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</si>
  <si>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</si>
  <si>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</si>
  <si>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</si>
  <si>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</si>
  <si>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</si>
  <si>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</si>
  <si>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</si>
  <si>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</si>
  <si>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</si>
  <si>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</si>
  <si>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</si>
  <si>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</si>
  <si>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</si>
  <si>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</si>
  <si>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</si>
  <si>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</si>
  <si>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</si>
  <si>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</si>
  <si>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</si>
  <si>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</si>
  <si>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</si>
  <si>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</si>
  <si>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</si>
  <si>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</si>
  <si>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</si>
  <si>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</si>
  <si>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</si>
  <si>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</si>
  <si>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</si>
  <si>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</si>
  <si>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</si>
  <si>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</si>
  <si>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</si>
  <si>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</si>
  <si>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</si>
  <si>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</si>
  <si>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</si>
  <si>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</si>
  <si>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</si>
  <si>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</si>
  <si>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</si>
  <si>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</si>
  <si>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</si>
  <si>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</si>
  <si>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</si>
  <si>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</si>
  <si>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</si>
  <si>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</si>
  <si>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</si>
  <si>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</si>
  <si>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</si>
  <si>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</si>
  <si>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</si>
  <si>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</si>
  <si>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La Jornada Hidalgo</t>
  </si>
  <si>
    <t>OCSAD</t>
  </si>
  <si>
    <t>Mundial De Futbol</t>
  </si>
  <si>
    <t>Effetá</t>
  </si>
  <si>
    <t>Plaza Juárez</t>
  </si>
  <si>
    <t>Criterio</t>
  </si>
  <si>
    <t>Publicidad</t>
  </si>
  <si>
    <t>El Universal Hidalgo</t>
  </si>
  <si>
    <t>Maltrato animal</t>
  </si>
  <si>
    <t>Relleno Sanitario</t>
  </si>
  <si>
    <t>Temas internacionales</t>
  </si>
  <si>
    <t>Afectaciones Por Lluvias</t>
  </si>
  <si>
    <t>Conagua</t>
  </si>
  <si>
    <t>Ellos importan</t>
  </si>
  <si>
    <t>Editorial</t>
  </si>
  <si>
    <t>Incidencia Delictiva</t>
  </si>
  <si>
    <t>Temas varios</t>
  </si>
  <si>
    <t>Sipdus</t>
  </si>
  <si>
    <t>Policía municipal</t>
  </si>
  <si>
    <t>IHE</t>
  </si>
  <si>
    <t>Marfeca</t>
  </si>
  <si>
    <t>Denuncian riesgos en nuevo relleno sanitario</t>
  </si>
  <si>
    <t>Transporte público eficiente, la solución</t>
  </si>
  <si>
    <t>Movilidad sustentable</t>
  </si>
  <si>
    <t>Piden regular el paso de camiones</t>
  </si>
  <si>
    <t>Modificación de ruta de transporte</t>
  </si>
  <si>
    <t>Impulsan obras de red hídrica en Pachuca</t>
  </si>
  <si>
    <t>Infraestructura Hidráulica</t>
  </si>
  <si>
    <t>Los retos no son iguales cuando manejamos</t>
  </si>
  <si>
    <t>No piensa en su edad</t>
  </si>
  <si>
    <t>Ayuntamiento de Pachuca descarta regreso de ambulantes al centro</t>
  </si>
  <si>
    <t>Ambulantaje</t>
  </si>
  <si>
    <t>Van 632 mdp a infraestructura hídrica</t>
  </si>
  <si>
    <t>Messi ya es el máximo anotador en Mundiales</t>
  </si>
  <si>
    <t>oto</t>
  </si>
  <si>
    <t>Adeudan ciudadanos y empresas mil mdp por servicio de agua</t>
  </si>
  <si>
    <t>Caasim</t>
  </si>
  <si>
    <t>Adeudos Caasim</t>
  </si>
  <si>
    <t>Recupera Hidalgo predio donado en administración de Fayad</t>
  </si>
  <si>
    <t>Recuperación Del Patrimonio</t>
  </si>
  <si>
    <t>Beneficiará nuevo pozo a 18 mil habitantes metropolitanos</t>
  </si>
  <si>
    <t>En acueducto Téllez fueron halladas tomas clandestinas</t>
  </si>
  <si>
    <t>Robo De Agua</t>
  </si>
  <si>
    <t>Mujeres mayores, aún sin lograr el retiro</t>
  </si>
  <si>
    <t>Pensión Del Bienestar</t>
  </si>
  <si>
    <t>Messi hace historia y Argentina avanza</t>
  </si>
  <si>
    <t>Debaten el papel de la IA en la educación superior</t>
  </si>
  <si>
    <t>Inteligencia Artificial</t>
  </si>
  <si>
    <t>Congo, prueba para ataque colombiano</t>
  </si>
  <si>
    <t>Sigue activa la vacunación contra el sarampión: SSH</t>
  </si>
  <si>
    <t>Sarampión</t>
  </si>
  <si>
    <t>Aguachicoleo: crecen las tomas clandestinas pese a operativos</t>
  </si>
  <si>
    <t>Unidad de Planeación ya trabaja en 300 proyectos</t>
  </si>
  <si>
    <t>Ordenamiento Territorial</t>
  </si>
  <si>
    <t>Homicidios  bajan, suben  las lesiones</t>
  </si>
  <si>
    <t>Salud</t>
  </si>
  <si>
    <t>El gobernador Julio Menchaca dijo que la inversión en infraestructura hídrica se triplicó durante su administración</t>
  </si>
  <si>
    <t>Padecen abuso  sexual en línea  1.6 millones de  menores al año</t>
  </si>
  <si>
    <t>Abuso Sexual</t>
  </si>
  <si>
    <t>Transportistas se comprometen a trabajar por la modernización</t>
  </si>
  <si>
    <t>Conmemoración Aniversario</t>
  </si>
  <si>
    <t>Reparten balas Mbappé, Haaland y Messi</t>
  </si>
  <si>
    <t>Urgen a triplicar la cifra de pilotos en dos décadas</t>
  </si>
  <si>
    <t>Tras ocho horas de manifestación, pactan suspender basurero en Tula</t>
  </si>
  <si>
    <t>Deuda de la UAEH con Caasim ya suma 56 millones de pesos</t>
  </si>
  <si>
    <t>Gobierno actual suma $5 mil millones de inversión hidráulica</t>
  </si>
  <si>
    <t>Buen humor en la conferencia ""patutina""</t>
  </si>
  <si>
    <t>A pesar de los múltiples intentos de sabotaje y descalificaciones auspiciadas  por la oposición, las personas visitantes pudieron disfrutar la inauguración y los  partidos celebrados en México. Incluso, la prensa deportiva de otros países ha  referido que el verdadero ambiente mundialista se vive en México”.</t>
  </si>
  <si>
    <t>Lluvias y vientos provocan afectaciones en 18 municipios</t>
  </si>
  <si>
    <t>PC</t>
  </si>
  <si>
    <t>Hidalgo invertirá más de 632 millones de pesos en infraestructura hidráulica</t>
  </si>
  <si>
    <t>Libera Conagua agua de la presa Requena hacia el río Tula</t>
  </si>
  <si>
    <t>Desfogue De Presa</t>
  </si>
  <si>
    <t>Persisten agresiones contra jueces deportivos; hieren a uno en Tula</t>
  </si>
  <si>
    <t>Agresión</t>
  </si>
  <si>
    <t>Recupera Hidalgo predio vendido a familiar de Jessica Blancas; ahora es parte de Ciudad Deportiva</t>
  </si>
  <si>
    <t>Gobernador Menchaca presenta resultados obre el abasto de agua en Pachuca de Soto</t>
  </si>
  <si>
    <t>Cabildo de Huejutla aprueba exhorto a la CFE para atender el suministro eléctrico</t>
  </si>
  <si>
    <t>Falta de servicios públicos</t>
  </si>
  <si>
    <t>Automovilistas se confrontaron y abrieron paso en bloqueo</t>
  </si>
  <si>
    <t>Cierre Carretero</t>
  </si>
  <si>
    <t>Comunidad LGBT+ marcha por la inclusión y el respeto en Huejutla</t>
  </si>
  <si>
    <t>Marcha LGBTTTIQ+</t>
  </si>
  <si>
    <t>Kristel Rodríguez reconoce labor de padres de familia</t>
  </si>
  <si>
    <t>Reconocimiento</t>
  </si>
  <si>
    <t>Menchaca supera inversión hidráulica de Fayad y Olvera juntos</t>
  </si>
  <si>
    <t>SEPH propone estacionamiento para IMSS y obras en CBTIS 22</t>
  </si>
  <si>
    <t>Disputa Por Predio</t>
  </si>
  <si>
    <t>Frenan relleno sanitario</t>
  </si>
  <si>
    <t>Caen tres presuntos montachoques</t>
  </si>
  <si>
    <t>Combate a la extorsión</t>
  </si>
  <si>
    <t>Recupera Hidalgo terreno vendido a familiar de Jessica Blancas</t>
  </si>
  <si>
    <t>Por adeudo de 56 millones Caasim iniciará juicio mercantil contra la UAEH</t>
  </si>
  <si>
    <t>Planeación de largo plazo, clave para consolidar a Hidalgo como potencia nacional</t>
  </si>
  <si>
    <t>Menchaca presenta resultados que transforman el abasto de agua potable en la zona Metropolitana de Pachuca</t>
  </si>
  <si>
    <t>Exigen cancelación definitiva del proyecto relleno sanitario de Tula por posible riesgo ambiental</t>
  </si>
  <si>
    <t>relleno sni</t>
  </si>
  <si>
    <t>¡Escucharon las quejas! INAH reduce drásticamente el costo de los Amaneceres Toltecas</t>
  </si>
  <si>
    <t>INAH</t>
  </si>
  <si>
    <t>Zona Arqueológica</t>
  </si>
  <si>
    <t>Gabinete de Seguridad destaca acciones de protección civil y combate al delito</t>
  </si>
  <si>
    <t>Reunión Gabinete De Seguridad</t>
  </si>
  <si>
    <t>Arranca pavimentación en cerrada Juan de la Barrera</t>
  </si>
  <si>
    <t>Pavimentación</t>
  </si>
  <si>
    <t>Entregan rehabilitación de la rampa de acceso al Cobaeh de Santiago Tezontle</t>
  </si>
  <si>
    <t>Entrega de obra</t>
  </si>
  <si>
    <t>Gobierno de Hidalgo transforma la vida de miles de personas mayores</t>
  </si>
  <si>
    <t>IAAMEH</t>
  </si>
  <si>
    <t>Atención a adultos mayores</t>
  </si>
  <si>
    <t>Recibe UAEH resultados del Ceneval para nuevo ingreso</t>
  </si>
  <si>
    <t>Admisiones</t>
  </si>
  <si>
    <t>Fortalecen capacidades de respuesta con curso de combate contra incendios</t>
  </si>
  <si>
    <t>Prevención de incendios</t>
  </si>
  <si>
    <t>Identidad segura</t>
  </si>
  <si>
    <t>Alerta De Fraude</t>
  </si>
  <si>
    <t>Pachuca Brilla</t>
  </si>
  <si>
    <t>Julio Menchaca pone en marcha nuevo pozo de agua potable en la Zona Metropolitana de Pachuca</t>
  </si>
  <si>
    <t>Atienden deslaves por lluvias en municipios</t>
  </si>
  <si>
    <t>Atención Afectaciones Por Lluvias</t>
  </si>
  <si>
    <t>Auxilia policía de Pachuca a persona reportada como desapareicda</t>
  </si>
  <si>
    <t>Localización de persona</t>
  </si>
  <si>
    <t>Coloca SEPH a deporte como herramienta de formación, bienestar y desarrollo social</t>
  </si>
  <si>
    <t>Fomento Al Deporte</t>
  </si>
  <si>
    <t>Desmantela SSPH presunta banda de montachoques en la México-Pachuca; hay tres detenidos</t>
  </si>
  <si>
    <t>Tus emociones son tus mejores herramientas</t>
  </si>
  <si>
    <t>Atención Socioemocional</t>
  </si>
  <si>
    <t>Aseguran a banda de montachoques en la México-Pachuca</t>
  </si>
  <si>
    <t>López Obrador temía posibles revelaciones de El Mayo</t>
  </si>
  <si>
    <t>La Ciudad Deportiva de Pachuca busca aliviar el rezago en instalaciones deportivas. El deporte es muy importante para cualquier sociedad porque preserva la salud de la población y sirve para contener la delincuencia. Un acierto ese centro deportivo</t>
  </si>
  <si>
    <t>Inhide</t>
  </si>
  <si>
    <t>Ciudad Deportiva</t>
  </si>
  <si>
    <t>Invierte gobierno más de 2 mil mdp en materia hídrica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</si>
</sst>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0" totalsRowShown="0" headerRowDxfId="5" headerRowBorderDxfId="4">
  <autoFilter ref="A1:J70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0"/>
  <sheetViews>
    <sheetView tabSelected="1" workbookViewId="0">
      <selection activeCell="A2" sqref="A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46196</v>
      </c>
      <c r="B2" t="s">
        <v>68</v>
      </c>
      <c r="C2" s="6" t="s">
        <v>94</v>
      </c>
      <c r="D2" t="s">
        <v>12</v>
      </c>
      <c r="E2" t="s">
        <v>20</v>
      </c>
      <c r="F2" t="s">
        <v>20</v>
      </c>
      <c r="G2" t="s">
        <v>82</v>
      </c>
      <c r="H2" t="s">
        <v>70</v>
      </c>
      <c r="I2" t="str">
        <f>_xlfn.XLOOKUP(Tabla1[[#This Row],[Dependencia]],Tabla2[Dependencia],Tabla2[Clasificación],"No indexado")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5">
        <v>46196</v>
      </c>
      <c r="B3" t="s">
        <v>68</v>
      </c>
      <c r="C3" s="6" t="s">
        <v>95</v>
      </c>
      <c r="D3" t="s">
        <v>13</v>
      </c>
      <c r="E3" t="s">
        <v>10</v>
      </c>
      <c r="F3" t="s">
        <v>10</v>
      </c>
      <c r="G3" t="s">
        <v>96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46196</v>
      </c>
      <c r="B4" t="s">
        <v>68</v>
      </c>
      <c r="C4" s="6" t="s">
        <v>97</v>
      </c>
      <c r="D4" t="s">
        <v>12</v>
      </c>
      <c r="E4" t="s">
        <v>16</v>
      </c>
      <c r="F4" t="s">
        <v>16</v>
      </c>
      <c r="G4" t="s">
        <v>98</v>
      </c>
      <c r="H4" t="s">
        <v>11</v>
      </c>
      <c r="I4" t="str">
        <f>_xlfn.XLOOKUP(Tabla1[[#This Row],[Dependencia]],Tabla2[Dependencia],Tabla2[Clasificación],"No indexado")</f>
        <v>Alcaldías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46196</v>
      </c>
      <c r="B5" t="s">
        <v>68</v>
      </c>
      <c r="C5" s="6" t="s">
        <v>99</v>
      </c>
      <c r="D5" t="s">
        <v>9</v>
      </c>
      <c r="E5" t="s">
        <v>24</v>
      </c>
      <c r="F5" t="s">
        <v>24</v>
      </c>
      <c r="G5" t="s">
        <v>100</v>
      </c>
      <c r="H5" t="s">
        <v>69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Gobernador</v>
      </c>
    </row>
    <row r="6" spans="1:10" x14ac:dyDescent="0.25">
      <c r="A6" s="5">
        <v>46196</v>
      </c>
      <c r="B6" t="s">
        <v>68</v>
      </c>
      <c r="C6" s="6" t="s">
        <v>101</v>
      </c>
      <c r="D6" t="s">
        <v>12</v>
      </c>
      <c r="E6" t="s">
        <v>10</v>
      </c>
      <c r="F6" t="s">
        <v>10</v>
      </c>
      <c r="G6" t="s">
        <v>89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46196</v>
      </c>
      <c r="B7" t="s">
        <v>68</v>
      </c>
      <c r="C7" s="6" t="s">
        <v>102</v>
      </c>
      <c r="D7" t="s">
        <v>12</v>
      </c>
      <c r="E7" t="s">
        <v>10</v>
      </c>
      <c r="F7" t="s">
        <v>10</v>
      </c>
      <c r="G7" t="s">
        <v>75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ht="30" x14ac:dyDescent="0.25">
      <c r="A8" s="5">
        <v>46196</v>
      </c>
      <c r="B8" t="s">
        <v>80</v>
      </c>
      <c r="C8" s="6" t="s">
        <v>103</v>
      </c>
      <c r="D8" t="s">
        <v>12</v>
      </c>
      <c r="E8" t="s">
        <v>16</v>
      </c>
      <c r="F8" t="s">
        <v>16</v>
      </c>
      <c r="G8" t="s">
        <v>104</v>
      </c>
      <c r="H8" t="s">
        <v>11</v>
      </c>
      <c r="I8" t="str">
        <f>_xlfn.XLOOKUP(Tabla1[[#This Row],[Dependencia]],Tabla2[Dependencia],Tabla2[Clasificación],"No indexado")</f>
        <v>Alcaldías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46196</v>
      </c>
      <c r="B9" t="s">
        <v>80</v>
      </c>
      <c r="C9" s="6" t="s">
        <v>105</v>
      </c>
      <c r="D9" t="s">
        <v>9</v>
      </c>
      <c r="E9" t="s">
        <v>24</v>
      </c>
      <c r="F9" t="s">
        <v>24</v>
      </c>
      <c r="G9" t="s">
        <v>100</v>
      </c>
      <c r="H9" t="s">
        <v>69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Gobernador</v>
      </c>
    </row>
    <row r="10" spans="1:10" x14ac:dyDescent="0.25">
      <c r="A10" s="5">
        <v>46196</v>
      </c>
      <c r="B10" t="s">
        <v>80</v>
      </c>
      <c r="C10" s="6" t="s">
        <v>106</v>
      </c>
      <c r="D10" t="s">
        <v>12</v>
      </c>
      <c r="E10" t="s">
        <v>10</v>
      </c>
      <c r="F10" t="s">
        <v>107</v>
      </c>
      <c r="G10" t="s">
        <v>75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ht="30" x14ac:dyDescent="0.25">
      <c r="A11" s="5">
        <v>46196</v>
      </c>
      <c r="B11" t="s">
        <v>80</v>
      </c>
      <c r="C11" s="6" t="s">
        <v>108</v>
      </c>
      <c r="D11" t="s">
        <v>13</v>
      </c>
      <c r="E11" t="s">
        <v>90</v>
      </c>
      <c r="F11" t="s">
        <v>109</v>
      </c>
      <c r="G11" t="s">
        <v>110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ht="30" x14ac:dyDescent="0.25">
      <c r="A12" s="5">
        <v>46196</v>
      </c>
      <c r="B12" t="s">
        <v>80</v>
      </c>
      <c r="C12" s="6" t="s">
        <v>111</v>
      </c>
      <c r="D12" t="s">
        <v>12</v>
      </c>
      <c r="E12" t="s">
        <v>21</v>
      </c>
      <c r="F12" t="s">
        <v>21</v>
      </c>
      <c r="G12" t="s">
        <v>112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Gabinete</v>
      </c>
    </row>
    <row r="13" spans="1:10" ht="30" x14ac:dyDescent="0.25">
      <c r="A13" s="5">
        <v>46196</v>
      </c>
      <c r="B13" t="s">
        <v>78</v>
      </c>
      <c r="C13" s="6" t="s">
        <v>113</v>
      </c>
      <c r="D13" t="s">
        <v>12</v>
      </c>
      <c r="E13" t="s">
        <v>24</v>
      </c>
      <c r="F13" t="s">
        <v>24</v>
      </c>
      <c r="G13" t="s">
        <v>100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Gobernador</v>
      </c>
    </row>
    <row r="14" spans="1:10" ht="30" x14ac:dyDescent="0.25">
      <c r="A14" s="5">
        <v>46196</v>
      </c>
      <c r="B14" t="s">
        <v>78</v>
      </c>
      <c r="C14" s="6" t="s">
        <v>114</v>
      </c>
      <c r="D14" t="s">
        <v>12</v>
      </c>
      <c r="E14" t="s">
        <v>24</v>
      </c>
      <c r="F14" t="s">
        <v>24</v>
      </c>
      <c r="G14" t="s">
        <v>115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Gobernador</v>
      </c>
    </row>
    <row r="15" spans="1:10" x14ac:dyDescent="0.25">
      <c r="A15" s="5">
        <v>46196</v>
      </c>
      <c r="B15" t="s">
        <v>78</v>
      </c>
      <c r="C15" s="6" t="s">
        <v>116</v>
      </c>
      <c r="D15" t="s">
        <v>12</v>
      </c>
      <c r="E15" t="s">
        <v>14</v>
      </c>
      <c r="F15" t="s">
        <v>14</v>
      </c>
      <c r="G15" t="s">
        <v>117</v>
      </c>
      <c r="H15" t="s">
        <v>70</v>
      </c>
      <c r="I15" t="str">
        <f>_xlfn.XLOOKUP(Tabla1[[#This Row],[Dependencia]],Tabla2[Dependencia],Tabla2[Clasificación],"No indexado")</f>
        <v>Presidencia de la República</v>
      </c>
      <c r="J15" t="str">
        <f>_xlfn.XLOOKUP(Tabla1[[#This Row],[Dependencia]],Tabla3[Dependencia],Tabla3[Nivel],"otros",0)</f>
        <v>otros</v>
      </c>
    </row>
    <row r="16" spans="1:10" x14ac:dyDescent="0.25">
      <c r="A16" s="5">
        <v>46196</v>
      </c>
      <c r="B16" t="s">
        <v>78</v>
      </c>
      <c r="C16" s="6" t="s">
        <v>118</v>
      </c>
      <c r="D16" t="s">
        <v>12</v>
      </c>
      <c r="E16" t="s">
        <v>10</v>
      </c>
      <c r="F16" t="s">
        <v>10</v>
      </c>
      <c r="G16" t="s">
        <v>75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5">
        <v>46196</v>
      </c>
      <c r="B17" t="s">
        <v>78</v>
      </c>
      <c r="C17" s="6" t="s">
        <v>119</v>
      </c>
      <c r="D17" t="s">
        <v>9</v>
      </c>
      <c r="E17" t="s">
        <v>10</v>
      </c>
      <c r="F17" t="s">
        <v>10</v>
      </c>
      <c r="G17" t="s">
        <v>120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5">
        <v>46196</v>
      </c>
      <c r="B18" t="s">
        <v>78</v>
      </c>
      <c r="C18" s="6" t="s">
        <v>121</v>
      </c>
      <c r="D18" t="s">
        <v>12</v>
      </c>
      <c r="E18" t="s">
        <v>10</v>
      </c>
      <c r="F18" t="s">
        <v>10</v>
      </c>
      <c r="G18" t="s">
        <v>75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5">
        <v>46196</v>
      </c>
      <c r="B19" t="s">
        <v>78</v>
      </c>
      <c r="C19" s="6" t="s">
        <v>122</v>
      </c>
      <c r="D19" t="s">
        <v>12</v>
      </c>
      <c r="E19" t="s">
        <v>15</v>
      </c>
      <c r="F19" t="s">
        <v>15</v>
      </c>
      <c r="G19" t="s">
        <v>123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5">
        <v>46196</v>
      </c>
      <c r="B20" t="s">
        <v>67</v>
      </c>
      <c r="C20" s="6" t="s">
        <v>124</v>
      </c>
      <c r="D20" t="s">
        <v>12</v>
      </c>
      <c r="E20" t="s">
        <v>90</v>
      </c>
      <c r="F20" t="s">
        <v>109</v>
      </c>
      <c r="G20" t="s">
        <v>115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5">
        <v>46196</v>
      </c>
      <c r="B21" t="s">
        <v>67</v>
      </c>
      <c r="C21" s="6" t="s">
        <v>125</v>
      </c>
      <c r="D21" t="s">
        <v>12</v>
      </c>
      <c r="E21" t="s">
        <v>47</v>
      </c>
      <c r="F21" t="s">
        <v>47</v>
      </c>
      <c r="G21" t="s">
        <v>126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5">
        <v>46196</v>
      </c>
      <c r="B22" t="s">
        <v>67</v>
      </c>
      <c r="C22" s="6" t="s">
        <v>127</v>
      </c>
      <c r="D22" t="s">
        <v>12</v>
      </c>
      <c r="E22" t="s">
        <v>14</v>
      </c>
      <c r="F22" t="s">
        <v>128</v>
      </c>
      <c r="G22" t="s">
        <v>88</v>
      </c>
      <c r="H22" t="s">
        <v>11</v>
      </c>
      <c r="I22" t="str">
        <f>_xlfn.XLOOKUP(Tabla1[[#This Row],[Dependencia]],Tabla2[Dependencia],Tabla2[Clasificación],"No indexado")</f>
        <v>Presidencia de la República</v>
      </c>
      <c r="J22" t="str">
        <f>_xlfn.XLOOKUP(Tabla1[[#This Row],[Dependencia]],Tabla3[Dependencia],Tabla3[Nivel],"otros",0)</f>
        <v>otros</v>
      </c>
    </row>
    <row r="23" spans="1:10" ht="45" x14ac:dyDescent="0.25">
      <c r="A23" s="5">
        <v>46196</v>
      </c>
      <c r="B23" t="s">
        <v>67</v>
      </c>
      <c r="C23" s="6" t="s">
        <v>129</v>
      </c>
      <c r="D23" t="s">
        <v>9</v>
      </c>
      <c r="E23" t="s">
        <v>24</v>
      </c>
      <c r="F23" t="s">
        <v>24</v>
      </c>
      <c r="G23" t="s">
        <v>100</v>
      </c>
      <c r="H23" t="s">
        <v>69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Gobernador</v>
      </c>
    </row>
    <row r="24" spans="1:10" ht="30" x14ac:dyDescent="0.25">
      <c r="A24" s="5">
        <v>46196</v>
      </c>
      <c r="B24" t="s">
        <v>67</v>
      </c>
      <c r="C24" s="6" t="s">
        <v>130</v>
      </c>
      <c r="D24" t="s">
        <v>12</v>
      </c>
      <c r="E24" t="s">
        <v>10</v>
      </c>
      <c r="F24" t="s">
        <v>10</v>
      </c>
      <c r="G24" t="s">
        <v>131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5">
        <v>46196</v>
      </c>
      <c r="B25" t="s">
        <v>67</v>
      </c>
      <c r="C25" s="6" t="s">
        <v>132</v>
      </c>
      <c r="D25" t="s">
        <v>12</v>
      </c>
      <c r="E25" t="s">
        <v>10</v>
      </c>
      <c r="F25" t="s">
        <v>10</v>
      </c>
      <c r="G25" t="s">
        <v>133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5">
        <v>46196</v>
      </c>
      <c r="B26" t="s">
        <v>67</v>
      </c>
      <c r="C26" s="6" t="s">
        <v>134</v>
      </c>
      <c r="D26" t="s">
        <v>12</v>
      </c>
      <c r="E26" t="s">
        <v>10</v>
      </c>
      <c r="F26" t="s">
        <v>10</v>
      </c>
      <c r="G26" t="s">
        <v>75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x14ac:dyDescent="0.25">
      <c r="A27" s="5">
        <v>46196</v>
      </c>
      <c r="B27" t="s">
        <v>67</v>
      </c>
      <c r="C27" s="6" t="s">
        <v>135</v>
      </c>
      <c r="D27" t="s">
        <v>12</v>
      </c>
      <c r="E27" t="s">
        <v>10</v>
      </c>
      <c r="F27" t="s">
        <v>10</v>
      </c>
      <c r="G27" t="s">
        <v>89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5">
        <v>46196</v>
      </c>
      <c r="B28" t="s">
        <v>73</v>
      </c>
      <c r="C28" s="6" t="s">
        <v>136</v>
      </c>
      <c r="D28" t="s">
        <v>12</v>
      </c>
      <c r="E28" t="s">
        <v>20</v>
      </c>
      <c r="F28" t="s">
        <v>20</v>
      </c>
      <c r="G28" t="s">
        <v>82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Gabinete</v>
      </c>
    </row>
    <row r="29" spans="1:10" ht="30" x14ac:dyDescent="0.25">
      <c r="A29" s="5">
        <v>46196</v>
      </c>
      <c r="B29" t="s">
        <v>73</v>
      </c>
      <c r="C29" s="6" t="s">
        <v>137</v>
      </c>
      <c r="D29" t="s">
        <v>13</v>
      </c>
      <c r="E29" t="s">
        <v>90</v>
      </c>
      <c r="F29" t="s">
        <v>109</v>
      </c>
      <c r="G29" t="s">
        <v>110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5">
        <v>46196</v>
      </c>
      <c r="B30" t="s">
        <v>73</v>
      </c>
      <c r="C30" s="6" t="s">
        <v>138</v>
      </c>
      <c r="D30" t="s">
        <v>9</v>
      </c>
      <c r="E30" t="s">
        <v>24</v>
      </c>
      <c r="F30" t="s">
        <v>24</v>
      </c>
      <c r="G30" t="s">
        <v>100</v>
      </c>
      <c r="H30" t="s">
        <v>69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Gobernador</v>
      </c>
    </row>
    <row r="31" spans="1:10" x14ac:dyDescent="0.25">
      <c r="A31" s="5">
        <v>46196</v>
      </c>
      <c r="B31" t="s">
        <v>73</v>
      </c>
      <c r="C31" s="6" t="s">
        <v>139</v>
      </c>
      <c r="D31" t="s">
        <v>12</v>
      </c>
      <c r="E31" t="s">
        <v>14</v>
      </c>
      <c r="F31" t="s">
        <v>14</v>
      </c>
      <c r="G31" t="s">
        <v>75</v>
      </c>
      <c r="H31" t="s">
        <v>11</v>
      </c>
      <c r="I31" t="str">
        <f>_xlfn.XLOOKUP(Tabla1[[#This Row],[Dependencia]],Tabla2[Dependencia],Tabla2[Clasificación],"No indexado")</f>
        <v>Presidencia de la República</v>
      </c>
      <c r="J31" t="str">
        <f>_xlfn.XLOOKUP(Tabla1[[#This Row],[Dependencia]],Tabla3[Dependencia],Tabla3[Nivel],"otros",0)</f>
        <v>otros</v>
      </c>
    </row>
    <row r="32" spans="1:10" ht="90" x14ac:dyDescent="0.25">
      <c r="A32" s="5">
        <v>46196</v>
      </c>
      <c r="B32" t="s">
        <v>73</v>
      </c>
      <c r="C32" s="6" t="s">
        <v>140</v>
      </c>
      <c r="D32" t="s">
        <v>12</v>
      </c>
      <c r="E32" t="s">
        <v>10</v>
      </c>
      <c r="F32" t="s">
        <v>10</v>
      </c>
      <c r="G32" t="s">
        <v>75</v>
      </c>
      <c r="H32" t="s">
        <v>11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ht="30" x14ac:dyDescent="0.25">
      <c r="A33" s="5">
        <v>46196</v>
      </c>
      <c r="B33" t="s">
        <v>72</v>
      </c>
      <c r="C33" s="6" t="s">
        <v>141</v>
      </c>
      <c r="D33" t="s">
        <v>13</v>
      </c>
      <c r="E33" t="s">
        <v>23</v>
      </c>
      <c r="F33" t="s">
        <v>142</v>
      </c>
      <c r="G33" t="s">
        <v>84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30" x14ac:dyDescent="0.25">
      <c r="A34" s="5">
        <v>46196</v>
      </c>
      <c r="B34" t="s">
        <v>72</v>
      </c>
      <c r="C34" s="6" t="s">
        <v>143</v>
      </c>
      <c r="D34" t="s">
        <v>12</v>
      </c>
      <c r="E34" t="s">
        <v>24</v>
      </c>
      <c r="F34" t="s">
        <v>24</v>
      </c>
      <c r="G34" t="s">
        <v>100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Gobernador</v>
      </c>
    </row>
    <row r="35" spans="1:10" ht="30" x14ac:dyDescent="0.25">
      <c r="A35" s="5">
        <v>46196</v>
      </c>
      <c r="B35" t="s">
        <v>72</v>
      </c>
      <c r="C35" s="6" t="s">
        <v>144</v>
      </c>
      <c r="D35" t="s">
        <v>12</v>
      </c>
      <c r="E35" t="s">
        <v>14</v>
      </c>
      <c r="F35" t="s">
        <v>85</v>
      </c>
      <c r="G35" t="s">
        <v>145</v>
      </c>
      <c r="H35" t="s">
        <v>11</v>
      </c>
      <c r="I35" t="str">
        <f>_xlfn.XLOOKUP(Tabla1[[#This Row],[Dependencia]],Tabla2[Dependencia],Tabla2[Clasificación],"No indexado")</f>
        <v>Presidencia de la República</v>
      </c>
      <c r="J35" t="str">
        <f>_xlfn.XLOOKUP(Tabla1[[#This Row],[Dependencia]],Tabla3[Dependencia],Tabla3[Nivel],"otros",0)</f>
        <v>otros</v>
      </c>
    </row>
    <row r="36" spans="1:10" ht="30" x14ac:dyDescent="0.25">
      <c r="A36" s="5">
        <v>46196</v>
      </c>
      <c r="B36" t="s">
        <v>72</v>
      </c>
      <c r="C36" s="6" t="s">
        <v>146</v>
      </c>
      <c r="D36" t="s">
        <v>12</v>
      </c>
      <c r="E36" t="s">
        <v>10</v>
      </c>
      <c r="F36" t="s">
        <v>10</v>
      </c>
      <c r="G36" t="s">
        <v>147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5">
        <v>46196</v>
      </c>
      <c r="B37" t="s">
        <v>72</v>
      </c>
      <c r="C37" s="6" t="s">
        <v>148</v>
      </c>
      <c r="D37" t="s">
        <v>12</v>
      </c>
      <c r="E37" t="s">
        <v>21</v>
      </c>
      <c r="F37" t="s">
        <v>21</v>
      </c>
      <c r="G37" t="s">
        <v>112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5">
        <v>46196</v>
      </c>
      <c r="B38" t="s">
        <v>71</v>
      </c>
      <c r="C38" s="6" t="s">
        <v>149</v>
      </c>
      <c r="D38" t="s">
        <v>12</v>
      </c>
      <c r="E38" t="s">
        <v>24</v>
      </c>
      <c r="F38" t="s">
        <v>24</v>
      </c>
      <c r="G38" t="s">
        <v>100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Gobernador</v>
      </c>
    </row>
    <row r="39" spans="1:10" ht="30" x14ac:dyDescent="0.25">
      <c r="A39" s="5">
        <v>46196</v>
      </c>
      <c r="B39" t="s">
        <v>71</v>
      </c>
      <c r="C39" s="6" t="s">
        <v>150</v>
      </c>
      <c r="D39" t="s">
        <v>12</v>
      </c>
      <c r="E39" t="s">
        <v>16</v>
      </c>
      <c r="F39" t="s">
        <v>16</v>
      </c>
      <c r="G39" t="s">
        <v>151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5">
        <v>46196</v>
      </c>
      <c r="B40" t="s">
        <v>71</v>
      </c>
      <c r="C40" s="6" t="s">
        <v>152</v>
      </c>
      <c r="D40" t="s">
        <v>13</v>
      </c>
      <c r="E40" t="s">
        <v>10</v>
      </c>
      <c r="F40" t="s">
        <v>10</v>
      </c>
      <c r="G40" t="s">
        <v>153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ht="30" x14ac:dyDescent="0.25">
      <c r="A41" s="5">
        <v>46196</v>
      </c>
      <c r="B41" t="s">
        <v>71</v>
      </c>
      <c r="C41" s="6" t="s">
        <v>154</v>
      </c>
      <c r="D41" t="s">
        <v>12</v>
      </c>
      <c r="E41" t="s">
        <v>10</v>
      </c>
      <c r="F41" t="s">
        <v>10</v>
      </c>
      <c r="G41" t="s">
        <v>155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46196</v>
      </c>
      <c r="B42" t="s">
        <v>71</v>
      </c>
      <c r="C42" s="6" t="s">
        <v>156</v>
      </c>
      <c r="D42" t="s">
        <v>12</v>
      </c>
      <c r="E42" t="s">
        <v>16</v>
      </c>
      <c r="F42" t="s">
        <v>16</v>
      </c>
      <c r="G42" t="s">
        <v>157</v>
      </c>
      <c r="H42" t="s">
        <v>11</v>
      </c>
      <c r="I42" t="str">
        <f>_xlfn.XLOOKUP(Tabla1[[#This Row],[Dependencia]],Tabla2[Dependencia],Tabla2[Clasificación],"No indexado")</f>
        <v>Alcaldías</v>
      </c>
      <c r="J42" t="str">
        <f>_xlfn.XLOOKUP(Tabla1[[#This Row],[Dependencia]],Tabla3[Dependencia],Tabla3[Nivel],"otros",0)</f>
        <v>otros</v>
      </c>
    </row>
    <row r="43" spans="1:10" ht="30" x14ac:dyDescent="0.25">
      <c r="A43" s="5">
        <v>46196</v>
      </c>
      <c r="B43" t="s">
        <v>76</v>
      </c>
      <c r="C43" s="6" t="s">
        <v>158</v>
      </c>
      <c r="D43" t="s">
        <v>13</v>
      </c>
      <c r="E43" t="s">
        <v>24</v>
      </c>
      <c r="F43" t="s">
        <v>24</v>
      </c>
      <c r="G43" t="s">
        <v>100</v>
      </c>
      <c r="H43" t="s">
        <v>69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Gobernador</v>
      </c>
    </row>
    <row r="44" spans="1:10" ht="30" x14ac:dyDescent="0.25">
      <c r="A44" s="5">
        <v>46196</v>
      </c>
      <c r="B44" t="s">
        <v>76</v>
      </c>
      <c r="C44" s="6" t="s">
        <v>159</v>
      </c>
      <c r="D44" t="s">
        <v>12</v>
      </c>
      <c r="E44" t="s">
        <v>26</v>
      </c>
      <c r="F44" t="s">
        <v>26</v>
      </c>
      <c r="G44" t="s">
        <v>160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5">
        <v>46196</v>
      </c>
      <c r="B45" t="s">
        <v>76</v>
      </c>
      <c r="C45" s="6" t="s">
        <v>161</v>
      </c>
      <c r="D45" t="s">
        <v>9</v>
      </c>
      <c r="E45" t="s">
        <v>20</v>
      </c>
      <c r="F45" t="s">
        <v>20</v>
      </c>
      <c r="G45" t="s">
        <v>82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5">
        <v>46196</v>
      </c>
      <c r="B46" t="s">
        <v>76</v>
      </c>
      <c r="C46" s="6" t="s">
        <v>162</v>
      </c>
      <c r="D46" t="s">
        <v>12</v>
      </c>
      <c r="E46" t="s">
        <v>22</v>
      </c>
      <c r="F46" t="s">
        <v>22</v>
      </c>
      <c r="G46" t="s">
        <v>163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5">
        <v>46196</v>
      </c>
      <c r="B47" t="s">
        <v>76</v>
      </c>
      <c r="C47" s="6" t="s">
        <v>164</v>
      </c>
      <c r="D47" t="s">
        <v>12</v>
      </c>
      <c r="E47" t="s">
        <v>21</v>
      </c>
      <c r="F47" t="s">
        <v>21</v>
      </c>
      <c r="G47" t="s">
        <v>112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5">
        <v>46196</v>
      </c>
      <c r="B48" t="s">
        <v>76</v>
      </c>
      <c r="C48" s="6" t="s">
        <v>165</v>
      </c>
      <c r="D48" t="s">
        <v>12</v>
      </c>
      <c r="E48" t="s">
        <v>90</v>
      </c>
      <c r="F48" t="s">
        <v>109</v>
      </c>
      <c r="G48" t="s">
        <v>110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5">
        <v>46196</v>
      </c>
      <c r="B49" t="s">
        <v>93</v>
      </c>
      <c r="C49" s="6" t="s">
        <v>166</v>
      </c>
      <c r="D49" t="s">
        <v>12</v>
      </c>
      <c r="E49" t="s">
        <v>47</v>
      </c>
      <c r="F49" t="s">
        <v>47</v>
      </c>
      <c r="G49" t="s">
        <v>126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45" x14ac:dyDescent="0.25">
      <c r="A50" s="5">
        <v>46196</v>
      </c>
      <c r="B50" t="s">
        <v>93</v>
      </c>
      <c r="C50" s="6" t="s">
        <v>167</v>
      </c>
      <c r="D50" t="s">
        <v>13</v>
      </c>
      <c r="E50" t="s">
        <v>24</v>
      </c>
      <c r="F50" t="s">
        <v>24</v>
      </c>
      <c r="G50" t="s">
        <v>100</v>
      </c>
      <c r="H50" t="s">
        <v>69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Gobernador</v>
      </c>
    </row>
    <row r="51" spans="1:10" ht="30" x14ac:dyDescent="0.25">
      <c r="A51" s="5">
        <v>46196</v>
      </c>
      <c r="B51" t="s">
        <v>93</v>
      </c>
      <c r="C51" s="6" t="s">
        <v>168</v>
      </c>
      <c r="D51" t="s">
        <v>12</v>
      </c>
      <c r="E51" t="s">
        <v>20</v>
      </c>
      <c r="F51" t="s">
        <v>20</v>
      </c>
      <c r="G51" t="s">
        <v>169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5">
        <v>46196</v>
      </c>
      <c r="B52" t="s">
        <v>93</v>
      </c>
      <c r="C52" s="6" t="s">
        <v>170</v>
      </c>
      <c r="D52" t="s">
        <v>12</v>
      </c>
      <c r="E52" t="s">
        <v>14</v>
      </c>
      <c r="F52" t="s">
        <v>171</v>
      </c>
      <c r="G52" t="s">
        <v>172</v>
      </c>
      <c r="H52" t="s">
        <v>69</v>
      </c>
      <c r="I52" t="str">
        <f>_xlfn.XLOOKUP(Tabla1[[#This Row],[Dependencia]],Tabla2[Dependencia],Tabla2[Clasificación],"No indexado")</f>
        <v>Presidencia de la República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46196</v>
      </c>
      <c r="B53" t="s">
        <v>93</v>
      </c>
      <c r="C53" s="6" t="s">
        <v>173</v>
      </c>
      <c r="D53" t="s">
        <v>12</v>
      </c>
      <c r="E53" t="s">
        <v>24</v>
      </c>
      <c r="F53" t="s">
        <v>24</v>
      </c>
      <c r="G53" t="s">
        <v>174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Gobernador</v>
      </c>
    </row>
    <row r="54" spans="1:10" x14ac:dyDescent="0.25">
      <c r="A54" s="5">
        <v>46196</v>
      </c>
      <c r="B54" t="s">
        <v>93</v>
      </c>
      <c r="C54" s="6" t="s">
        <v>175</v>
      </c>
      <c r="D54" t="s">
        <v>12</v>
      </c>
      <c r="E54" t="s">
        <v>16</v>
      </c>
      <c r="F54" t="s">
        <v>16</v>
      </c>
      <c r="G54" t="s">
        <v>176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ht="30" x14ac:dyDescent="0.25">
      <c r="A55" s="5">
        <v>46196</v>
      </c>
      <c r="B55" t="s">
        <v>93</v>
      </c>
      <c r="C55" s="6" t="s">
        <v>177</v>
      </c>
      <c r="D55" t="s">
        <v>12</v>
      </c>
      <c r="E55" t="s">
        <v>16</v>
      </c>
      <c r="F55" t="s">
        <v>16</v>
      </c>
      <c r="G55" t="s">
        <v>178</v>
      </c>
      <c r="H55" t="s">
        <v>11</v>
      </c>
      <c r="I55" t="str">
        <f>_xlfn.XLOOKUP(Tabla1[[#This Row],[Dependencia]],Tabla2[Dependencia],Tabla2[Clasificación],"No indexado")</f>
        <v>Alcaldías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46196</v>
      </c>
      <c r="B56" t="s">
        <v>93</v>
      </c>
      <c r="C56" s="6" t="s">
        <v>179</v>
      </c>
      <c r="D56" t="s">
        <v>12</v>
      </c>
      <c r="E56" t="s">
        <v>19</v>
      </c>
      <c r="F56" t="s">
        <v>180</v>
      </c>
      <c r="G56" t="s">
        <v>181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25">
      <c r="A57" s="5">
        <v>46196</v>
      </c>
      <c r="B57" t="s">
        <v>93</v>
      </c>
      <c r="C57" s="6" t="s">
        <v>182</v>
      </c>
      <c r="D57" t="s">
        <v>12</v>
      </c>
      <c r="E57" t="s">
        <v>59</v>
      </c>
      <c r="F57" t="s">
        <v>59</v>
      </c>
      <c r="G57" t="s">
        <v>183</v>
      </c>
      <c r="H57" t="s">
        <v>11</v>
      </c>
      <c r="I57" t="str">
        <f>_xlfn.XLOOKUP(Tabla1[[#This Row],[Dependencia]],Tabla2[Dependencia],Tabla2[Clasificación],"No indexado")</f>
        <v>Otros</v>
      </c>
      <c r="J57" t="str">
        <f>_xlfn.XLOOKUP(Tabla1[[#This Row],[Dependencia]],Tabla3[Dependencia],Tabla3[Nivel],"otros",0)</f>
        <v>otros</v>
      </c>
    </row>
    <row r="58" spans="1:10" ht="30" x14ac:dyDescent="0.25">
      <c r="A58" s="5">
        <v>46196</v>
      </c>
      <c r="B58" t="s">
        <v>93</v>
      </c>
      <c r="C58" s="6" t="s">
        <v>184</v>
      </c>
      <c r="D58" t="s">
        <v>12</v>
      </c>
      <c r="E58" t="s">
        <v>16</v>
      </c>
      <c r="F58" t="s">
        <v>16</v>
      </c>
      <c r="G58" t="s">
        <v>185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5">
        <v>46196</v>
      </c>
      <c r="B59" t="s">
        <v>93</v>
      </c>
      <c r="C59" s="6" t="s">
        <v>186</v>
      </c>
      <c r="D59" t="s">
        <v>79</v>
      </c>
      <c r="E59" t="s">
        <v>22</v>
      </c>
      <c r="F59" t="s">
        <v>22</v>
      </c>
      <c r="G59" t="s">
        <v>187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5">
        <v>46196</v>
      </c>
      <c r="B60" t="s">
        <v>188</v>
      </c>
      <c r="C60" s="6" t="s">
        <v>189</v>
      </c>
      <c r="D60" t="s">
        <v>13</v>
      </c>
      <c r="E60" t="s">
        <v>24</v>
      </c>
      <c r="F60" t="s">
        <v>24</v>
      </c>
      <c r="G60" t="s">
        <v>100</v>
      </c>
      <c r="H60" t="s">
        <v>69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Gobernador</v>
      </c>
    </row>
    <row r="61" spans="1:10" x14ac:dyDescent="0.25">
      <c r="A61" s="5">
        <v>46196</v>
      </c>
      <c r="B61" t="s">
        <v>188</v>
      </c>
      <c r="C61" s="6" t="s">
        <v>190</v>
      </c>
      <c r="D61" t="s">
        <v>12</v>
      </c>
      <c r="E61" t="s">
        <v>23</v>
      </c>
      <c r="F61" t="s">
        <v>142</v>
      </c>
      <c r="G61" t="s">
        <v>191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5">
        <v>46196</v>
      </c>
      <c r="B62" t="s">
        <v>188</v>
      </c>
      <c r="C62" s="6" t="s">
        <v>192</v>
      </c>
      <c r="D62" t="s">
        <v>12</v>
      </c>
      <c r="E62" t="s">
        <v>16</v>
      </c>
      <c r="F62" t="s">
        <v>91</v>
      </c>
      <c r="G62" t="s">
        <v>193</v>
      </c>
      <c r="H62" t="s">
        <v>11</v>
      </c>
      <c r="I62" t="str">
        <f>_xlfn.XLOOKUP(Tabla1[[#This Row],[Dependencia]],Tabla2[Dependencia],Tabla2[Clasificación],"No indexado")</f>
        <v>Alcaldías</v>
      </c>
      <c r="J62" t="str">
        <f>_xlfn.XLOOKUP(Tabla1[[#This Row],[Dependencia]],Tabla3[Dependencia],Tabla3[Nivel],"otros",0)</f>
        <v>otros</v>
      </c>
    </row>
    <row r="63" spans="1:10" ht="30" x14ac:dyDescent="0.25">
      <c r="A63" s="5">
        <v>46196</v>
      </c>
      <c r="B63" t="s">
        <v>188</v>
      </c>
      <c r="C63" s="6" t="s">
        <v>194</v>
      </c>
      <c r="D63" t="s">
        <v>12</v>
      </c>
      <c r="E63" t="s">
        <v>26</v>
      </c>
      <c r="F63" t="s">
        <v>2</v>
      </c>
      <c r="G63" t="s">
        <v>195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ht="30" x14ac:dyDescent="0.25">
      <c r="A64" s="5">
        <v>46196</v>
      </c>
      <c r="B64" t="s">
        <v>188</v>
      </c>
      <c r="C64" s="6" t="s">
        <v>196</v>
      </c>
      <c r="D64" t="s">
        <v>12</v>
      </c>
      <c r="E64" t="s">
        <v>22</v>
      </c>
      <c r="F64" t="s">
        <v>22</v>
      </c>
      <c r="G64" t="s">
        <v>163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5">
        <v>46196</v>
      </c>
      <c r="B65" t="s">
        <v>188</v>
      </c>
      <c r="C65" s="6" t="s">
        <v>86</v>
      </c>
      <c r="D65" t="s">
        <v>79</v>
      </c>
      <c r="E65" t="s">
        <v>16</v>
      </c>
      <c r="F65" t="s">
        <v>16</v>
      </c>
      <c r="G65" t="s">
        <v>81</v>
      </c>
      <c r="H65" t="s">
        <v>11</v>
      </c>
      <c r="I65" t="str">
        <f>_xlfn.XLOOKUP(Tabla1[[#This Row],[Dependencia]],Tabla2[Dependencia],Tabla2[Clasificación],"No indexado")</f>
        <v>Alcaldías</v>
      </c>
      <c r="J65" t="str">
        <f>_xlfn.XLOOKUP(Tabla1[[#This Row],[Dependencia]],Tabla3[Dependencia],Tabla3[Nivel],"otros",0)</f>
        <v>otros</v>
      </c>
    </row>
    <row r="66" spans="1:10" x14ac:dyDescent="0.25">
      <c r="A66" s="5">
        <v>46196</v>
      </c>
      <c r="B66" t="s">
        <v>188</v>
      </c>
      <c r="C66" s="6" t="s">
        <v>197</v>
      </c>
      <c r="D66" t="s">
        <v>79</v>
      </c>
      <c r="E66" t="s">
        <v>26</v>
      </c>
      <c r="F66" t="s">
        <v>92</v>
      </c>
      <c r="G66" t="s">
        <v>198</v>
      </c>
      <c r="H66" t="s">
        <v>11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Gabinete</v>
      </c>
    </row>
    <row r="67" spans="1:10" ht="30" x14ac:dyDescent="0.25">
      <c r="A67" s="5">
        <v>46196</v>
      </c>
      <c r="B67" t="s">
        <v>77</v>
      </c>
      <c r="C67" s="6" t="s">
        <v>199</v>
      </c>
      <c r="D67" t="s">
        <v>13</v>
      </c>
      <c r="E67" t="s">
        <v>22</v>
      </c>
      <c r="F67" t="s">
        <v>22</v>
      </c>
      <c r="G67" t="s">
        <v>163</v>
      </c>
      <c r="H67" t="s">
        <v>11</v>
      </c>
      <c r="I67" t="str">
        <f>_xlfn.XLOOKUP(Tabla1[[#This Row],[Dependencia]],Tabla2[Dependencia],Tabla2[Clasificación],"No indexado")</f>
        <v>Gobierno del estado</v>
      </c>
      <c r="J67" t="str">
        <f>_xlfn.XLOOKUP(Tabla1[[#This Row],[Dependencia]],Tabla3[Dependencia],Tabla3[Nivel],"otros",0)</f>
        <v>Gabinete</v>
      </c>
    </row>
    <row r="68" spans="1:10" x14ac:dyDescent="0.25">
      <c r="A68" s="5">
        <v>46196</v>
      </c>
      <c r="B68" t="s">
        <v>77</v>
      </c>
      <c r="C68" s="6" t="s">
        <v>200</v>
      </c>
      <c r="D68" t="s">
        <v>12</v>
      </c>
      <c r="E68" t="s">
        <v>10</v>
      </c>
      <c r="F68" t="s">
        <v>10</v>
      </c>
      <c r="G68" t="s">
        <v>83</v>
      </c>
      <c r="H68" t="s">
        <v>11</v>
      </c>
      <c r="I68" t="str">
        <f>_xlfn.XLOOKUP(Tabla1[[#This Row],[Dependencia]],Tabla2[Dependencia],Tabla2[Clasificación],"No indexado")</f>
        <v>Otros</v>
      </c>
      <c r="J68" t="str">
        <f>_xlfn.XLOOKUP(Tabla1[[#This Row],[Dependencia]],Tabla3[Dependencia],Tabla3[Nivel],"otros",0)</f>
        <v>otros</v>
      </c>
    </row>
    <row r="69" spans="1:10" ht="75" x14ac:dyDescent="0.25">
      <c r="A69" s="5">
        <v>46196</v>
      </c>
      <c r="B69" t="s">
        <v>77</v>
      </c>
      <c r="C69" s="6" t="s">
        <v>201</v>
      </c>
      <c r="D69" t="s">
        <v>87</v>
      </c>
      <c r="E69" t="s">
        <v>26</v>
      </c>
      <c r="F69" t="s">
        <v>202</v>
      </c>
      <c r="G69" t="s">
        <v>203</v>
      </c>
      <c r="H69" t="s">
        <v>69</v>
      </c>
      <c r="I69" t="str">
        <f>_xlfn.XLOOKUP(Tabla1[[#This Row],[Dependencia]],Tabla2[Dependencia],Tabla2[Clasificación],"No indexado")</f>
        <v>Gobierno del estado</v>
      </c>
      <c r="J69" t="str">
        <f>_xlfn.XLOOKUP(Tabla1[[#This Row],[Dependencia]],Tabla3[Dependencia],Tabla3[Nivel],"otros",0)</f>
        <v>Gabinete</v>
      </c>
    </row>
    <row r="70" spans="1:10" x14ac:dyDescent="0.25">
      <c r="A70" s="5">
        <v>46196</v>
      </c>
      <c r="B70" t="s">
        <v>77</v>
      </c>
      <c r="C70" s="6" t="s">
        <v>204</v>
      </c>
      <c r="D70" t="s">
        <v>9</v>
      </c>
      <c r="E70" t="s">
        <v>24</v>
      </c>
      <c r="F70" t="s">
        <v>24</v>
      </c>
      <c r="G70" t="s">
        <v>100</v>
      </c>
      <c r="H70" t="s">
        <v>69</v>
      </c>
      <c r="I70" t="str">
        <f>_xlfn.XLOOKUP(Tabla1[[#This Row],[Dependencia]],Tabla2[Dependencia],Tabla2[Clasificación],"No indexado")</f>
        <v>Gobierno del estado</v>
      </c>
      <c r="J70" t="str">
        <f>_xlfn.XLOOKUP(Tabla1[[#This Row],[Dependencia]],Tabla3[Dependencia],Tabla3[Nivel],"otros",0)</f>
        <v>Gobernador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74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74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2026-06-23T15:12:23Z</dcterms:modified>
</cp:coreProperties>
</file>