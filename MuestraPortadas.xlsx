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GitHub\Reporteportadas\"/>
    </mc:Choice>
  </mc:AlternateContent>
  <xr:revisionPtr revIDLastSave="0" documentId="13_ncr:1_{A73C7A49-173A-4CCA-BA3E-A3FB8E912439}" xr6:coauthVersionLast="47" xr6:coauthVersionMax="47" xr10:uidLastSave="{00000000-0000-0000-0000-000000000000}"/>
  <bookViews>
    <workbookView xWindow="-1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I2" i="1"/>
  <c r="J2" i="1"/>
</calcChain>
</file>

<file path=xl/sharedStrings.xml><?xml version="1.0" encoding="utf-8"?>
<sst xmlns="http://schemas.openxmlformats.org/spreadsheetml/2006/main" count="531" uniqueCount="176">
  <si>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</si>
  <si>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</si>
  <si>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</si>
  <si>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</si>
  <si>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</si>
  <si>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</si>
  <si>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</si>
  <si>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</si>
  <si>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</si>
  <si>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</si>
  <si>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</si>
  <si>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</si>
  <si>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</si>
  <si>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</si>
  <si>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</si>
  <si>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</si>
  <si>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</si>
  <si>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</si>
  <si>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</si>
  <si>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</si>
  <si>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</si>
  <si>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</si>
  <si>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</si>
  <si>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</si>
  <si>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</si>
  <si>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</si>
  <si>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</si>
  <si>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</si>
  <si>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</si>
  <si>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</si>
  <si>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</si>
  <si>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</si>
  <si>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</si>
  <si>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</si>
  <si>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</si>
  <si>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</si>
  <si>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</si>
  <si>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</si>
  <si>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</si>
  <si>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</si>
  <si>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</si>
  <si>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</si>
  <si>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</si>
  <si>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</si>
  <si>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</si>
  <si>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</si>
  <si>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</si>
  <si>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</si>
  <si>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</si>
  <si>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</si>
  <si>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</si>
  <si>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</si>
  <si>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</si>
  <si>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</si>
  <si>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</si>
  <si>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</si>
  <si>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</si>
  <si>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</si>
  <si>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</si>
  <si>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</si>
  <si>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</si>
  <si>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</si>
  <si>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</si>
  <si>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</si>
  <si>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</si>
  <si>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</si>
  <si>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</si>
  <si>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</si>
  <si>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La Jornada Hidalgo</t>
  </si>
  <si>
    <t>OCSAD</t>
  </si>
  <si>
    <t>Negativa</t>
  </si>
  <si>
    <t>El Universal Hidalgo</t>
  </si>
  <si>
    <t>Pachuca Brilla</t>
  </si>
  <si>
    <t>Temas varios</t>
  </si>
  <si>
    <t>Deportes</t>
  </si>
  <si>
    <t>Plaza Juárez</t>
  </si>
  <si>
    <t>Publicidad</t>
  </si>
  <si>
    <t>Videovigilancia</t>
  </si>
  <si>
    <t>Zunoticia</t>
  </si>
  <si>
    <t>Combate Al Huachicol</t>
  </si>
  <si>
    <t>Sipdus</t>
  </si>
  <si>
    <t>Criterio</t>
  </si>
  <si>
    <t>Marfeca</t>
  </si>
  <si>
    <t>Cintillo</t>
  </si>
  <si>
    <t>Simey</t>
  </si>
  <si>
    <t>Carretera Huejutla</t>
  </si>
  <si>
    <t>Sitmah</t>
  </si>
  <si>
    <t>Carril confinado</t>
  </si>
  <si>
    <t>Infonavit</t>
  </si>
  <si>
    <t>Plan Nacional De Vivienda</t>
  </si>
  <si>
    <t>Rehabilitación animal</t>
  </si>
  <si>
    <t>Aún sin fecha para entrega de viviendas del Bienestar</t>
  </si>
  <si>
    <t>Comunidades indígenas mantienen sus tradiciones</t>
  </si>
  <si>
    <t>Cedspi</t>
  </si>
  <si>
    <t>Día de los Pueblos Indígenas</t>
  </si>
  <si>
    <t>A seis días de las multas, aún invaden carril</t>
  </si>
  <si>
    <t>Rehabilitan a más animales que en 2025</t>
  </si>
  <si>
    <t>Celebran nueve años del Noticiero Científico</t>
  </si>
  <si>
    <t>Conmemoración Aniversario</t>
  </si>
  <si>
    <t>Encabeza Menchaca tareas de reforestación</t>
  </si>
  <si>
    <t>Reforestación</t>
  </si>
  <si>
    <t>Reconocen en el Tlajtoli a los pueblos originarios</t>
  </si>
  <si>
    <t>Positiva</t>
  </si>
  <si>
    <t>Deporta EU 50% más de paisanos hidalguenses</t>
  </si>
  <si>
    <t>Deportaciones</t>
  </si>
  <si>
    <t>Reforestan Hidalgo con 2 millones de plantas</t>
  </si>
  <si>
    <t>Sofocan incendio luego de 30 horas</t>
  </si>
  <si>
    <t>Control de incendios</t>
  </si>
  <si>
    <t>Cubren las heridas de Tlahulillpan</t>
  </si>
  <si>
    <t>Muralismo</t>
  </si>
  <si>
    <t>Decomisan huachicol</t>
  </si>
  <si>
    <t>Se registran 480 personas para vivienda del Bienestar</t>
  </si>
  <si>
    <t>Nuevo ingreso, uno de cada cuatro alumnos de la autónoma</t>
  </si>
  <si>
    <t>Oferta académica</t>
  </si>
  <si>
    <t>Criaderos: negocio con perros de raza</t>
  </si>
  <si>
    <t>Bienestar Animal</t>
  </si>
  <si>
    <t>Se sembrarán 2.6 millones de árboles</t>
  </si>
  <si>
    <t>Una pantera centenaria con Pachuca</t>
  </si>
  <si>
    <t>deport</t>
  </si>
  <si>
    <t>Mineral de la Reforma, una apuesta para el PAN: puertas</t>
  </si>
  <si>
    <t>Sucesión alcaldía</t>
  </si>
  <si>
    <t>Semarnath asegura que trituradoras sí operan en la presa Endhó</t>
  </si>
  <si>
    <t>Control lirio acuático</t>
  </si>
  <si>
    <t>Tulancingo se estanca; no llega inversión ni obras municipales</t>
  </si>
  <si>
    <t>Atracción De Inversiones</t>
  </si>
  <si>
    <t>Niega INE fallas en plataforma contratada a Territorium Life</t>
  </si>
  <si>
    <t>Plataforma tecnológica</t>
  </si>
  <si>
    <t>En marcha, jornada de reforestación</t>
  </si>
  <si>
    <t>Es importante señalar que Hidalgo es uno de los cuatro  estados que no ha entregado información sobre cuántas niñas  y adolescentes han solicitado la interrupción del embarazo  por violencia sexual”.</t>
  </si>
  <si>
    <t>ILE</t>
  </si>
  <si>
    <t>Síntesis</t>
  </si>
  <si>
    <t>Sembrarán más de 2 millones de árboles en Hidalgo</t>
  </si>
  <si>
    <t>Arrancará en octubre la reconstrucción de la carretera Zacualtipán-Huejutla</t>
  </si>
  <si>
    <t>Hidalgo, entre los mejores del país en educación superior</t>
  </si>
  <si>
    <t>Cobertura educativa</t>
  </si>
  <si>
    <t>Inculcan infantes el valor de combatir la corrupción</t>
  </si>
  <si>
    <t>Gobierno de Hidalgo reconoce labor de parteras tradicionales</t>
  </si>
  <si>
    <t>Promueven el uso de la medicina tradicional</t>
  </si>
  <si>
    <t>Medicina tradicional</t>
  </si>
  <si>
    <t>Palomean a Simey Olvera en su segundo informe</t>
  </si>
  <si>
    <t>Informe de actividades</t>
  </si>
  <si>
    <t>Bomberos exhortan a no matar víboras</t>
  </si>
  <si>
    <t>Protección Animal</t>
  </si>
  <si>
    <t>Concluyó el Tlajtoli 2026</t>
  </si>
  <si>
    <t>Reconocen legado de Emiliano Zapata</t>
  </si>
  <si>
    <t>Aniversario natalicio</t>
  </si>
  <si>
    <t>Policías de Pachuca detienen a 4 presuntos ladrones cuando huían rumbo a CDMX</t>
  </si>
  <si>
    <t>Policía municipal</t>
  </si>
  <si>
    <t>Detención</t>
  </si>
  <si>
    <t>Menchaca entrega dos millones de plantas para reforestar los 84 municipios</t>
  </si>
  <si>
    <t>La Ruta de Bellas Artes llevará tres exposiciones a distintos espacios de Pachuca</t>
  </si>
  <si>
    <t>Cartelera cultural</t>
  </si>
  <si>
    <t>Tlahuelilpan cierra primer Encuentro de Pintura Mural</t>
  </si>
  <si>
    <t>Inician 2a etapa del Centro Cultural y artístico ""Biblioteca"" en Panuaya</t>
  </si>
  <si>
    <t>Ejecución de obras</t>
  </si>
  <si>
    <t>Bomberos de Atitalaquia llevan diversión y aprendizaje a biblioteca de Tlamaco</t>
  </si>
  <si>
    <t>Ajacuba celebra la 17a feria de la Planta Medicinal</t>
  </si>
  <si>
    <t>Más tecnología, más cobertura</t>
  </si>
  <si>
    <t>¡Harry Styles disfrutó de la barbacoa hidalguense!</t>
  </si>
  <si>
    <t>Detienen policías de Pachuca a cuatro presuntos ladrones</t>
  </si>
  <si>
    <t>Abren atención en nuevo centro administrativo del Bienestar</t>
  </si>
  <si>
    <t>Cambio de Sede</t>
  </si>
  <si>
    <t>Hidalgo, entre los seis mejores estados del país en educación superior</t>
  </si>
  <si>
    <t>Julio Menchaca entrega dos millones de plantas para reforestar los 84 municipios</t>
  </si>
  <si>
    <t>Atención que se nota</t>
  </si>
  <si>
    <t>Atención a la ciudadanía</t>
  </si>
  <si>
    <t>Más tecnología, más vigilancia</t>
  </si>
  <si>
    <t>Trabajamos para que ningún lugar de Hidalgo sea peligroso""</t>
  </si>
  <si>
    <t>Combate a la delincuencia</t>
  </si>
  <si>
    <t>¡México quedó campeón!</t>
  </si>
  <si>
    <t>Claudia Sheinbaum propone renombrar el ""Paso de Cortés""</t>
  </si>
  <si>
    <t>36 mil pesos en el Concurso Estatal de Huapango</t>
  </si>
  <si>
    <t>Concurso De Huapango</t>
  </si>
  <si>
    <t>Inicia construcción del Parador Turístico</t>
  </si>
  <si>
    <t>Infraestructura Turística</t>
  </si>
  <si>
    <t>Súper Agentes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</si>
</sst>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54" totalsRowShown="0" headerRowDxfId="5" headerRowBorderDxfId="4">
  <autoFilter ref="A1:J54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54"/>
  <sheetViews>
    <sheetView tabSelected="1" workbookViewId="0">
      <selection activeCell="G2" sqref="G2:G54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35">
      <c r="A2" s="11">
        <v>46244</v>
      </c>
      <c r="B2" t="s">
        <v>67</v>
      </c>
      <c r="C2" s="5" t="s">
        <v>91</v>
      </c>
      <c r="D2" t="s">
        <v>12</v>
      </c>
      <c r="E2" t="s">
        <v>14</v>
      </c>
      <c r="F2" t="s">
        <v>88</v>
      </c>
      <c r="G2" t="s">
        <v>89</v>
      </c>
      <c r="H2" t="s">
        <v>70</v>
      </c>
      <c r="I2" t="str">
        <f>_xlfn.XLOOKUP(Tabla1[[#This Row],[Dependencia]],Tabla2[Dependencia],Tabla2[Clasificación],"XXX",0)</f>
        <v>Presidencia de la República</v>
      </c>
      <c r="J2" t="str">
        <f>_xlfn.XLOOKUP(Tabla1[[#This Row],[Dependencia]],Tabla3[Dependencia],Tabla3[Nivel],"Otros",0)</f>
        <v>Otros</v>
      </c>
    </row>
    <row r="3" spans="1:10" x14ac:dyDescent="0.35">
      <c r="A3" s="11">
        <v>46244</v>
      </c>
      <c r="B3" t="s">
        <v>67</v>
      </c>
      <c r="C3" s="5" t="s">
        <v>92</v>
      </c>
      <c r="D3" t="s">
        <v>12</v>
      </c>
      <c r="E3" t="s">
        <v>47</v>
      </c>
      <c r="F3" t="s">
        <v>93</v>
      </c>
      <c r="G3" t="s">
        <v>94</v>
      </c>
      <c r="H3" t="s">
        <v>11</v>
      </c>
      <c r="I3" t="str">
        <f>_xlfn.XLOOKUP(Tabla1[[#This Row],[Dependencia]],Tabla2[Dependencia],Tabla2[Clasificación],"XXX",0)</f>
        <v>Gobierno del estado</v>
      </c>
      <c r="J3" t="str">
        <f>_xlfn.XLOOKUP(Tabla1[[#This Row],[Dependencia]],Tabla3[Dependencia],Tabla3[Nivel],"Otros",0)</f>
        <v>Gabinete</v>
      </c>
    </row>
    <row r="4" spans="1:10" x14ac:dyDescent="0.35">
      <c r="A4" s="11">
        <v>46244</v>
      </c>
      <c r="B4" t="s">
        <v>67</v>
      </c>
      <c r="C4" s="5" t="s">
        <v>95</v>
      </c>
      <c r="D4" t="s">
        <v>9</v>
      </c>
      <c r="E4" t="s">
        <v>27</v>
      </c>
      <c r="F4" t="s">
        <v>86</v>
      </c>
      <c r="G4" t="s">
        <v>87</v>
      </c>
      <c r="H4" t="s">
        <v>11</v>
      </c>
      <c r="I4" t="str">
        <f>_xlfn.XLOOKUP(Tabla1[[#This Row],[Dependencia]],Tabla2[Dependencia],Tabla2[Clasificación],"XXX",0)</f>
        <v>Gobierno del estado</v>
      </c>
      <c r="J4" t="str">
        <f>_xlfn.XLOOKUP(Tabla1[[#This Row],[Dependencia]],Tabla3[Dependencia],Tabla3[Nivel],"Otros",0)</f>
        <v>Gabinete</v>
      </c>
    </row>
    <row r="5" spans="1:10" x14ac:dyDescent="0.35">
      <c r="A5" s="11">
        <v>46244</v>
      </c>
      <c r="B5" t="s">
        <v>67</v>
      </c>
      <c r="C5" s="5" t="s">
        <v>96</v>
      </c>
      <c r="D5" t="s">
        <v>12</v>
      </c>
      <c r="E5" t="s">
        <v>16</v>
      </c>
      <c r="F5" t="s">
        <v>16</v>
      </c>
      <c r="G5" t="s">
        <v>90</v>
      </c>
      <c r="H5" t="s">
        <v>11</v>
      </c>
      <c r="I5" t="str">
        <f>_xlfn.XLOOKUP(Tabla1[[#This Row],[Dependencia]],Tabla2[Dependencia],Tabla2[Clasificación],"XXX",0)</f>
        <v>Alcaldías</v>
      </c>
      <c r="J5" t="str">
        <f>_xlfn.XLOOKUP(Tabla1[[#This Row],[Dependencia]],Tabla3[Dependencia],Tabla3[Nivel],"Otros",0)</f>
        <v>Otros</v>
      </c>
    </row>
    <row r="6" spans="1:10" x14ac:dyDescent="0.35">
      <c r="A6" s="11">
        <v>46244</v>
      </c>
      <c r="B6" t="s">
        <v>67</v>
      </c>
      <c r="C6" s="5" t="s">
        <v>97</v>
      </c>
      <c r="D6" t="s">
        <v>12</v>
      </c>
      <c r="E6" t="s">
        <v>59</v>
      </c>
      <c r="F6" t="s">
        <v>59</v>
      </c>
      <c r="G6" t="s">
        <v>98</v>
      </c>
      <c r="H6" t="s">
        <v>11</v>
      </c>
      <c r="I6" t="str">
        <f>_xlfn.XLOOKUP(Tabla1[[#This Row],[Dependencia]],Tabla2[Dependencia],Tabla2[Clasificación],"XXX",0)</f>
        <v>Otros</v>
      </c>
      <c r="J6" t="str">
        <f>_xlfn.XLOOKUP(Tabla1[[#This Row],[Dependencia]],Tabla3[Dependencia],Tabla3[Nivel],"Otros",0)</f>
        <v>Otros</v>
      </c>
    </row>
    <row r="7" spans="1:10" x14ac:dyDescent="0.35">
      <c r="A7" s="11">
        <v>46244</v>
      </c>
      <c r="B7" t="s">
        <v>67</v>
      </c>
      <c r="C7" s="5" t="s">
        <v>99</v>
      </c>
      <c r="D7" t="s">
        <v>13</v>
      </c>
      <c r="E7" t="s">
        <v>24</v>
      </c>
      <c r="F7" t="s">
        <v>24</v>
      </c>
      <c r="G7" t="s">
        <v>100</v>
      </c>
      <c r="H7" t="s">
        <v>11</v>
      </c>
      <c r="I7" t="str">
        <f>_xlfn.XLOOKUP(Tabla1[[#This Row],[Dependencia]],Tabla2[Dependencia],Tabla2[Clasificación],"XXX",0)</f>
        <v>Gobierno del estado</v>
      </c>
      <c r="J7" t="str">
        <f>_xlfn.XLOOKUP(Tabla1[[#This Row],[Dependencia]],Tabla3[Dependencia],Tabla3[Nivel],"Otros",0)</f>
        <v>Gobernador</v>
      </c>
    </row>
    <row r="8" spans="1:10" x14ac:dyDescent="0.35">
      <c r="A8" s="11">
        <v>46244</v>
      </c>
      <c r="B8" t="s">
        <v>71</v>
      </c>
      <c r="C8" s="5" t="s">
        <v>101</v>
      </c>
      <c r="D8" t="s">
        <v>9</v>
      </c>
      <c r="E8" t="s">
        <v>61</v>
      </c>
      <c r="F8" t="s">
        <v>84</v>
      </c>
      <c r="G8" t="s">
        <v>94</v>
      </c>
      <c r="H8" t="s">
        <v>102</v>
      </c>
      <c r="I8" t="str">
        <f>_xlfn.XLOOKUP(Tabla1[[#This Row],[Dependencia]],Tabla2[Dependencia],Tabla2[Clasificación],"XXX",0)</f>
        <v>Sucesión gubernamental</v>
      </c>
      <c r="J8" t="str">
        <f>_xlfn.XLOOKUP(Tabla1[[#This Row],[Dependencia]],Tabla3[Dependencia],Tabla3[Nivel],"Otros",0)</f>
        <v>Otros</v>
      </c>
    </row>
    <row r="9" spans="1:10" x14ac:dyDescent="0.35">
      <c r="A9" s="11">
        <v>46244</v>
      </c>
      <c r="B9" t="s">
        <v>71</v>
      </c>
      <c r="C9" s="5" t="s">
        <v>103</v>
      </c>
      <c r="D9" t="s">
        <v>13</v>
      </c>
      <c r="E9" t="s">
        <v>19</v>
      </c>
      <c r="F9" t="s">
        <v>19</v>
      </c>
      <c r="G9" t="s">
        <v>104</v>
      </c>
      <c r="H9" t="s">
        <v>11</v>
      </c>
      <c r="I9" t="str">
        <f>_xlfn.XLOOKUP(Tabla1[[#This Row],[Dependencia]],Tabla2[Dependencia],Tabla2[Clasificación],"XXX",0)</f>
        <v>Gobierno del estado</v>
      </c>
      <c r="J9" t="str">
        <f>_xlfn.XLOOKUP(Tabla1[[#This Row],[Dependencia]],Tabla3[Dependencia],Tabla3[Nivel],"Otros",0)</f>
        <v>Gabinete</v>
      </c>
    </row>
    <row r="10" spans="1:10" x14ac:dyDescent="0.35">
      <c r="A10" s="11">
        <v>46244</v>
      </c>
      <c r="B10" t="s">
        <v>71</v>
      </c>
      <c r="C10" s="5" t="s">
        <v>105</v>
      </c>
      <c r="D10" t="s">
        <v>12</v>
      </c>
      <c r="E10" t="s">
        <v>24</v>
      </c>
      <c r="F10" t="s">
        <v>24</v>
      </c>
      <c r="G10" t="s">
        <v>100</v>
      </c>
      <c r="H10" t="s">
        <v>102</v>
      </c>
      <c r="I10" t="str">
        <f>_xlfn.XLOOKUP(Tabla1[[#This Row],[Dependencia]],Tabla2[Dependencia],Tabla2[Clasificación],"XXX",0)</f>
        <v>Gobierno del estado</v>
      </c>
      <c r="J10" t="str">
        <f>_xlfn.XLOOKUP(Tabla1[[#This Row],[Dependencia]],Tabla3[Dependencia],Tabla3[Nivel],"Otros",0)</f>
        <v>Gobernador</v>
      </c>
    </row>
    <row r="11" spans="1:10" x14ac:dyDescent="0.35">
      <c r="A11" s="11">
        <v>46244</v>
      </c>
      <c r="B11" t="s">
        <v>71</v>
      </c>
      <c r="C11" s="5" t="s">
        <v>106</v>
      </c>
      <c r="D11" t="s">
        <v>12</v>
      </c>
      <c r="E11" t="s">
        <v>16</v>
      </c>
      <c r="F11" t="s">
        <v>16</v>
      </c>
      <c r="G11" t="s">
        <v>107</v>
      </c>
      <c r="H11" t="s">
        <v>11</v>
      </c>
      <c r="I11" t="str">
        <f>_xlfn.XLOOKUP(Tabla1[[#This Row],[Dependencia]],Tabla2[Dependencia],Tabla2[Clasificación],"XXX",0)</f>
        <v>Alcaldías</v>
      </c>
      <c r="J11" t="str">
        <f>_xlfn.XLOOKUP(Tabla1[[#This Row],[Dependencia]],Tabla3[Dependencia],Tabla3[Nivel],"Otros",0)</f>
        <v>Otros</v>
      </c>
    </row>
    <row r="12" spans="1:10" x14ac:dyDescent="0.35">
      <c r="A12" s="11">
        <v>46244</v>
      </c>
      <c r="B12" t="s">
        <v>71</v>
      </c>
      <c r="C12" s="5" t="s">
        <v>108</v>
      </c>
      <c r="D12" t="s">
        <v>12</v>
      </c>
      <c r="E12" t="s">
        <v>10</v>
      </c>
      <c r="F12" t="s">
        <v>10</v>
      </c>
      <c r="G12" t="s">
        <v>109</v>
      </c>
      <c r="H12" t="s">
        <v>11</v>
      </c>
      <c r="I12" t="str">
        <f>_xlfn.XLOOKUP(Tabla1[[#This Row],[Dependencia]],Tabla2[Dependencia],Tabla2[Clasificación],"XXX",0)</f>
        <v>Otros</v>
      </c>
      <c r="J12" t="str">
        <f>_xlfn.XLOOKUP(Tabla1[[#This Row],[Dependencia]],Tabla3[Dependencia],Tabla3[Nivel],"Otros",0)</f>
        <v>Otros</v>
      </c>
    </row>
    <row r="13" spans="1:10" x14ac:dyDescent="0.35">
      <c r="A13" s="11">
        <v>46244</v>
      </c>
      <c r="B13" t="s">
        <v>71</v>
      </c>
      <c r="C13" s="5" t="s">
        <v>110</v>
      </c>
      <c r="D13" t="s">
        <v>12</v>
      </c>
      <c r="E13" t="s">
        <v>22</v>
      </c>
      <c r="F13" t="s">
        <v>22</v>
      </c>
      <c r="G13" t="s">
        <v>79</v>
      </c>
      <c r="H13" t="s">
        <v>11</v>
      </c>
      <c r="I13" t="str">
        <f>_xlfn.XLOOKUP(Tabla1[[#This Row],[Dependencia]],Tabla2[Dependencia],Tabla2[Clasificación],"XXX",0)</f>
        <v>Gobierno del estado</v>
      </c>
      <c r="J13" t="str">
        <f>_xlfn.XLOOKUP(Tabla1[[#This Row],[Dependencia]],Tabla3[Dependencia],Tabla3[Nivel],"Otros",0)</f>
        <v>Gabinete</v>
      </c>
    </row>
    <row r="14" spans="1:10" x14ac:dyDescent="0.35">
      <c r="A14" s="11">
        <v>46244</v>
      </c>
      <c r="B14" t="s">
        <v>81</v>
      </c>
      <c r="C14" s="5" t="s">
        <v>111</v>
      </c>
      <c r="D14" t="s">
        <v>12</v>
      </c>
      <c r="E14" t="s">
        <v>14</v>
      </c>
      <c r="F14" t="s">
        <v>88</v>
      </c>
      <c r="G14" t="s">
        <v>89</v>
      </c>
      <c r="H14" t="s">
        <v>11</v>
      </c>
      <c r="I14" t="str">
        <f>_xlfn.XLOOKUP(Tabla1[[#This Row],[Dependencia]],Tabla2[Dependencia],Tabla2[Clasificación],"XXX",0)</f>
        <v>Presidencia de la República</v>
      </c>
      <c r="J14" t="str">
        <f>_xlfn.XLOOKUP(Tabla1[[#This Row],[Dependencia]],Tabla3[Dependencia],Tabla3[Nivel],"Otros",0)</f>
        <v>Otros</v>
      </c>
    </row>
    <row r="15" spans="1:10" x14ac:dyDescent="0.35">
      <c r="A15" s="11">
        <v>46244</v>
      </c>
      <c r="B15" t="s">
        <v>81</v>
      </c>
      <c r="C15" s="5" t="s">
        <v>112</v>
      </c>
      <c r="D15" t="s">
        <v>12</v>
      </c>
      <c r="E15" t="s">
        <v>59</v>
      </c>
      <c r="F15" t="s">
        <v>59</v>
      </c>
      <c r="G15" t="s">
        <v>113</v>
      </c>
      <c r="H15" t="s">
        <v>11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x14ac:dyDescent="0.35">
      <c r="A16" s="11">
        <v>46244</v>
      </c>
      <c r="B16" t="s">
        <v>81</v>
      </c>
      <c r="C16" s="5" t="s">
        <v>114</v>
      </c>
      <c r="D16" t="s">
        <v>13</v>
      </c>
      <c r="E16" t="s">
        <v>10</v>
      </c>
      <c r="F16" t="s">
        <v>10</v>
      </c>
      <c r="G16" t="s">
        <v>115</v>
      </c>
      <c r="H16" t="s">
        <v>70</v>
      </c>
      <c r="I16" t="str">
        <f>_xlfn.XLOOKUP(Tabla1[[#This Row],[Dependencia]],Tabla2[Dependencia],Tabla2[Clasificación],"XXX",0)</f>
        <v>Otros</v>
      </c>
      <c r="J16" t="str">
        <f>_xlfn.XLOOKUP(Tabla1[[#This Row],[Dependencia]],Tabla3[Dependencia],Tabla3[Nivel],"Otros",0)</f>
        <v>Otros</v>
      </c>
    </row>
    <row r="17" spans="1:10" x14ac:dyDescent="0.35">
      <c r="A17" s="11">
        <v>46244</v>
      </c>
      <c r="B17" t="s">
        <v>81</v>
      </c>
      <c r="C17" s="5" t="s">
        <v>116</v>
      </c>
      <c r="D17" t="s">
        <v>9</v>
      </c>
      <c r="E17" t="s">
        <v>24</v>
      </c>
      <c r="F17" t="s">
        <v>24</v>
      </c>
      <c r="G17" t="s">
        <v>100</v>
      </c>
      <c r="H17" t="s">
        <v>102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Gobernador</v>
      </c>
    </row>
    <row r="18" spans="1:10" x14ac:dyDescent="0.35">
      <c r="A18" s="11">
        <v>46244</v>
      </c>
      <c r="B18" t="s">
        <v>81</v>
      </c>
      <c r="C18" s="5" t="s">
        <v>117</v>
      </c>
      <c r="D18" t="s">
        <v>12</v>
      </c>
      <c r="E18" t="s">
        <v>10</v>
      </c>
      <c r="F18" t="s">
        <v>10</v>
      </c>
      <c r="G18" t="s">
        <v>118</v>
      </c>
      <c r="H18" t="s">
        <v>11</v>
      </c>
      <c r="I18" t="str">
        <f>_xlfn.XLOOKUP(Tabla1[[#This Row],[Dependencia]],Tabla2[Dependencia],Tabla2[Clasificación],"XXX",0)</f>
        <v>Otros</v>
      </c>
      <c r="J18" t="str">
        <f>_xlfn.XLOOKUP(Tabla1[[#This Row],[Dependencia]],Tabla3[Dependencia],Tabla3[Nivel],"Otros",0)</f>
        <v>Otros</v>
      </c>
    </row>
    <row r="19" spans="1:10" x14ac:dyDescent="0.35">
      <c r="A19" s="11">
        <v>46244</v>
      </c>
      <c r="B19" t="s">
        <v>81</v>
      </c>
      <c r="C19" s="5" t="s">
        <v>119</v>
      </c>
      <c r="D19" t="s">
        <v>12</v>
      </c>
      <c r="E19" t="s">
        <v>45</v>
      </c>
      <c r="F19" t="s">
        <v>45</v>
      </c>
      <c r="G19" t="s">
        <v>120</v>
      </c>
      <c r="H19" t="s">
        <v>11</v>
      </c>
      <c r="I19" t="str">
        <f>_xlfn.XLOOKUP(Tabla1[[#This Row],[Dependencia]],Tabla2[Dependencia],Tabla2[Clasificación],"XXX",0)</f>
        <v>Partidos</v>
      </c>
      <c r="J19" t="str">
        <f>_xlfn.XLOOKUP(Tabla1[[#This Row],[Dependencia]],Tabla3[Dependencia],Tabla3[Nivel],"Otros",0)</f>
        <v>Otros</v>
      </c>
    </row>
    <row r="20" spans="1:10" ht="29" x14ac:dyDescent="0.35">
      <c r="A20" s="11">
        <v>46244</v>
      </c>
      <c r="B20" t="s">
        <v>68</v>
      </c>
      <c r="C20" s="5" t="s">
        <v>121</v>
      </c>
      <c r="D20" t="s">
        <v>12</v>
      </c>
      <c r="E20" t="s">
        <v>20</v>
      </c>
      <c r="F20" t="s">
        <v>20</v>
      </c>
      <c r="G20" t="s">
        <v>122</v>
      </c>
      <c r="H20" t="s">
        <v>11</v>
      </c>
      <c r="I20" t="str">
        <f>_xlfn.XLOOKUP(Tabla1[[#This Row],[Dependencia]],Tabla2[Dependencia],Tabla2[Clasificación],"XXX",0)</f>
        <v>Gobierno del estado</v>
      </c>
      <c r="J20" t="str">
        <f>_xlfn.XLOOKUP(Tabla1[[#This Row],[Dependencia]],Tabla3[Dependencia],Tabla3[Nivel],"Otros",0)</f>
        <v>Gabinete</v>
      </c>
    </row>
    <row r="21" spans="1:10" ht="29" x14ac:dyDescent="0.35">
      <c r="A21" s="11">
        <v>46244</v>
      </c>
      <c r="B21" t="s">
        <v>68</v>
      </c>
      <c r="C21" s="5" t="s">
        <v>123</v>
      </c>
      <c r="D21" t="s">
        <v>13</v>
      </c>
      <c r="E21" t="s">
        <v>16</v>
      </c>
      <c r="F21" t="s">
        <v>16</v>
      </c>
      <c r="G21" t="s">
        <v>124</v>
      </c>
      <c r="H21" t="s">
        <v>70</v>
      </c>
      <c r="I21" t="str">
        <f>_xlfn.XLOOKUP(Tabla1[[#This Row],[Dependencia]],Tabla2[Dependencia],Tabla2[Clasificación],"XXX",0)</f>
        <v>Alcaldías</v>
      </c>
      <c r="J21" t="str">
        <f>_xlfn.XLOOKUP(Tabla1[[#This Row],[Dependencia]],Tabla3[Dependencia],Tabla3[Nivel],"Otros",0)</f>
        <v>Otros</v>
      </c>
    </row>
    <row r="22" spans="1:10" x14ac:dyDescent="0.35">
      <c r="A22" s="11">
        <v>46244</v>
      </c>
      <c r="B22" t="s">
        <v>68</v>
      </c>
      <c r="C22" s="5" t="s">
        <v>125</v>
      </c>
      <c r="D22" t="s">
        <v>12</v>
      </c>
      <c r="E22" t="s">
        <v>10</v>
      </c>
      <c r="F22" t="s">
        <v>10</v>
      </c>
      <c r="G22" t="s">
        <v>126</v>
      </c>
      <c r="H22" t="s">
        <v>70</v>
      </c>
      <c r="I22" t="str">
        <f>_xlfn.XLOOKUP(Tabla1[[#This Row],[Dependencia]],Tabla2[Dependencia],Tabla2[Clasificación],"XXX",0)</f>
        <v>Otros</v>
      </c>
      <c r="J22" t="str">
        <f>_xlfn.XLOOKUP(Tabla1[[#This Row],[Dependencia]],Tabla3[Dependencia],Tabla3[Nivel],"Otros",0)</f>
        <v>Otros</v>
      </c>
    </row>
    <row r="23" spans="1:10" x14ac:dyDescent="0.35">
      <c r="A23" s="11">
        <v>46244</v>
      </c>
      <c r="B23" t="s">
        <v>68</v>
      </c>
      <c r="C23" s="5" t="s">
        <v>127</v>
      </c>
      <c r="D23" t="s">
        <v>9</v>
      </c>
      <c r="E23" t="s">
        <v>24</v>
      </c>
      <c r="F23" t="s">
        <v>24</v>
      </c>
      <c r="G23" t="s">
        <v>100</v>
      </c>
      <c r="H23" t="s">
        <v>102</v>
      </c>
      <c r="I23" t="str">
        <f>_xlfn.XLOOKUP(Tabla1[[#This Row],[Dependencia]],Tabla2[Dependencia],Tabla2[Clasificación],"XXX",0)</f>
        <v>Gobierno del estado</v>
      </c>
      <c r="J23" t="str">
        <f>_xlfn.XLOOKUP(Tabla1[[#This Row],[Dependencia]],Tabla3[Dependencia],Tabla3[Nivel],"Otros",0)</f>
        <v>Gobernador</v>
      </c>
    </row>
    <row r="24" spans="1:10" ht="58" x14ac:dyDescent="0.35">
      <c r="A24" s="11">
        <v>46244</v>
      </c>
      <c r="B24" t="s">
        <v>68</v>
      </c>
      <c r="C24" s="5" t="s">
        <v>128</v>
      </c>
      <c r="D24" t="s">
        <v>12</v>
      </c>
      <c r="E24" t="s">
        <v>15</v>
      </c>
      <c r="F24" t="s">
        <v>15</v>
      </c>
      <c r="G24" t="s">
        <v>129</v>
      </c>
      <c r="H24" t="s">
        <v>70</v>
      </c>
      <c r="I24" t="str">
        <f>_xlfn.XLOOKUP(Tabla1[[#This Row],[Dependencia]],Tabla2[Dependencia],Tabla2[Clasificación],"XXX",0)</f>
        <v>Gobierno del estado</v>
      </c>
      <c r="J24" t="str">
        <f>_xlfn.XLOOKUP(Tabla1[[#This Row],[Dependencia]],Tabla3[Dependencia],Tabla3[Nivel],"Otros",0)</f>
        <v>Gabinete</v>
      </c>
    </row>
    <row r="25" spans="1:10" x14ac:dyDescent="0.35">
      <c r="A25" s="11">
        <v>46244</v>
      </c>
      <c r="B25" t="s">
        <v>130</v>
      </c>
      <c r="C25" s="5" t="s">
        <v>131</v>
      </c>
      <c r="D25" t="s">
        <v>13</v>
      </c>
      <c r="E25" t="s">
        <v>24</v>
      </c>
      <c r="F25" t="s">
        <v>24</v>
      </c>
      <c r="G25" t="s">
        <v>100</v>
      </c>
      <c r="H25" t="s">
        <v>102</v>
      </c>
      <c r="I25" t="str">
        <f>_xlfn.XLOOKUP(Tabla1[[#This Row],[Dependencia]],Tabla2[Dependencia],Tabla2[Clasificación],"XXX",0)</f>
        <v>Gobierno del estado</v>
      </c>
      <c r="J25" t="str">
        <f>_xlfn.XLOOKUP(Tabla1[[#This Row],[Dependencia]],Tabla3[Dependencia],Tabla3[Nivel],"Otros",0)</f>
        <v>Gobernador</v>
      </c>
    </row>
    <row r="26" spans="1:10" ht="29" x14ac:dyDescent="0.35">
      <c r="A26" s="11">
        <v>46244</v>
      </c>
      <c r="B26" t="s">
        <v>130</v>
      </c>
      <c r="C26" s="5" t="s">
        <v>132</v>
      </c>
      <c r="D26" t="s">
        <v>12</v>
      </c>
      <c r="E26" t="s">
        <v>80</v>
      </c>
      <c r="F26" t="s">
        <v>80</v>
      </c>
      <c r="G26" t="s">
        <v>85</v>
      </c>
      <c r="H26" t="s">
        <v>11</v>
      </c>
      <c r="I26" t="str">
        <f>_xlfn.XLOOKUP(Tabla1[[#This Row],[Dependencia]],Tabla2[Dependencia],Tabla2[Clasificación],"XXX",0)</f>
        <v>Gobierno del estado</v>
      </c>
      <c r="J26" t="str">
        <f>_xlfn.XLOOKUP(Tabla1[[#This Row],[Dependencia]],Tabla3[Dependencia],Tabla3[Nivel],"Otros",0)</f>
        <v>Gabinete</v>
      </c>
    </row>
    <row r="27" spans="1:10" x14ac:dyDescent="0.35">
      <c r="A27" s="11">
        <v>46244</v>
      </c>
      <c r="B27" t="s">
        <v>130</v>
      </c>
      <c r="C27" s="5" t="s">
        <v>133</v>
      </c>
      <c r="D27" t="s">
        <v>12</v>
      </c>
      <c r="E27" t="s">
        <v>26</v>
      </c>
      <c r="F27" t="s">
        <v>26</v>
      </c>
      <c r="G27" t="s">
        <v>134</v>
      </c>
      <c r="H27" t="s">
        <v>102</v>
      </c>
      <c r="I27" t="str">
        <f>_xlfn.XLOOKUP(Tabla1[[#This Row],[Dependencia]],Tabla2[Dependencia],Tabla2[Clasificación],"XXX",0)</f>
        <v>Gobierno del estado</v>
      </c>
      <c r="J27" t="str">
        <f>_xlfn.XLOOKUP(Tabla1[[#This Row],[Dependencia]],Tabla3[Dependencia],Tabla3[Nivel],"Otros",0)</f>
        <v>Gabinete</v>
      </c>
    </row>
    <row r="28" spans="1:10" x14ac:dyDescent="0.35">
      <c r="A28" s="11">
        <v>46244</v>
      </c>
      <c r="B28" t="s">
        <v>130</v>
      </c>
      <c r="C28" s="5" t="s">
        <v>135</v>
      </c>
      <c r="D28" t="s">
        <v>12</v>
      </c>
      <c r="E28" t="s">
        <v>34</v>
      </c>
      <c r="F28" t="s">
        <v>34</v>
      </c>
      <c r="G28" t="s">
        <v>175</v>
      </c>
      <c r="H28" t="s">
        <v>11</v>
      </c>
      <c r="I28" t="str">
        <f>_xlfn.XLOOKUP(Tabla1[[#This Row],[Dependencia]],Tabla2[Dependencia],Tabla2[Clasificación],"XXX",0)</f>
        <v>Gobierno del estado</v>
      </c>
      <c r="J28" t="str">
        <f>_xlfn.XLOOKUP(Tabla1[[#This Row],[Dependencia]],Tabla3[Dependencia],Tabla3[Nivel],"Otros",0)</f>
        <v>Gabinete</v>
      </c>
    </row>
    <row r="29" spans="1:10" x14ac:dyDescent="0.35">
      <c r="A29" s="11">
        <v>46244</v>
      </c>
      <c r="B29" t="s">
        <v>78</v>
      </c>
      <c r="C29" s="5" t="s">
        <v>136</v>
      </c>
      <c r="D29" t="s">
        <v>12</v>
      </c>
      <c r="E29" t="s">
        <v>47</v>
      </c>
      <c r="F29" t="s">
        <v>93</v>
      </c>
      <c r="G29" t="s">
        <v>94</v>
      </c>
      <c r="H29" t="s">
        <v>11</v>
      </c>
      <c r="I29" t="str">
        <f>_xlfn.XLOOKUP(Tabla1[[#This Row],[Dependencia]],Tabla2[Dependencia],Tabla2[Clasificación],"XXX",0)</f>
        <v>Gobierno del estado</v>
      </c>
      <c r="J29" t="str">
        <f>_xlfn.XLOOKUP(Tabla1[[#This Row],[Dependencia]],Tabla3[Dependencia],Tabla3[Nivel],"Otros",0)</f>
        <v>Gabinete</v>
      </c>
    </row>
    <row r="30" spans="1:10" x14ac:dyDescent="0.35">
      <c r="A30" s="11">
        <v>46244</v>
      </c>
      <c r="B30" t="s">
        <v>78</v>
      </c>
      <c r="C30" s="5" t="s">
        <v>137</v>
      </c>
      <c r="D30" t="s">
        <v>12</v>
      </c>
      <c r="E30" t="s">
        <v>10</v>
      </c>
      <c r="F30" t="s">
        <v>10</v>
      </c>
      <c r="G30" t="s">
        <v>138</v>
      </c>
      <c r="H30" t="s">
        <v>11</v>
      </c>
      <c r="I30" t="str">
        <f>_xlfn.XLOOKUP(Tabla1[[#This Row],[Dependencia]],Tabla2[Dependencia],Tabla2[Clasificación],"XXX",0)</f>
        <v>Otros</v>
      </c>
      <c r="J30" t="str">
        <f>_xlfn.XLOOKUP(Tabla1[[#This Row],[Dependencia]],Tabla3[Dependencia],Tabla3[Nivel],"Otros",0)</f>
        <v>Otros</v>
      </c>
    </row>
    <row r="31" spans="1:10" x14ac:dyDescent="0.35">
      <c r="A31" s="11">
        <v>46244</v>
      </c>
      <c r="B31" t="s">
        <v>78</v>
      </c>
      <c r="C31" s="5" t="s">
        <v>139</v>
      </c>
      <c r="D31" t="s">
        <v>13</v>
      </c>
      <c r="E31" t="s">
        <v>61</v>
      </c>
      <c r="F31" t="s">
        <v>84</v>
      </c>
      <c r="G31" t="s">
        <v>140</v>
      </c>
      <c r="H31" t="s">
        <v>11</v>
      </c>
      <c r="I31" t="str">
        <f>_xlfn.XLOOKUP(Tabla1[[#This Row],[Dependencia]],Tabla2[Dependencia],Tabla2[Clasificación],"XXX",0)</f>
        <v>Sucesión gubernamental</v>
      </c>
      <c r="J31" t="str">
        <f>_xlfn.XLOOKUP(Tabla1[[#This Row],[Dependencia]],Tabla3[Dependencia],Tabla3[Nivel],"Otros",0)</f>
        <v>Otros</v>
      </c>
    </row>
    <row r="32" spans="1:10" x14ac:dyDescent="0.35">
      <c r="A32" s="11">
        <v>46244</v>
      </c>
      <c r="B32" t="s">
        <v>78</v>
      </c>
      <c r="C32" s="5" t="s">
        <v>141</v>
      </c>
      <c r="D32" t="s">
        <v>12</v>
      </c>
      <c r="E32" t="s">
        <v>10</v>
      </c>
      <c r="F32" t="s">
        <v>10</v>
      </c>
      <c r="G32" t="s">
        <v>142</v>
      </c>
      <c r="H32" t="s">
        <v>11</v>
      </c>
      <c r="I32" t="str">
        <f>_xlfn.XLOOKUP(Tabla1[[#This Row],[Dependencia]],Tabla2[Dependencia],Tabla2[Clasificación],"XXX",0)</f>
        <v>Otros</v>
      </c>
      <c r="J32" t="str">
        <f>_xlfn.XLOOKUP(Tabla1[[#This Row],[Dependencia]],Tabla3[Dependencia],Tabla3[Nivel],"Otros",0)</f>
        <v>Otros</v>
      </c>
    </row>
    <row r="33" spans="1:10" x14ac:dyDescent="0.35">
      <c r="A33" s="11">
        <v>46244</v>
      </c>
      <c r="B33" t="s">
        <v>78</v>
      </c>
      <c r="C33" s="5" t="s">
        <v>143</v>
      </c>
      <c r="D33" t="s">
        <v>12</v>
      </c>
      <c r="E33" t="s">
        <v>47</v>
      </c>
      <c r="F33" t="s">
        <v>93</v>
      </c>
      <c r="G33" t="s">
        <v>94</v>
      </c>
      <c r="H33" t="s">
        <v>11</v>
      </c>
      <c r="I33" t="str">
        <f>_xlfn.XLOOKUP(Tabla1[[#This Row],[Dependencia]],Tabla2[Dependencia],Tabla2[Clasificación],"XXX",0)</f>
        <v>Gobierno del estado</v>
      </c>
      <c r="J33" t="str">
        <f>_xlfn.XLOOKUP(Tabla1[[#This Row],[Dependencia]],Tabla3[Dependencia],Tabla3[Nivel],"Otros",0)</f>
        <v>Gabinete</v>
      </c>
    </row>
    <row r="34" spans="1:10" x14ac:dyDescent="0.35">
      <c r="A34" s="11">
        <v>46244</v>
      </c>
      <c r="B34" t="s">
        <v>78</v>
      </c>
      <c r="C34" s="5" t="s">
        <v>144</v>
      </c>
      <c r="D34" t="s">
        <v>12</v>
      </c>
      <c r="E34" t="s">
        <v>53</v>
      </c>
      <c r="F34" t="s">
        <v>53</v>
      </c>
      <c r="G34" t="s">
        <v>145</v>
      </c>
      <c r="H34" t="s">
        <v>11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Gabinete</v>
      </c>
    </row>
    <row r="35" spans="1:10" ht="29" x14ac:dyDescent="0.35">
      <c r="A35" s="11">
        <v>46244</v>
      </c>
      <c r="B35" t="s">
        <v>82</v>
      </c>
      <c r="C35" s="5" t="s">
        <v>146</v>
      </c>
      <c r="D35" t="s">
        <v>83</v>
      </c>
      <c r="E35" t="s">
        <v>16</v>
      </c>
      <c r="F35" t="s">
        <v>147</v>
      </c>
      <c r="G35" t="s">
        <v>148</v>
      </c>
      <c r="H35" t="s">
        <v>11</v>
      </c>
      <c r="I35" t="str">
        <f>_xlfn.XLOOKUP(Tabla1[[#This Row],[Dependencia]],Tabla2[Dependencia],Tabla2[Clasificación],"XXX",0)</f>
        <v>Alcaldías</v>
      </c>
      <c r="J35" t="str">
        <f>_xlfn.XLOOKUP(Tabla1[[#This Row],[Dependencia]],Tabla3[Dependencia],Tabla3[Nivel],"Otros",0)</f>
        <v>Otros</v>
      </c>
    </row>
    <row r="36" spans="1:10" ht="29" x14ac:dyDescent="0.35">
      <c r="A36" s="11">
        <v>46244</v>
      </c>
      <c r="B36" t="s">
        <v>82</v>
      </c>
      <c r="C36" s="5" t="s">
        <v>149</v>
      </c>
      <c r="D36" t="s">
        <v>13</v>
      </c>
      <c r="E36" t="s">
        <v>24</v>
      </c>
      <c r="F36" t="s">
        <v>24</v>
      </c>
      <c r="G36" t="s">
        <v>100</v>
      </c>
      <c r="H36" t="s">
        <v>102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Gobernador</v>
      </c>
    </row>
    <row r="37" spans="1:10" ht="29" x14ac:dyDescent="0.35">
      <c r="A37" s="11">
        <v>46244</v>
      </c>
      <c r="B37" t="s">
        <v>82</v>
      </c>
      <c r="C37" s="5" t="s">
        <v>150</v>
      </c>
      <c r="D37" t="s">
        <v>12</v>
      </c>
      <c r="E37" t="s">
        <v>16</v>
      </c>
      <c r="F37" t="s">
        <v>16</v>
      </c>
      <c r="G37" t="s">
        <v>151</v>
      </c>
      <c r="H37" t="s">
        <v>11</v>
      </c>
      <c r="I37" t="str">
        <f>_xlfn.XLOOKUP(Tabla1[[#This Row],[Dependencia]],Tabla2[Dependencia],Tabla2[Clasificación],"XXX",0)</f>
        <v>Alcaldías</v>
      </c>
      <c r="J37" t="str">
        <f>_xlfn.XLOOKUP(Tabla1[[#This Row],[Dependencia]],Tabla3[Dependencia],Tabla3[Nivel],"Otros",0)</f>
        <v>Otros</v>
      </c>
    </row>
    <row r="38" spans="1:10" x14ac:dyDescent="0.35">
      <c r="A38" s="11">
        <v>46244</v>
      </c>
      <c r="B38" t="s">
        <v>82</v>
      </c>
      <c r="C38" s="5" t="s">
        <v>152</v>
      </c>
      <c r="D38" t="s">
        <v>12</v>
      </c>
      <c r="E38" t="s">
        <v>16</v>
      </c>
      <c r="F38" t="s">
        <v>16</v>
      </c>
      <c r="G38" t="s">
        <v>109</v>
      </c>
      <c r="H38" t="s">
        <v>11</v>
      </c>
      <c r="I38" t="str">
        <f>_xlfn.XLOOKUP(Tabla1[[#This Row],[Dependencia]],Tabla2[Dependencia],Tabla2[Clasificación],"XXX",0)</f>
        <v>Alcaldías</v>
      </c>
      <c r="J38" t="str">
        <f>_xlfn.XLOOKUP(Tabla1[[#This Row],[Dependencia]],Tabla3[Dependencia],Tabla3[Nivel],"Otros",0)</f>
        <v>Otros</v>
      </c>
    </row>
    <row r="39" spans="1:10" ht="29" x14ac:dyDescent="0.35">
      <c r="A39" s="11">
        <v>46244</v>
      </c>
      <c r="B39" t="s">
        <v>82</v>
      </c>
      <c r="C39" s="5" t="s">
        <v>153</v>
      </c>
      <c r="D39" t="s">
        <v>12</v>
      </c>
      <c r="E39" t="s">
        <v>16</v>
      </c>
      <c r="F39" t="s">
        <v>16</v>
      </c>
      <c r="G39" t="s">
        <v>154</v>
      </c>
      <c r="H39" t="s">
        <v>11</v>
      </c>
      <c r="I39" t="str">
        <f>_xlfn.XLOOKUP(Tabla1[[#This Row],[Dependencia]],Tabla2[Dependencia],Tabla2[Clasificación],"XXX",0)</f>
        <v>Alcaldías</v>
      </c>
      <c r="J39" t="str">
        <f>_xlfn.XLOOKUP(Tabla1[[#This Row],[Dependencia]],Tabla3[Dependencia],Tabla3[Nivel],"Otros",0)</f>
        <v>Otros</v>
      </c>
    </row>
    <row r="40" spans="1:10" ht="29" x14ac:dyDescent="0.35">
      <c r="A40" s="11">
        <v>46244</v>
      </c>
      <c r="B40" t="s">
        <v>82</v>
      </c>
      <c r="C40" s="5" t="s">
        <v>155</v>
      </c>
      <c r="D40" t="s">
        <v>12</v>
      </c>
      <c r="E40" t="s">
        <v>16</v>
      </c>
      <c r="F40" t="s">
        <v>16</v>
      </c>
      <c r="G40" t="s">
        <v>73</v>
      </c>
      <c r="H40" t="s">
        <v>11</v>
      </c>
      <c r="I40" t="str">
        <f>_xlfn.XLOOKUP(Tabla1[[#This Row],[Dependencia]],Tabla2[Dependencia],Tabla2[Clasificación],"XXX",0)</f>
        <v>Alcaldías</v>
      </c>
      <c r="J40" t="str">
        <f>_xlfn.XLOOKUP(Tabla1[[#This Row],[Dependencia]],Tabla3[Dependencia],Tabla3[Nivel],"Otros",0)</f>
        <v>Otros</v>
      </c>
    </row>
    <row r="41" spans="1:10" x14ac:dyDescent="0.35">
      <c r="A41" s="11">
        <v>46244</v>
      </c>
      <c r="B41" t="s">
        <v>82</v>
      </c>
      <c r="C41" s="5" t="s">
        <v>156</v>
      </c>
      <c r="D41" t="s">
        <v>12</v>
      </c>
      <c r="E41" t="s">
        <v>16</v>
      </c>
      <c r="F41" t="s">
        <v>16</v>
      </c>
      <c r="G41" t="s">
        <v>138</v>
      </c>
      <c r="H41" t="s">
        <v>11</v>
      </c>
      <c r="I41" t="str">
        <f>_xlfn.XLOOKUP(Tabla1[[#This Row],[Dependencia]],Tabla2[Dependencia],Tabla2[Clasificación],"XXX",0)</f>
        <v>Alcaldías</v>
      </c>
      <c r="J41" t="str">
        <f>_xlfn.XLOOKUP(Tabla1[[#This Row],[Dependencia]],Tabla3[Dependencia],Tabla3[Nivel],"Otros",0)</f>
        <v>Otros</v>
      </c>
    </row>
    <row r="42" spans="1:10" x14ac:dyDescent="0.35">
      <c r="A42" s="11">
        <v>46244</v>
      </c>
      <c r="B42" t="s">
        <v>82</v>
      </c>
      <c r="C42" s="5" t="s">
        <v>157</v>
      </c>
      <c r="D42" t="s">
        <v>76</v>
      </c>
      <c r="E42" t="s">
        <v>16</v>
      </c>
      <c r="F42" t="s">
        <v>16</v>
      </c>
      <c r="G42" t="s">
        <v>77</v>
      </c>
      <c r="H42" t="s">
        <v>11</v>
      </c>
      <c r="I42" t="str">
        <f>_xlfn.XLOOKUP(Tabla1[[#This Row],[Dependencia]],Tabla2[Dependencia],Tabla2[Clasificación],"XXX",0)</f>
        <v>Alcaldías</v>
      </c>
      <c r="J42" t="str">
        <f>_xlfn.XLOOKUP(Tabla1[[#This Row],[Dependencia]],Tabla3[Dependencia],Tabla3[Nivel],"Otros",0)</f>
        <v>Otros</v>
      </c>
    </row>
    <row r="43" spans="1:10" x14ac:dyDescent="0.35">
      <c r="A43" s="11">
        <v>46244</v>
      </c>
      <c r="B43" t="s">
        <v>72</v>
      </c>
      <c r="C43" s="5" t="s">
        <v>158</v>
      </c>
      <c r="D43" t="s">
        <v>13</v>
      </c>
      <c r="E43" t="s">
        <v>10</v>
      </c>
      <c r="F43" t="s">
        <v>10</v>
      </c>
      <c r="G43" t="s">
        <v>73</v>
      </c>
      <c r="H43" t="s">
        <v>11</v>
      </c>
      <c r="I43" t="str">
        <f>_xlfn.XLOOKUP(Tabla1[[#This Row],[Dependencia]],Tabla2[Dependencia],Tabla2[Clasificación],"XXX",0)</f>
        <v>Otros</v>
      </c>
      <c r="J43" t="str">
        <f>_xlfn.XLOOKUP(Tabla1[[#This Row],[Dependencia]],Tabla3[Dependencia],Tabla3[Nivel],"Otros",0)</f>
        <v>Otros</v>
      </c>
    </row>
    <row r="44" spans="1:10" x14ac:dyDescent="0.35">
      <c r="A44" s="11">
        <v>46244</v>
      </c>
      <c r="B44" t="s">
        <v>72</v>
      </c>
      <c r="C44" s="5" t="s">
        <v>159</v>
      </c>
      <c r="D44" t="s">
        <v>12</v>
      </c>
      <c r="E44" t="s">
        <v>16</v>
      </c>
      <c r="F44" t="s">
        <v>147</v>
      </c>
      <c r="G44" t="s">
        <v>148</v>
      </c>
      <c r="H44" t="s">
        <v>11</v>
      </c>
      <c r="I44" t="str">
        <f>_xlfn.XLOOKUP(Tabla1[[#This Row],[Dependencia]],Tabla2[Dependencia],Tabla2[Clasificación],"XXX",0)</f>
        <v>Alcaldías</v>
      </c>
      <c r="J44" t="str">
        <f>_xlfn.XLOOKUP(Tabla1[[#This Row],[Dependencia]],Tabla3[Dependencia],Tabla3[Nivel],"Otros",0)</f>
        <v>Otros</v>
      </c>
    </row>
    <row r="45" spans="1:10" x14ac:dyDescent="0.35">
      <c r="A45" s="11">
        <v>46244</v>
      </c>
      <c r="B45" t="s">
        <v>72</v>
      </c>
      <c r="C45" s="5" t="s">
        <v>160</v>
      </c>
      <c r="D45" t="s">
        <v>12</v>
      </c>
      <c r="E45" t="s">
        <v>53</v>
      </c>
      <c r="F45" t="s">
        <v>53</v>
      </c>
      <c r="G45" t="s">
        <v>161</v>
      </c>
      <c r="H45" t="s">
        <v>11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Gabinete</v>
      </c>
    </row>
    <row r="46" spans="1:10" ht="29" x14ac:dyDescent="0.35">
      <c r="A46" s="11">
        <v>46244</v>
      </c>
      <c r="B46" t="s">
        <v>72</v>
      </c>
      <c r="C46" s="5" t="s">
        <v>162</v>
      </c>
      <c r="D46" t="s">
        <v>12</v>
      </c>
      <c r="E46" t="s">
        <v>26</v>
      </c>
      <c r="F46" t="s">
        <v>26</v>
      </c>
      <c r="G46" t="s">
        <v>134</v>
      </c>
      <c r="H46" t="s">
        <v>102</v>
      </c>
      <c r="I46" t="str">
        <f>_xlfn.XLOOKUP(Tabla1[[#This Row],[Dependencia]],Tabla2[Dependencia],Tabla2[Clasificación],"XXX",0)</f>
        <v>Gobierno del estado</v>
      </c>
      <c r="J46" t="str">
        <f>_xlfn.XLOOKUP(Tabla1[[#This Row],[Dependencia]],Tabla3[Dependencia],Tabla3[Nivel],"Otros",0)</f>
        <v>Gabinete</v>
      </c>
    </row>
    <row r="47" spans="1:10" ht="29" x14ac:dyDescent="0.35">
      <c r="A47" s="11">
        <v>46244</v>
      </c>
      <c r="B47" t="s">
        <v>72</v>
      </c>
      <c r="C47" s="5" t="s">
        <v>163</v>
      </c>
      <c r="D47" t="s">
        <v>12</v>
      </c>
      <c r="E47" t="s">
        <v>24</v>
      </c>
      <c r="F47" t="s">
        <v>24</v>
      </c>
      <c r="G47" t="s">
        <v>100</v>
      </c>
      <c r="H47" t="s">
        <v>11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Gobernador</v>
      </c>
    </row>
    <row r="48" spans="1:10" x14ac:dyDescent="0.35">
      <c r="A48" s="11">
        <v>46244</v>
      </c>
      <c r="B48" t="s">
        <v>72</v>
      </c>
      <c r="C48" s="5" t="s">
        <v>164</v>
      </c>
      <c r="D48" t="s">
        <v>76</v>
      </c>
      <c r="E48" t="s">
        <v>19</v>
      </c>
      <c r="F48" t="s">
        <v>19</v>
      </c>
      <c r="G48" t="s">
        <v>165</v>
      </c>
      <c r="H48" t="s">
        <v>11</v>
      </c>
      <c r="I48" t="str">
        <f>_xlfn.XLOOKUP(Tabla1[[#This Row],[Dependencia]],Tabla2[Dependencia],Tabla2[Clasificación],"XXX",0)</f>
        <v>Gobierno del estado</v>
      </c>
      <c r="J48" t="str">
        <f>_xlfn.XLOOKUP(Tabla1[[#This Row],[Dependencia]],Tabla3[Dependencia],Tabla3[Nivel],"Otros",0)</f>
        <v>Gabinete</v>
      </c>
    </row>
    <row r="49" spans="1:10" x14ac:dyDescent="0.35">
      <c r="A49" s="11">
        <v>46244</v>
      </c>
      <c r="B49" t="s">
        <v>72</v>
      </c>
      <c r="C49" s="5" t="s">
        <v>166</v>
      </c>
      <c r="D49" t="s">
        <v>76</v>
      </c>
      <c r="E49" t="s">
        <v>16</v>
      </c>
      <c r="F49" t="s">
        <v>147</v>
      </c>
      <c r="G49" t="s">
        <v>77</v>
      </c>
      <c r="H49" t="s">
        <v>11</v>
      </c>
      <c r="I49" t="str">
        <f>_xlfn.XLOOKUP(Tabla1[[#This Row],[Dependencia]],Tabla2[Dependencia],Tabla2[Clasificación],"XXX",0)</f>
        <v>Alcaldías</v>
      </c>
      <c r="J49" t="str">
        <f>_xlfn.XLOOKUP(Tabla1[[#This Row],[Dependencia]],Tabla3[Dependencia],Tabla3[Nivel],"Otros",0)</f>
        <v>Otros</v>
      </c>
    </row>
    <row r="50" spans="1:10" x14ac:dyDescent="0.35">
      <c r="A50" s="11">
        <v>46244</v>
      </c>
      <c r="B50" t="s">
        <v>75</v>
      </c>
      <c r="C50" s="5" t="s">
        <v>167</v>
      </c>
      <c r="D50" t="s">
        <v>13</v>
      </c>
      <c r="E50" t="s">
        <v>24</v>
      </c>
      <c r="F50" t="s">
        <v>24</v>
      </c>
      <c r="G50" t="s">
        <v>168</v>
      </c>
      <c r="H50" t="s">
        <v>102</v>
      </c>
      <c r="I50" t="str">
        <f>_xlfn.XLOOKUP(Tabla1[[#This Row],[Dependencia]],Tabla2[Dependencia],Tabla2[Clasificación],"XXX",0)</f>
        <v>Gobierno del estado</v>
      </c>
      <c r="J50" t="str">
        <f>_xlfn.XLOOKUP(Tabla1[[#This Row],[Dependencia]],Tabla3[Dependencia],Tabla3[Nivel],"Otros",0)</f>
        <v>Gobernador</v>
      </c>
    </row>
    <row r="51" spans="1:10" x14ac:dyDescent="0.35">
      <c r="A51" s="11">
        <v>46244</v>
      </c>
      <c r="B51" t="s">
        <v>75</v>
      </c>
      <c r="C51" s="5" t="s">
        <v>169</v>
      </c>
      <c r="D51" t="s">
        <v>12</v>
      </c>
      <c r="E51" t="s">
        <v>10</v>
      </c>
      <c r="F51" t="s">
        <v>10</v>
      </c>
      <c r="G51" t="s">
        <v>74</v>
      </c>
      <c r="H51" t="s">
        <v>11</v>
      </c>
      <c r="I51" t="str">
        <f>_xlfn.XLOOKUP(Tabla1[[#This Row],[Dependencia]],Tabla2[Dependencia],Tabla2[Clasificación],"XXX",0)</f>
        <v>Otros</v>
      </c>
      <c r="J51" t="str">
        <f>_xlfn.XLOOKUP(Tabla1[[#This Row],[Dependencia]],Tabla3[Dependencia],Tabla3[Nivel],"Otros",0)</f>
        <v>Otros</v>
      </c>
    </row>
    <row r="52" spans="1:10" x14ac:dyDescent="0.35">
      <c r="A52" s="11">
        <v>46244</v>
      </c>
      <c r="B52" t="s">
        <v>75</v>
      </c>
      <c r="C52" s="5" t="s">
        <v>170</v>
      </c>
      <c r="D52" t="s">
        <v>12</v>
      </c>
      <c r="E52" t="s">
        <v>14</v>
      </c>
      <c r="F52" t="s">
        <v>14</v>
      </c>
      <c r="G52" t="s">
        <v>100</v>
      </c>
      <c r="H52" t="s">
        <v>11</v>
      </c>
      <c r="I52" t="str">
        <f>_xlfn.XLOOKUP(Tabla1[[#This Row],[Dependencia]],Tabla2[Dependencia],Tabla2[Clasificación],"XXX",0)</f>
        <v>Presidencia de la República</v>
      </c>
      <c r="J52" t="str">
        <f>_xlfn.XLOOKUP(Tabla1[[#This Row],[Dependencia]],Tabla3[Dependencia],Tabla3[Nivel],"Otros",0)</f>
        <v>Otros</v>
      </c>
    </row>
    <row r="53" spans="1:10" x14ac:dyDescent="0.35">
      <c r="A53" s="11">
        <v>46244</v>
      </c>
      <c r="B53" t="s">
        <v>75</v>
      </c>
      <c r="C53" s="5" t="s">
        <v>171</v>
      </c>
      <c r="D53" t="s">
        <v>12</v>
      </c>
      <c r="E53" t="s">
        <v>16</v>
      </c>
      <c r="F53" t="s">
        <v>16</v>
      </c>
      <c r="G53" t="s">
        <v>172</v>
      </c>
      <c r="H53" t="s">
        <v>11</v>
      </c>
      <c r="I53" t="str">
        <f>_xlfn.XLOOKUP(Tabla1[[#This Row],[Dependencia]],Tabla2[Dependencia],Tabla2[Clasificación],"XXX",0)</f>
        <v>Alcaldías</v>
      </c>
      <c r="J53" t="str">
        <f>_xlfn.XLOOKUP(Tabla1[[#This Row],[Dependencia]],Tabla3[Dependencia],Tabla3[Nivel],"Otros",0)</f>
        <v>Otros</v>
      </c>
    </row>
    <row r="54" spans="1:10" x14ac:dyDescent="0.35">
      <c r="A54" s="11">
        <v>46244</v>
      </c>
      <c r="B54" t="s">
        <v>75</v>
      </c>
      <c r="C54" s="5" t="s">
        <v>173</v>
      </c>
      <c r="D54" t="s">
        <v>12</v>
      </c>
      <c r="E54" t="s">
        <v>29</v>
      </c>
      <c r="F54" t="s">
        <v>29</v>
      </c>
      <c r="G54" t="s">
        <v>174</v>
      </c>
      <c r="H54" t="s">
        <v>11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Gabinete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7" t="s">
        <v>4</v>
      </c>
      <c r="E1" t="s">
        <v>65</v>
      </c>
    </row>
    <row r="2" spans="1:5" x14ac:dyDescent="0.35">
      <c r="A2" t="s">
        <v>61</v>
      </c>
      <c r="B2" t="s">
        <v>62</v>
      </c>
      <c r="D2" s="9" t="s">
        <v>19</v>
      </c>
      <c r="E2" t="s">
        <v>66</v>
      </c>
    </row>
    <row r="3" spans="1:5" x14ac:dyDescent="0.35">
      <c r="A3" t="s">
        <v>16</v>
      </c>
      <c r="B3" t="s">
        <v>31</v>
      </c>
      <c r="D3" s="8" t="s">
        <v>69</v>
      </c>
      <c r="E3" t="s">
        <v>66</v>
      </c>
    </row>
    <row r="4" spans="1:5" x14ac:dyDescent="0.35">
      <c r="A4" t="s">
        <v>19</v>
      </c>
      <c r="B4" t="s">
        <v>32</v>
      </c>
      <c r="D4" s="8" t="s">
        <v>34</v>
      </c>
      <c r="E4" t="s">
        <v>66</v>
      </c>
    </row>
    <row r="5" spans="1:5" x14ac:dyDescent="0.35">
      <c r="A5" t="s">
        <v>60</v>
      </c>
      <c r="B5" t="s">
        <v>10</v>
      </c>
      <c r="D5" s="9" t="s">
        <v>28</v>
      </c>
      <c r="E5" t="s">
        <v>66</v>
      </c>
    </row>
    <row r="6" spans="1:5" x14ac:dyDescent="0.35">
      <c r="A6" t="s">
        <v>69</v>
      </c>
      <c r="B6" t="s">
        <v>32</v>
      </c>
      <c r="D6" s="9" t="s">
        <v>35</v>
      </c>
      <c r="E6" t="s">
        <v>66</v>
      </c>
    </row>
    <row r="7" spans="1:5" x14ac:dyDescent="0.35">
      <c r="A7" t="s">
        <v>33</v>
      </c>
      <c r="B7" t="s">
        <v>10</v>
      </c>
      <c r="D7" s="8" t="s">
        <v>36</v>
      </c>
      <c r="E7" t="s">
        <v>66</v>
      </c>
    </row>
    <row r="8" spans="1:5" x14ac:dyDescent="0.35">
      <c r="A8" t="s">
        <v>34</v>
      </c>
      <c r="B8" t="s">
        <v>32</v>
      </c>
      <c r="D8" s="8" t="s">
        <v>36</v>
      </c>
      <c r="E8" t="s">
        <v>66</v>
      </c>
    </row>
    <row r="9" spans="1:5" x14ac:dyDescent="0.35">
      <c r="A9" t="s">
        <v>28</v>
      </c>
      <c r="B9" t="s">
        <v>32</v>
      </c>
      <c r="D9" s="8" t="s">
        <v>37</v>
      </c>
      <c r="E9" t="s">
        <v>66</v>
      </c>
    </row>
    <row r="10" spans="1:5" x14ac:dyDescent="0.3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3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3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3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3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3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3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3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3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3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3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3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3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3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3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3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3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3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47</v>
      </c>
      <c r="B29" t="s">
        <v>32</v>
      </c>
    </row>
    <row r="30" spans="1:5" x14ac:dyDescent="0.35">
      <c r="A30" t="s">
        <v>48</v>
      </c>
      <c r="B30" t="s">
        <v>44</v>
      </c>
    </row>
    <row r="31" spans="1:5" x14ac:dyDescent="0.35">
      <c r="A31" t="s">
        <v>14</v>
      </c>
      <c r="B31" t="s">
        <v>49</v>
      </c>
    </row>
    <row r="32" spans="1:5" x14ac:dyDescent="0.35">
      <c r="A32" t="s">
        <v>50</v>
      </c>
      <c r="B32" t="s">
        <v>44</v>
      </c>
    </row>
    <row r="33" spans="1:2" x14ac:dyDescent="0.35">
      <c r="A33" t="s">
        <v>51</v>
      </c>
      <c r="B33" t="s">
        <v>44</v>
      </c>
    </row>
    <row r="34" spans="1:2" x14ac:dyDescent="0.35">
      <c r="A34" t="s">
        <v>52</v>
      </c>
      <c r="B34" t="s">
        <v>44</v>
      </c>
    </row>
    <row r="35" spans="1:2" x14ac:dyDescent="0.35">
      <c r="A35" t="s">
        <v>53</v>
      </c>
      <c r="B35" t="s">
        <v>32</v>
      </c>
    </row>
    <row r="36" spans="1:2" x14ac:dyDescent="0.35">
      <c r="A36" t="s">
        <v>54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55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56</v>
      </c>
      <c r="B44" t="s">
        <v>32</v>
      </c>
    </row>
    <row r="45" spans="1:2" x14ac:dyDescent="0.35">
      <c r="A45" t="s">
        <v>57</v>
      </c>
      <c r="B45" t="s">
        <v>10</v>
      </c>
    </row>
    <row r="46" spans="1:2" x14ac:dyDescent="0.35">
      <c r="A46" t="s">
        <v>58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2026-08-10T18:00:26Z</dcterms:modified>
</cp:coreProperties>
</file>