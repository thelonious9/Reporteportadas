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480E87FC-7395-4D2A-B954-CF1ADEC28E3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I2" i="1"/>
  <c r="J2" i="1"/>
</calcChain>
</file>

<file path=xl/sharedStrings.xml><?xml version="1.0" encoding="utf-8"?>
<sst xmlns="http://schemas.openxmlformats.org/spreadsheetml/2006/main" count="657" uniqueCount="205">
  <si>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</si>
  <si>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</si>
  <si>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</si>
  <si>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</si>
  <si>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</si>
  <si>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</si>
  <si>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</si>
  <si>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</si>
  <si>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</si>
  <si>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</si>
  <si>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</si>
  <si>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</si>
  <si>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</si>
  <si>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</si>
  <si>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</si>
  <si>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</si>
  <si>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</si>
  <si>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</si>
  <si>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</si>
  <si>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</si>
  <si>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</si>
  <si>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</si>
  <si>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</si>
  <si>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</si>
  <si>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</si>
  <si>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</si>
  <si>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</si>
  <si>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</si>
  <si>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</si>
  <si>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</si>
  <si>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</si>
  <si>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</si>
  <si>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</si>
  <si>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</si>
  <si>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</si>
  <si>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</si>
  <si>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</si>
  <si>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</si>
  <si>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</si>
  <si>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</si>
  <si>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</si>
  <si>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</si>
  <si>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</si>
  <si>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</si>
  <si>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</si>
  <si>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</si>
  <si>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</si>
  <si>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</si>
  <si>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</si>
  <si>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</si>
  <si>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</si>
  <si>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</si>
  <si>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</si>
  <si>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</si>
  <si>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</si>
  <si>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</si>
  <si>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</si>
  <si>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</si>
  <si>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</si>
  <si>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</si>
  <si>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</si>
  <si>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</si>
  <si>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</si>
  <si>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</si>
  <si>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</si>
  <si>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</si>
  <si>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</si>
  <si>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</si>
  <si>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</si>
  <si>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</si>
  <si>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</si>
  <si>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La Jornada Hidalgo</t>
  </si>
  <si>
    <t>Síntesis</t>
  </si>
  <si>
    <t>Criterio</t>
  </si>
  <si>
    <t>Nivel</t>
  </si>
  <si>
    <t>Gabinete</t>
  </si>
  <si>
    <t>Deportes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</si>
  <si>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</si>
  <si>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</si>
  <si>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</si>
  <si>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</si>
  <si>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</si>
  <si>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</si>
  <si>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</si>
  <si>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Alcalde</t>
  </si>
  <si>
    <t>Effetá</t>
  </si>
  <si>
    <t>Tauromaquia</t>
  </si>
  <si>
    <t>Combate a la delincuencia</t>
  </si>
  <si>
    <t>Semana Santa</t>
  </si>
  <si>
    <t>Protección del menor</t>
  </si>
  <si>
    <t>Ataque Armado</t>
  </si>
  <si>
    <t>Iniciativa</t>
  </si>
  <si>
    <t>Cintillo</t>
  </si>
  <si>
    <t>Alerta Meteorológica</t>
  </si>
  <si>
    <t>Combate Al Huachicol</t>
  </si>
  <si>
    <t>Usa el puente peatonal</t>
  </si>
  <si>
    <t>Temas internacionales</t>
  </si>
  <si>
    <t>Compran medicamento falsificado para combatir el cáncer</t>
  </si>
  <si>
    <t>ISSSTE</t>
  </si>
  <si>
    <t>Falsificación de medicamentos</t>
  </si>
  <si>
    <t>Cierre de vacaciones con poca afluencia</t>
  </si>
  <si>
    <t>Marchan por liberación de lomitos</t>
  </si>
  <si>
    <t>Mañana, votación importante en Senado francés</t>
  </si>
  <si>
    <t>Códice borbónico</t>
  </si>
  <si>
    <t>Brindan integración social para adultos mayores</t>
  </si>
  <si>
    <t>Pese a crisis, consejeros del IEEH buscan llegar al INE</t>
  </si>
  <si>
    <t>Consejeros Electorales</t>
  </si>
  <si>
    <t>Fuera abajo</t>
  </si>
  <si>
    <t>Accidente en obra</t>
  </si>
  <si>
    <t>Lucha contra el gusano barrenador</t>
  </si>
  <si>
    <t>Gusano barrenador</t>
  </si>
  <si>
    <t>Los viajes al espacio siempre han sido una fascinación para el ser humano. Desde tiempos ancestrales, el hombre hasoñado con lo que...</t>
  </si>
  <si>
    <t>Denuncian contaminación en presa San Miguel</t>
  </si>
  <si>
    <t>Contaminación de acuíferos</t>
  </si>
  <si>
    <t>Regresan a clases 569 mil alumnos</t>
  </si>
  <si>
    <t>Regreso A Clases</t>
  </si>
  <si>
    <t>GUZMÁN ROZA EL PODIO HISTÓRICO</t>
  </si>
  <si>
    <t>EL CITY APRIETA LA CIMA  DE LA PREMIER LEAGUE</t>
  </si>
  <si>
    <t>RECABARON  FIRMAS PARA  PROHIBIR LA  FIESTA BRAVA</t>
  </si>
  <si>
    <t>Niños buscarán apoyo para ir al Robofest 2026, en Míchigan, EU</t>
  </si>
  <si>
    <t>Campeonato de robótica</t>
  </si>
  <si>
    <t>La Oficialía Mayor erogó 962 mdp en renta de vehículos</t>
  </si>
  <si>
    <t>Parque Vehicular</t>
  </si>
  <si>
    <t>ABREN REGISTRO PARA TENER UN APOYO TRAS LA GRANIZADA: MR</t>
  </si>
  <si>
    <t>Atención Afectaciones Por Lluvias</t>
  </si>
  <si>
    <t>En dos meses, 15 denuncias por robo en el transporte</t>
  </si>
  <si>
    <t>Asalto a transporte público</t>
  </si>
  <si>
    <t>Aseguramientos de huachicol superan 6.3 millones de litros</t>
  </si>
  <si>
    <t>Bomberos de Pachuca con certificación internacional</t>
  </si>
  <si>
    <t>Certificación</t>
  </si>
  <si>
    <t>Comisión Nacional emite fichas de 5 hidalguenses</t>
  </si>
  <si>
    <t>Ficha De Búsqueda</t>
  </si>
  <si>
    <t>Del estado 6 perfiles se mantienen en la carrera</t>
  </si>
  <si>
    <t>Vuelca reovlvedora en obras del centro de Pachuca</t>
  </si>
  <si>
    <t>Derechos de la mujer, otr frente abierto</t>
  </si>
  <si>
    <t>Educación. Regresan hoy a clases medio millón de estudiantes</t>
  </si>
  <si>
    <t>Estados Unidos anuncia bloqueo en Ormuz y ordena atacar si Irán se resiste</t>
  </si>
  <si>
    <t>Fuerzas dederales contienen la incursión del crimen</t>
  </si>
  <si>
    <t>La moda tiene un gran pecado: la explotación</t>
  </si>
  <si>
    <t>Los empresarios respaldan que se modernice el sistema Tuzobús</t>
  </si>
  <si>
    <t>Sitmah</t>
  </si>
  <si>
    <t>Modernización Tuzobús</t>
  </si>
  <si>
    <t>Reciben fraccionamientos para mejorar el entorno</t>
  </si>
  <si>
    <t>Municipalización</t>
  </si>
  <si>
    <t>La UAEH recorta a la m itad el presupuesto de la Feria del Libro</t>
  </si>
  <si>
    <t>Feria Del Libro</t>
  </si>
  <si>
    <t>Guanajuato, otra vez: 13 en 24 horas</t>
  </si>
  <si>
    <t>Ola De Violencia</t>
  </si>
  <si>
    <t>Exigen esclarecer caso del Refugio Franciscano</t>
  </si>
  <si>
    <t>Si Cárdenas hubiera llegado a dirigir Pemex antes de crear  la Corriente Democrática del PRI, la historia mexicana  reciente sería otra”.</t>
  </si>
  <si>
    <t>Regresan a las aulas más de medio millón de estudiantes</t>
  </si>
  <si>
    <t>Decretan el 17 de octubre ""Día estatal del Huapango""</t>
  </si>
  <si>
    <t>GLMorena</t>
  </si>
  <si>
    <t>Días estatales</t>
  </si>
  <si>
    <t>Causan actividades humanas el  60% de incendios: Semarnath</t>
  </si>
  <si>
    <t>Incendios forestales</t>
  </si>
  <si>
    <t>Localizan a menor que contaba con ficha de búsqueda en Pachuca</t>
  </si>
  <si>
    <t>Policía municipal</t>
  </si>
  <si>
    <t>Localización de persona</t>
  </si>
  <si>
    <t>Detectan más de 30 casos de gusano barrenador en Huautla</t>
  </si>
  <si>
    <t>Más del 60% de los incendios en la entidad son provocados por personas</t>
  </si>
  <si>
    <t>Visita MISS-Bienestar casa de la Mujer Indígena en Atlapexco</t>
  </si>
  <si>
    <t>Casa de la Mujer Indígena</t>
  </si>
  <si>
    <t>Poca demanda de usuarios este domingo en terminales</t>
  </si>
  <si>
    <t>Naturaleza y aventura se conjugaron en ruta de senderismo ""La peña Tehuetlán""</t>
  </si>
  <si>
    <t>Senderismo</t>
  </si>
  <si>
    <t>Van contra escapes ruidosos</t>
  </si>
  <si>
    <t>GLPAN</t>
  </si>
  <si>
    <t>Desmantelan pelea de gallos clandestina en Pachuca; 37 detenidos</t>
  </si>
  <si>
    <t>Rescate de especies</t>
  </si>
  <si>
    <t>Presentan cuatro denuncias penales en Tepetitlán</t>
  </si>
  <si>
    <t>Denuncias</t>
  </si>
  <si>
    <t>Avalan recorte a partidos</t>
  </si>
  <si>
    <t>partidos</t>
  </si>
  <si>
    <t>La gravedad de Tlanalapa</t>
  </si>
  <si>
    <t>Hidalgo dispara su red: de 16 a 84 procuradurías en todo el estado</t>
  </si>
  <si>
    <t>Hidalgo dispara su red de protección infantil: de 16 a 84 procuradurías en todo el estado</t>
  </si>
  <si>
    <t>Firma vs tauromaquia</t>
  </si>
  <si>
    <t>Corridas de toros no deberían existir: prohibición depende del Congreso: Menchaca</t>
  </si>
  <si>
    <t>Aseguran a 37 personas en pelea de gallos clandestina</t>
  </si>
  <si>
    <t>Rescate Animal</t>
  </si>
  <si>
    <t>Exige diputado acelerar prohibir corridas de toros en Hidalgo</t>
  </si>
  <si>
    <t>GLPVEM</t>
  </si>
  <si>
    <t>Menchaca y sector empresarial cierran filas para fortalecer el desarrollo económico en Hidalgo</t>
  </si>
  <si>
    <t>Reunión Con Empresarios</t>
  </si>
  <si>
    <t>5 bomberos de Pachuca se certifican bajo estándar internacional</t>
  </si>
  <si>
    <t>Faenas de Pueblo continúan transformando el entorno de Ajacuba</t>
  </si>
  <si>
    <t>Menor con ficha de búsqueda llevaba 3 días en el 1° de Mayo</t>
  </si>
  <si>
    <t>Morena Hidalgo envía propuesta a San Lázaro para frenar altos salarios en ayuntamiento</t>
  </si>
  <si>
    <t>Convive con tu Policía"" refuerza cercanía y prevención en colonas de Pachuca</t>
  </si>
  <si>
    <t>Prevención del delito</t>
  </si>
  <si>
    <t>37 detenidos por pelea de gallos clandestina en Pachuca</t>
  </si>
  <si>
    <t>Regresan más de 500 mil estudiantes a clases este lunes en Hidalgo</t>
  </si>
  <si>
    <t>Rescatan policías estatales a un moño araña en Actopan</t>
  </si>
  <si>
    <t>Más de 60% de los incendios en Hidalgo son provocados por personas: Semarnath</t>
  </si>
  <si>
    <t>Convive con tu Policía refuerza cercanía y prevención en colonias de la capital</t>
  </si>
  <si>
    <t>Tres municipios, reprobados por la Auditoría Superior</t>
  </si>
  <si>
    <t>ASEH</t>
  </si>
  <si>
    <t>Índice de desempeño municipal</t>
  </si>
  <si>
    <t>Trump bloquearía el estrecho de Ormuz</t>
  </si>
  <si>
    <t>500 mil estudiantes regresan hoy a clases en Hidalgo</t>
  </si>
  <si>
    <t>El regidor Noé Paredes perdió los estribos en redes sociales</t>
  </si>
  <si>
    <t>Regidor</t>
  </si>
  <si>
    <t>Manejo De Redes Sociales</t>
  </si>
  <si>
    <t>Continuarán las precipitaciones en la 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</si>
</sst>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2" totalsRowShown="0" headerRowDxfId="5" headerRowBorderDxfId="4">
  <autoFilter ref="A1:J72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2"/>
  <sheetViews>
    <sheetView tabSelected="1" topLeftCell="A55" workbookViewId="0">
      <selection activeCell="A72" sqref="A7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74</v>
      </c>
    </row>
    <row r="2" spans="1:10" ht="30" x14ac:dyDescent="0.25">
      <c r="A2" s="5">
        <v>46125</v>
      </c>
      <c r="B2" t="s">
        <v>83</v>
      </c>
      <c r="C2" s="6" t="s">
        <v>97</v>
      </c>
      <c r="D2" t="s">
        <v>13</v>
      </c>
      <c r="E2" t="s">
        <v>14</v>
      </c>
      <c r="F2" t="s">
        <v>98</v>
      </c>
      <c r="G2" t="s">
        <v>99</v>
      </c>
      <c r="H2" t="s">
        <v>16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46125</v>
      </c>
      <c r="B3" t="s">
        <v>83</v>
      </c>
      <c r="C3" s="6" t="s">
        <v>100</v>
      </c>
      <c r="D3" t="s">
        <v>12</v>
      </c>
      <c r="E3" t="s">
        <v>10</v>
      </c>
      <c r="F3" t="s">
        <v>10</v>
      </c>
      <c r="G3" t="s">
        <v>88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46125</v>
      </c>
      <c r="B4" t="s">
        <v>83</v>
      </c>
      <c r="C4" s="6" t="s">
        <v>101</v>
      </c>
      <c r="D4" t="s">
        <v>9</v>
      </c>
      <c r="E4" t="s">
        <v>10</v>
      </c>
      <c r="F4" t="s">
        <v>10</v>
      </c>
      <c r="G4" t="s">
        <v>69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46125</v>
      </c>
      <c r="B5" t="s">
        <v>83</v>
      </c>
      <c r="C5" s="6" t="s">
        <v>102</v>
      </c>
      <c r="D5" t="s">
        <v>12</v>
      </c>
      <c r="E5" t="s">
        <v>10</v>
      </c>
      <c r="F5" t="s">
        <v>10</v>
      </c>
      <c r="G5" t="s">
        <v>103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46125</v>
      </c>
      <c r="B6" t="s">
        <v>83</v>
      </c>
      <c r="C6" s="6" t="s">
        <v>104</v>
      </c>
      <c r="D6" t="s">
        <v>12</v>
      </c>
      <c r="E6" t="s">
        <v>10</v>
      </c>
      <c r="F6" t="s">
        <v>10</v>
      </c>
      <c r="G6" t="s">
        <v>69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46125</v>
      </c>
      <c r="B7" t="s">
        <v>70</v>
      </c>
      <c r="C7" s="6" t="s">
        <v>105</v>
      </c>
      <c r="D7" t="s">
        <v>13</v>
      </c>
      <c r="E7" t="s">
        <v>44</v>
      </c>
      <c r="F7" t="s">
        <v>44</v>
      </c>
      <c r="G7" t="s">
        <v>106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46125</v>
      </c>
      <c r="B8" t="s">
        <v>70</v>
      </c>
      <c r="C8" s="6" t="s">
        <v>107</v>
      </c>
      <c r="D8" t="s">
        <v>9</v>
      </c>
      <c r="E8" t="s">
        <v>10</v>
      </c>
      <c r="F8" t="s">
        <v>10</v>
      </c>
      <c r="G8" t="s">
        <v>108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46125</v>
      </c>
      <c r="B9" t="s">
        <v>70</v>
      </c>
      <c r="C9" s="6" t="s">
        <v>109</v>
      </c>
      <c r="D9" t="s">
        <v>12</v>
      </c>
      <c r="E9" t="s">
        <v>63</v>
      </c>
      <c r="F9" t="s">
        <v>63</v>
      </c>
      <c r="G9" t="s">
        <v>110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ht="45" x14ac:dyDescent="0.25">
      <c r="A10" s="5">
        <v>46125</v>
      </c>
      <c r="B10" t="s">
        <v>70</v>
      </c>
      <c r="C10" s="6" t="s">
        <v>111</v>
      </c>
      <c r="D10" t="s">
        <v>12</v>
      </c>
      <c r="E10" t="s">
        <v>10</v>
      </c>
      <c r="F10" t="s">
        <v>10</v>
      </c>
      <c r="G10" t="s">
        <v>69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46125</v>
      </c>
      <c r="B11" t="s">
        <v>70</v>
      </c>
      <c r="C11" s="6" t="s">
        <v>112</v>
      </c>
      <c r="D11" t="s">
        <v>12</v>
      </c>
      <c r="E11" t="s">
        <v>21</v>
      </c>
      <c r="F11" t="s">
        <v>21</v>
      </c>
      <c r="G11" t="s">
        <v>113</v>
      </c>
      <c r="H11" t="s">
        <v>16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5">
        <v>46125</v>
      </c>
      <c r="B12" t="s">
        <v>70</v>
      </c>
      <c r="C12" s="6" t="s">
        <v>114</v>
      </c>
      <c r="D12" t="s">
        <v>12</v>
      </c>
      <c r="E12" t="s">
        <v>28</v>
      </c>
      <c r="F12" t="s">
        <v>28</v>
      </c>
      <c r="G12" t="s">
        <v>115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5">
        <v>46125</v>
      </c>
      <c r="B13" t="s">
        <v>73</v>
      </c>
      <c r="C13" s="6" t="s">
        <v>116</v>
      </c>
      <c r="D13" t="s">
        <v>12</v>
      </c>
      <c r="E13" t="s">
        <v>10</v>
      </c>
      <c r="F13" t="s">
        <v>10</v>
      </c>
      <c r="G13" t="s">
        <v>76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46125</v>
      </c>
      <c r="B14" t="s">
        <v>73</v>
      </c>
      <c r="C14" s="6" t="s">
        <v>117</v>
      </c>
      <c r="D14" t="s">
        <v>12</v>
      </c>
      <c r="E14" t="s">
        <v>10</v>
      </c>
      <c r="F14" t="s">
        <v>10</v>
      </c>
      <c r="G14" t="s">
        <v>76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46125</v>
      </c>
      <c r="B15" t="s">
        <v>73</v>
      </c>
      <c r="C15" s="6" t="s">
        <v>118</v>
      </c>
      <c r="D15" t="s">
        <v>9</v>
      </c>
      <c r="E15" t="s">
        <v>37</v>
      </c>
      <c r="F15" t="s">
        <v>37</v>
      </c>
      <c r="G15" t="s">
        <v>86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46125</v>
      </c>
      <c r="B16" t="s">
        <v>73</v>
      </c>
      <c r="C16" s="6" t="s">
        <v>119</v>
      </c>
      <c r="D16" t="s">
        <v>12</v>
      </c>
      <c r="E16" t="s">
        <v>28</v>
      </c>
      <c r="F16" t="s">
        <v>28</v>
      </c>
      <c r="G16" t="s">
        <v>120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46125</v>
      </c>
      <c r="B17" t="s">
        <v>73</v>
      </c>
      <c r="C17" s="6" t="s">
        <v>121</v>
      </c>
      <c r="D17" t="s">
        <v>13</v>
      </c>
      <c r="E17" t="s">
        <v>22</v>
      </c>
      <c r="F17" t="s">
        <v>22</v>
      </c>
      <c r="G17" t="s">
        <v>122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46125</v>
      </c>
      <c r="B18" t="s">
        <v>73</v>
      </c>
      <c r="C18" s="6" t="s">
        <v>123</v>
      </c>
      <c r="D18" t="s">
        <v>12</v>
      </c>
      <c r="E18" t="s">
        <v>17</v>
      </c>
      <c r="F18" t="s">
        <v>17</v>
      </c>
      <c r="G18" t="s">
        <v>124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46125</v>
      </c>
      <c r="B19" t="s">
        <v>73</v>
      </c>
      <c r="C19" s="6" t="s">
        <v>125</v>
      </c>
      <c r="D19" t="s">
        <v>12</v>
      </c>
      <c r="E19" t="s">
        <v>18</v>
      </c>
      <c r="F19" t="s">
        <v>18</v>
      </c>
      <c r="G19" t="s">
        <v>126</v>
      </c>
      <c r="H19" t="s">
        <v>16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46125</v>
      </c>
      <c r="B20" t="s">
        <v>77</v>
      </c>
      <c r="C20" s="6" t="s">
        <v>127</v>
      </c>
      <c r="D20" t="s">
        <v>13</v>
      </c>
      <c r="E20" t="s">
        <v>23</v>
      </c>
      <c r="F20" t="s">
        <v>23</v>
      </c>
      <c r="G20" t="s">
        <v>94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46125</v>
      </c>
      <c r="B21" t="s">
        <v>77</v>
      </c>
      <c r="C21" s="6" t="s">
        <v>128</v>
      </c>
      <c r="D21" t="s">
        <v>12</v>
      </c>
      <c r="E21" t="s">
        <v>17</v>
      </c>
      <c r="F21" t="s">
        <v>17</v>
      </c>
      <c r="G21" t="s">
        <v>129</v>
      </c>
      <c r="H21" t="s">
        <v>11</v>
      </c>
      <c r="I21" t="str">
        <f>_xlfn.XLOOKUP(Tabla1[[#This Row],[Dependencia]],Tabla2[Dependencia],Tabla2[Clasificación],"No indexado")</f>
        <v>Alcaldías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46125</v>
      </c>
      <c r="B22" t="s">
        <v>77</v>
      </c>
      <c r="C22" s="6" t="s">
        <v>130</v>
      </c>
      <c r="D22" t="s">
        <v>12</v>
      </c>
      <c r="E22" t="s">
        <v>14</v>
      </c>
      <c r="F22" t="s">
        <v>14</v>
      </c>
      <c r="G22" t="s">
        <v>131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46125</v>
      </c>
      <c r="B23" t="s">
        <v>77</v>
      </c>
      <c r="C23" s="6" t="s">
        <v>132</v>
      </c>
      <c r="D23" t="s">
        <v>12</v>
      </c>
      <c r="E23" t="s">
        <v>44</v>
      </c>
      <c r="F23" t="s">
        <v>44</v>
      </c>
      <c r="G23" t="s">
        <v>106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46125</v>
      </c>
      <c r="B24" t="s">
        <v>77</v>
      </c>
      <c r="C24" s="6" t="s">
        <v>133</v>
      </c>
      <c r="D24" t="s">
        <v>9</v>
      </c>
      <c r="E24" t="s">
        <v>10</v>
      </c>
      <c r="F24" t="s">
        <v>10</v>
      </c>
      <c r="G24" t="s">
        <v>108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46125</v>
      </c>
      <c r="B25" t="s">
        <v>77</v>
      </c>
      <c r="C25" s="6" t="s">
        <v>134</v>
      </c>
      <c r="D25" t="s">
        <v>12</v>
      </c>
      <c r="E25" t="s">
        <v>10</v>
      </c>
      <c r="F25" t="s">
        <v>10</v>
      </c>
      <c r="G25" t="s">
        <v>69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46125</v>
      </c>
      <c r="B26" t="s">
        <v>77</v>
      </c>
      <c r="C26" s="6" t="s">
        <v>135</v>
      </c>
      <c r="D26" t="s">
        <v>12</v>
      </c>
      <c r="E26" t="s">
        <v>28</v>
      </c>
      <c r="F26" t="s">
        <v>28</v>
      </c>
      <c r="G26" t="s">
        <v>115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5">
        <v>46125</v>
      </c>
      <c r="B27" t="s">
        <v>77</v>
      </c>
      <c r="C27" s="6" t="s">
        <v>136</v>
      </c>
      <c r="D27" t="s">
        <v>12</v>
      </c>
      <c r="E27" t="s">
        <v>10</v>
      </c>
      <c r="F27" t="s">
        <v>10</v>
      </c>
      <c r="G27" t="s">
        <v>96</v>
      </c>
      <c r="H27" t="s">
        <v>16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46125</v>
      </c>
      <c r="B28" t="s">
        <v>77</v>
      </c>
      <c r="C28" s="6" t="s">
        <v>137</v>
      </c>
      <c r="D28" t="s">
        <v>12</v>
      </c>
      <c r="E28" t="s">
        <v>14</v>
      </c>
      <c r="F28" t="s">
        <v>14</v>
      </c>
      <c r="G28" t="s">
        <v>87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46125</v>
      </c>
      <c r="B29" t="s">
        <v>77</v>
      </c>
      <c r="C29" s="6" t="s">
        <v>138</v>
      </c>
      <c r="D29" t="s">
        <v>12</v>
      </c>
      <c r="E29" t="s">
        <v>10</v>
      </c>
      <c r="F29" t="s">
        <v>10</v>
      </c>
      <c r="G29" t="s">
        <v>69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46125</v>
      </c>
      <c r="B30" t="s">
        <v>77</v>
      </c>
      <c r="C30" s="6" t="s">
        <v>139</v>
      </c>
      <c r="D30" t="s">
        <v>12</v>
      </c>
      <c r="E30" t="s">
        <v>30</v>
      </c>
      <c r="F30" t="s">
        <v>140</v>
      </c>
      <c r="G30" t="s">
        <v>141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5">
        <v>46125</v>
      </c>
      <c r="B31" t="s">
        <v>77</v>
      </c>
      <c r="C31" s="6" t="s">
        <v>142</v>
      </c>
      <c r="D31" t="s">
        <v>12</v>
      </c>
      <c r="E31" t="s">
        <v>17</v>
      </c>
      <c r="F31" t="s">
        <v>17</v>
      </c>
      <c r="G31" t="s">
        <v>143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46125</v>
      </c>
      <c r="B32" t="s">
        <v>71</v>
      </c>
      <c r="C32" s="6" t="s">
        <v>144</v>
      </c>
      <c r="D32" t="s">
        <v>12</v>
      </c>
      <c r="E32" t="s">
        <v>63</v>
      </c>
      <c r="F32" t="s">
        <v>63</v>
      </c>
      <c r="G32" t="s">
        <v>145</v>
      </c>
      <c r="H32" t="s">
        <v>16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5">
        <v>46125</v>
      </c>
      <c r="B33" t="s">
        <v>71</v>
      </c>
      <c r="C33" s="6" t="s">
        <v>146</v>
      </c>
      <c r="D33" t="s">
        <v>12</v>
      </c>
      <c r="E33" t="s">
        <v>10</v>
      </c>
      <c r="F33" t="s">
        <v>10</v>
      </c>
      <c r="G33" t="s">
        <v>147</v>
      </c>
      <c r="H33" t="s">
        <v>16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46125</v>
      </c>
      <c r="B34" t="s">
        <v>71</v>
      </c>
      <c r="C34" s="6" t="s">
        <v>148</v>
      </c>
      <c r="D34" t="s">
        <v>9</v>
      </c>
      <c r="E34" t="s">
        <v>10</v>
      </c>
      <c r="F34" t="s">
        <v>10</v>
      </c>
      <c r="G34" t="s">
        <v>69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45" x14ac:dyDescent="0.25">
      <c r="A35" s="5">
        <v>46125</v>
      </c>
      <c r="B35" t="s">
        <v>71</v>
      </c>
      <c r="C35" s="6" t="s">
        <v>149</v>
      </c>
      <c r="D35" t="s">
        <v>12</v>
      </c>
      <c r="E35" t="s">
        <v>10</v>
      </c>
      <c r="F35" t="s">
        <v>10</v>
      </c>
      <c r="G35" t="s">
        <v>69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46125</v>
      </c>
      <c r="B36" t="s">
        <v>72</v>
      </c>
      <c r="C36" s="6" t="s">
        <v>150</v>
      </c>
      <c r="D36" t="s">
        <v>13</v>
      </c>
      <c r="E36" t="s">
        <v>28</v>
      </c>
      <c r="F36" t="s">
        <v>28</v>
      </c>
      <c r="G36" t="s">
        <v>115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25">
      <c r="A37" s="5">
        <v>46125</v>
      </c>
      <c r="B37" t="s">
        <v>72</v>
      </c>
      <c r="C37" s="6" t="s">
        <v>151</v>
      </c>
      <c r="D37" t="s">
        <v>12</v>
      </c>
      <c r="E37" t="s">
        <v>37</v>
      </c>
      <c r="F37" t="s">
        <v>152</v>
      </c>
      <c r="G37" t="s">
        <v>153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46125</v>
      </c>
      <c r="B38" t="s">
        <v>72</v>
      </c>
      <c r="C38" s="6" t="s">
        <v>154</v>
      </c>
      <c r="D38" t="s">
        <v>12</v>
      </c>
      <c r="E38" t="s">
        <v>21</v>
      </c>
      <c r="F38" t="s">
        <v>21</v>
      </c>
      <c r="G38" t="s">
        <v>155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46125</v>
      </c>
      <c r="B39" t="s">
        <v>72</v>
      </c>
      <c r="C39" s="6" t="s">
        <v>156</v>
      </c>
      <c r="D39" t="s">
        <v>12</v>
      </c>
      <c r="E39" t="s">
        <v>17</v>
      </c>
      <c r="F39" t="s">
        <v>157</v>
      </c>
      <c r="G39" t="s">
        <v>158</v>
      </c>
      <c r="H39" t="s">
        <v>26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46125</v>
      </c>
      <c r="B40" t="s">
        <v>82</v>
      </c>
      <c r="C40" s="6" t="s">
        <v>159</v>
      </c>
      <c r="D40" t="s">
        <v>13</v>
      </c>
      <c r="E40" t="s">
        <v>57</v>
      </c>
      <c r="F40" t="s">
        <v>57</v>
      </c>
      <c r="G40" t="s">
        <v>110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5">
        <v>46125</v>
      </c>
      <c r="B41" t="s">
        <v>82</v>
      </c>
      <c r="C41" s="6" t="s">
        <v>160</v>
      </c>
      <c r="D41" t="s">
        <v>12</v>
      </c>
      <c r="E41" t="s">
        <v>21</v>
      </c>
      <c r="F41" t="s">
        <v>21</v>
      </c>
      <c r="G41" t="s">
        <v>155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5">
        <v>46125</v>
      </c>
      <c r="B42" t="s">
        <v>82</v>
      </c>
      <c r="C42" s="6" t="s">
        <v>161</v>
      </c>
      <c r="D42" t="s">
        <v>12</v>
      </c>
      <c r="E42" t="s">
        <v>14</v>
      </c>
      <c r="F42" t="s">
        <v>14</v>
      </c>
      <c r="G42" t="s">
        <v>162</v>
      </c>
      <c r="H42" t="s">
        <v>11</v>
      </c>
      <c r="I42" t="str">
        <f>_xlfn.XLOOKUP(Tabla1[[#This Row],[Dependencia]],Tabla2[Dependencia],Tabla2[Clasificación],"No indexado")</f>
        <v>Presidencia de la República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46125</v>
      </c>
      <c r="B43" t="s">
        <v>82</v>
      </c>
      <c r="C43" s="6" t="s">
        <v>163</v>
      </c>
      <c r="D43" t="s">
        <v>12</v>
      </c>
      <c r="E43" t="s">
        <v>10</v>
      </c>
      <c r="F43" t="s">
        <v>10</v>
      </c>
      <c r="G43" t="s">
        <v>88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46125</v>
      </c>
      <c r="B44" t="s">
        <v>82</v>
      </c>
      <c r="C44" s="6" t="s">
        <v>164</v>
      </c>
      <c r="D44" t="s">
        <v>12</v>
      </c>
      <c r="E44" t="s">
        <v>17</v>
      </c>
      <c r="F44" t="s">
        <v>17</v>
      </c>
      <c r="G44" t="s">
        <v>165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46125</v>
      </c>
      <c r="B45" t="s">
        <v>85</v>
      </c>
      <c r="C45" s="6" t="s">
        <v>166</v>
      </c>
      <c r="D45" t="s">
        <v>12</v>
      </c>
      <c r="E45" t="s">
        <v>37</v>
      </c>
      <c r="F45" t="s">
        <v>167</v>
      </c>
      <c r="G45" t="s">
        <v>91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46125</v>
      </c>
      <c r="B46" t="s">
        <v>85</v>
      </c>
      <c r="C46" s="6" t="s">
        <v>168</v>
      </c>
      <c r="D46" t="s">
        <v>12</v>
      </c>
      <c r="E46" t="s">
        <v>23</v>
      </c>
      <c r="F46" t="s">
        <v>23</v>
      </c>
      <c r="G46" t="s">
        <v>169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5">
        <v>46125</v>
      </c>
      <c r="B47" t="s">
        <v>85</v>
      </c>
      <c r="C47" s="6" t="s">
        <v>170</v>
      </c>
      <c r="D47" t="s">
        <v>12</v>
      </c>
      <c r="E47" t="s">
        <v>17</v>
      </c>
      <c r="F47" t="s">
        <v>84</v>
      </c>
      <c r="G47" t="s">
        <v>171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25">
      <c r="A48" s="5">
        <v>46125</v>
      </c>
      <c r="B48" t="s">
        <v>85</v>
      </c>
      <c r="C48" s="6" t="s">
        <v>172</v>
      </c>
      <c r="D48" t="s">
        <v>12</v>
      </c>
      <c r="E48" t="s">
        <v>61</v>
      </c>
      <c r="F48" t="s">
        <v>61</v>
      </c>
      <c r="G48" t="s">
        <v>173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46125</v>
      </c>
      <c r="B49" t="s">
        <v>85</v>
      </c>
      <c r="C49" s="6" t="s">
        <v>174</v>
      </c>
      <c r="D49" t="s">
        <v>12</v>
      </c>
      <c r="E49" t="s">
        <v>17</v>
      </c>
      <c r="F49" t="s">
        <v>17</v>
      </c>
      <c r="G49" t="s">
        <v>90</v>
      </c>
      <c r="H49" t="s">
        <v>16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46125</v>
      </c>
      <c r="B50" t="s">
        <v>85</v>
      </c>
      <c r="C50" s="6" t="s">
        <v>175</v>
      </c>
      <c r="D50" t="s">
        <v>12</v>
      </c>
      <c r="E50" t="s">
        <v>37</v>
      </c>
      <c r="F50" t="s">
        <v>37</v>
      </c>
      <c r="G50" t="s">
        <v>89</v>
      </c>
      <c r="H50" t="s">
        <v>26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46125</v>
      </c>
      <c r="B51" t="s">
        <v>85</v>
      </c>
      <c r="C51" s="6" t="s">
        <v>176</v>
      </c>
      <c r="D51" t="s">
        <v>12</v>
      </c>
      <c r="E51" t="s">
        <v>40</v>
      </c>
      <c r="F51" t="s">
        <v>40</v>
      </c>
      <c r="G51" t="s">
        <v>89</v>
      </c>
      <c r="H51" t="s">
        <v>26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25">
      <c r="A52" s="5">
        <v>46125</v>
      </c>
      <c r="B52" t="s">
        <v>85</v>
      </c>
      <c r="C52" s="6" t="s">
        <v>177</v>
      </c>
      <c r="D52" t="s">
        <v>12</v>
      </c>
      <c r="E52" t="s">
        <v>37</v>
      </c>
      <c r="F52" t="s">
        <v>37</v>
      </c>
      <c r="G52" t="s">
        <v>86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46125</v>
      </c>
      <c r="B53" t="s">
        <v>80</v>
      </c>
      <c r="C53" s="6" t="s">
        <v>178</v>
      </c>
      <c r="D53" t="s">
        <v>12</v>
      </c>
      <c r="E53" t="s">
        <v>25</v>
      </c>
      <c r="F53" t="s">
        <v>25</v>
      </c>
      <c r="G53" t="s">
        <v>86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5">
        <v>46125</v>
      </c>
      <c r="B54" t="s">
        <v>80</v>
      </c>
      <c r="C54" s="6" t="s">
        <v>179</v>
      </c>
      <c r="D54" t="s">
        <v>92</v>
      </c>
      <c r="E54" t="s">
        <v>23</v>
      </c>
      <c r="F54" t="s">
        <v>23</v>
      </c>
      <c r="G54" t="s">
        <v>180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46125</v>
      </c>
      <c r="B55" t="s">
        <v>80</v>
      </c>
      <c r="C55" s="6" t="s">
        <v>181</v>
      </c>
      <c r="D55" t="s">
        <v>12</v>
      </c>
      <c r="E55" t="s">
        <v>37</v>
      </c>
      <c r="F55" t="s">
        <v>182</v>
      </c>
      <c r="G55" t="s">
        <v>86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46125</v>
      </c>
      <c r="B56" t="s">
        <v>80</v>
      </c>
      <c r="C56" s="6" t="s">
        <v>183</v>
      </c>
      <c r="D56" t="s">
        <v>13</v>
      </c>
      <c r="E56" t="s">
        <v>25</v>
      </c>
      <c r="F56" t="s">
        <v>25</v>
      </c>
      <c r="G56" t="s">
        <v>184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ht="30" x14ac:dyDescent="0.25">
      <c r="A57" s="5">
        <v>46125</v>
      </c>
      <c r="B57" t="s">
        <v>80</v>
      </c>
      <c r="C57" s="6" t="s">
        <v>185</v>
      </c>
      <c r="D57" t="s">
        <v>12</v>
      </c>
      <c r="E57" t="s">
        <v>17</v>
      </c>
      <c r="F57" t="s">
        <v>17</v>
      </c>
      <c r="G57" t="s">
        <v>129</v>
      </c>
      <c r="H57" t="s">
        <v>26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46125</v>
      </c>
      <c r="B58" t="s">
        <v>80</v>
      </c>
      <c r="C58" s="6" t="s">
        <v>186</v>
      </c>
      <c r="D58" t="s">
        <v>12</v>
      </c>
      <c r="E58" t="s">
        <v>10</v>
      </c>
      <c r="F58" t="s">
        <v>10</v>
      </c>
      <c r="G58" t="s">
        <v>69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ht="30" x14ac:dyDescent="0.25">
      <c r="A59" s="5">
        <v>46125</v>
      </c>
      <c r="B59" t="s">
        <v>80</v>
      </c>
      <c r="C59" s="6" t="s">
        <v>187</v>
      </c>
      <c r="D59" t="s">
        <v>12</v>
      </c>
      <c r="E59" t="s">
        <v>17</v>
      </c>
      <c r="F59" t="s">
        <v>17</v>
      </c>
      <c r="G59" t="s">
        <v>158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46125</v>
      </c>
      <c r="B60" t="s">
        <v>80</v>
      </c>
      <c r="C60" s="6" t="s">
        <v>188</v>
      </c>
      <c r="D60" t="s">
        <v>12</v>
      </c>
      <c r="E60" t="s">
        <v>19</v>
      </c>
      <c r="F60" t="s">
        <v>19</v>
      </c>
      <c r="G60" t="s">
        <v>91</v>
      </c>
      <c r="H60" t="s">
        <v>11</v>
      </c>
      <c r="I60" t="str">
        <f>_xlfn.XLOOKUP(Tabla1[[#This Row],[Dependencia]],Tabla2[Dependencia],Tabla2[Clasificación],"No indexado")</f>
        <v>Partidos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46125</v>
      </c>
      <c r="B61" t="s">
        <v>80</v>
      </c>
      <c r="C61" s="6" t="s">
        <v>189</v>
      </c>
      <c r="D61" t="s">
        <v>12</v>
      </c>
      <c r="E61" t="s">
        <v>17</v>
      </c>
      <c r="F61" t="s">
        <v>157</v>
      </c>
      <c r="G61" t="s">
        <v>190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ht="30" x14ac:dyDescent="0.25">
      <c r="A62" s="5">
        <v>46125</v>
      </c>
      <c r="B62" t="s">
        <v>29</v>
      </c>
      <c r="C62" s="6" t="s">
        <v>191</v>
      </c>
      <c r="D62" t="s">
        <v>13</v>
      </c>
      <c r="E62" t="s">
        <v>23</v>
      </c>
      <c r="F62" t="s">
        <v>23</v>
      </c>
      <c r="G62" t="s">
        <v>169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5">
        <v>46125</v>
      </c>
      <c r="B63" t="s">
        <v>29</v>
      </c>
      <c r="C63" s="6" t="s">
        <v>192</v>
      </c>
      <c r="D63" t="s">
        <v>12</v>
      </c>
      <c r="E63" t="s">
        <v>28</v>
      </c>
      <c r="F63" t="s">
        <v>2</v>
      </c>
      <c r="G63" t="s">
        <v>115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5">
        <v>46125</v>
      </c>
      <c r="B64" t="s">
        <v>29</v>
      </c>
      <c r="C64" s="6" t="s">
        <v>193</v>
      </c>
      <c r="D64" t="s">
        <v>12</v>
      </c>
      <c r="E64" t="s">
        <v>23</v>
      </c>
      <c r="F64" t="s">
        <v>23</v>
      </c>
      <c r="G64" t="s">
        <v>169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5">
        <v>46125</v>
      </c>
      <c r="B65" t="s">
        <v>29</v>
      </c>
      <c r="C65" s="6" t="s">
        <v>194</v>
      </c>
      <c r="D65" t="s">
        <v>12</v>
      </c>
      <c r="E65" t="s">
        <v>21</v>
      </c>
      <c r="F65" t="s">
        <v>21</v>
      </c>
      <c r="G65" t="s">
        <v>155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5">
        <v>46125</v>
      </c>
      <c r="B66" t="s">
        <v>29</v>
      </c>
      <c r="C66" s="6" t="s">
        <v>195</v>
      </c>
      <c r="D66" t="s">
        <v>12</v>
      </c>
      <c r="E66" t="s">
        <v>17</v>
      </c>
      <c r="F66" t="s">
        <v>157</v>
      </c>
      <c r="G66" t="s">
        <v>190</v>
      </c>
      <c r="H66" t="s">
        <v>11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x14ac:dyDescent="0.25">
      <c r="A67" s="5">
        <v>46125</v>
      </c>
      <c r="B67" t="s">
        <v>29</v>
      </c>
      <c r="C67" s="6" t="s">
        <v>95</v>
      </c>
      <c r="D67" t="s">
        <v>78</v>
      </c>
      <c r="E67" t="s">
        <v>17</v>
      </c>
      <c r="F67" t="s">
        <v>17</v>
      </c>
      <c r="G67" t="s">
        <v>79</v>
      </c>
      <c r="H67" t="s">
        <v>11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x14ac:dyDescent="0.25">
      <c r="A68" s="5">
        <v>46125</v>
      </c>
      <c r="B68" t="s">
        <v>81</v>
      </c>
      <c r="C68" s="6" t="s">
        <v>196</v>
      </c>
      <c r="D68" t="s">
        <v>13</v>
      </c>
      <c r="E68" t="s">
        <v>37</v>
      </c>
      <c r="F68" t="s">
        <v>197</v>
      </c>
      <c r="G68" t="s">
        <v>198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  <row r="69" spans="1:10" x14ac:dyDescent="0.25">
      <c r="A69" s="5">
        <v>46125</v>
      </c>
      <c r="B69" t="s">
        <v>81</v>
      </c>
      <c r="C69" s="6" t="s">
        <v>199</v>
      </c>
      <c r="D69" t="s">
        <v>12</v>
      </c>
      <c r="E69" t="s">
        <v>10</v>
      </c>
      <c r="F69" t="s">
        <v>10</v>
      </c>
      <c r="G69" t="s">
        <v>96</v>
      </c>
      <c r="H69" t="s">
        <v>16</v>
      </c>
      <c r="I69" t="str">
        <f>_xlfn.XLOOKUP(Tabla1[[#This Row],[Dependencia]],Tabla2[Dependencia],Tabla2[Clasificación],"No indexado")</f>
        <v>Otros</v>
      </c>
      <c r="J69" t="str">
        <f>_xlfn.XLOOKUP(Tabla1[[#This Row],[Dependencia]],Tabla3[Dependencia],Tabla3[Nivel],"otros",0)</f>
        <v>otros</v>
      </c>
    </row>
    <row r="70" spans="1:10" x14ac:dyDescent="0.25">
      <c r="A70" s="5">
        <v>46125</v>
      </c>
      <c r="B70" t="s">
        <v>81</v>
      </c>
      <c r="C70" s="6" t="s">
        <v>200</v>
      </c>
      <c r="D70" t="s">
        <v>12</v>
      </c>
      <c r="E70" t="s">
        <v>28</v>
      </c>
      <c r="F70" t="s">
        <v>28</v>
      </c>
      <c r="G70" t="s">
        <v>115</v>
      </c>
      <c r="H70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Gabinete</v>
      </c>
    </row>
    <row r="71" spans="1:10" ht="30" x14ac:dyDescent="0.25">
      <c r="A71" s="5">
        <v>46125</v>
      </c>
      <c r="B71" t="s">
        <v>81</v>
      </c>
      <c r="C71" s="6" t="s">
        <v>201</v>
      </c>
      <c r="D71" t="s">
        <v>12</v>
      </c>
      <c r="E71" t="s">
        <v>17</v>
      </c>
      <c r="F71" t="s">
        <v>202</v>
      </c>
      <c r="G71" t="s">
        <v>203</v>
      </c>
      <c r="H71" t="s">
        <v>16</v>
      </c>
      <c r="I71" t="str">
        <f>_xlfn.XLOOKUP(Tabla1[[#This Row],[Dependencia]],Tabla2[Dependencia],Tabla2[Clasificación],"No indexado")</f>
        <v>Alcaldías</v>
      </c>
      <c r="J71" t="str">
        <f>_xlfn.XLOOKUP(Tabla1[[#This Row],[Dependencia]],Tabla3[Dependencia],Tabla3[Nivel],"otros",0)</f>
        <v>otros</v>
      </c>
    </row>
    <row r="72" spans="1:10" x14ac:dyDescent="0.25">
      <c r="A72" s="5">
        <v>46125</v>
      </c>
      <c r="B72" t="s">
        <v>81</v>
      </c>
      <c r="C72" s="6" t="s">
        <v>204</v>
      </c>
      <c r="D72" t="s">
        <v>12</v>
      </c>
      <c r="E72" t="s">
        <v>10</v>
      </c>
      <c r="F72" t="s">
        <v>10</v>
      </c>
      <c r="G72" t="s">
        <v>93</v>
      </c>
      <c r="H72" t="s">
        <v>11</v>
      </c>
      <c r="I72" t="str">
        <f>_xlfn.XLOOKUP(Tabla1[[#This Row],[Dependencia]],Tabla2[Dependencia],Tabla2[Clasificación],"No indexado")</f>
        <v>Otros</v>
      </c>
      <c r="J72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74</v>
      </c>
    </row>
    <row r="2" spans="1:5" x14ac:dyDescent="0.25">
      <c r="A2" t="s">
        <v>65</v>
      </c>
      <c r="B2" t="s">
        <v>66</v>
      </c>
      <c r="D2" s="10" t="s">
        <v>20</v>
      </c>
      <c r="E2" t="s">
        <v>75</v>
      </c>
    </row>
    <row r="3" spans="1:5" x14ac:dyDescent="0.25">
      <c r="A3" t="s">
        <v>17</v>
      </c>
      <c r="B3" t="s">
        <v>34</v>
      </c>
      <c r="D3" s="9" t="s">
        <v>36</v>
      </c>
      <c r="E3" t="s">
        <v>75</v>
      </c>
    </row>
    <row r="4" spans="1:5" x14ac:dyDescent="0.25">
      <c r="A4" t="s">
        <v>20</v>
      </c>
      <c r="B4" t="s">
        <v>35</v>
      </c>
      <c r="D4" s="9" t="s">
        <v>38</v>
      </c>
      <c r="E4" t="s">
        <v>75</v>
      </c>
    </row>
    <row r="5" spans="1:5" x14ac:dyDescent="0.25">
      <c r="A5" t="s">
        <v>64</v>
      </c>
      <c r="B5" t="s">
        <v>10</v>
      </c>
      <c r="D5" s="10" t="s">
        <v>31</v>
      </c>
      <c r="E5" t="s">
        <v>75</v>
      </c>
    </row>
    <row r="6" spans="1:5" x14ac:dyDescent="0.25">
      <c r="A6" t="s">
        <v>36</v>
      </c>
      <c r="B6" t="s">
        <v>35</v>
      </c>
      <c r="D6" s="10" t="s">
        <v>39</v>
      </c>
      <c r="E6" t="s">
        <v>75</v>
      </c>
    </row>
    <row r="7" spans="1:5" x14ac:dyDescent="0.25">
      <c r="A7" t="s">
        <v>37</v>
      </c>
      <c r="B7" t="s">
        <v>10</v>
      </c>
      <c r="D7" s="9" t="s">
        <v>40</v>
      </c>
      <c r="E7" t="s">
        <v>75</v>
      </c>
    </row>
    <row r="8" spans="1:5" x14ac:dyDescent="0.25">
      <c r="A8" t="s">
        <v>38</v>
      </c>
      <c r="B8" t="s">
        <v>35</v>
      </c>
      <c r="D8" s="9" t="s">
        <v>40</v>
      </c>
      <c r="E8" t="s">
        <v>75</v>
      </c>
    </row>
    <row r="9" spans="1:5" x14ac:dyDescent="0.25">
      <c r="A9" t="s">
        <v>31</v>
      </c>
      <c r="B9" t="s">
        <v>35</v>
      </c>
      <c r="D9" s="9" t="s">
        <v>41</v>
      </c>
      <c r="E9" t="s">
        <v>75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75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75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75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75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75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75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75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75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75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75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75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75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75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75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75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75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75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2026-04-13T15:24:36Z</dcterms:modified>
</cp:coreProperties>
</file>