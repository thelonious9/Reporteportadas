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36002D88-8E1D-45CA-AF85-E0FD2BF5B55C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I2" i="1"/>
  <c r="J2" i="1"/>
</calcChain>
</file>

<file path=xl/sharedStrings.xml><?xml version="1.0" encoding="utf-8"?>
<sst xmlns="http://schemas.openxmlformats.org/spreadsheetml/2006/main" count="580" uniqueCount="185">
  <si>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</si>
  <si>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</si>
  <si>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</si>
  <si>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</si>
  <si>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</si>
  <si>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</si>
  <si>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</si>
  <si>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</si>
  <si>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</si>
  <si>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</si>
  <si>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</si>
  <si>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</si>
  <si>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</si>
  <si>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</si>
  <si>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</si>
  <si>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</si>
  <si>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</si>
  <si>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</si>
  <si>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</si>
  <si>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</si>
  <si>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</si>
  <si>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</si>
  <si>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</si>
  <si>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</si>
  <si>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</si>
  <si>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</si>
  <si>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</si>
  <si>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</si>
  <si>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</si>
  <si>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</si>
  <si>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</si>
  <si>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</si>
  <si>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</si>
  <si>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</si>
  <si>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</si>
  <si>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</si>
  <si>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</si>
  <si>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</si>
  <si>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</si>
  <si>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</si>
  <si>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</si>
  <si>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</si>
  <si>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</si>
  <si>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</si>
  <si>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</si>
  <si>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</si>
  <si>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</si>
  <si>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</si>
  <si>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</si>
  <si>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</si>
  <si>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</si>
  <si>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</si>
  <si>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</si>
  <si>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</si>
  <si>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</si>
  <si>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</si>
  <si>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</si>
  <si>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</si>
  <si>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</si>
  <si>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</si>
  <si>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</si>
  <si>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</si>
  <si>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</si>
  <si>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</si>
  <si>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</si>
  <si>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</si>
  <si>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</si>
  <si>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</si>
  <si>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</si>
  <si>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</si>
  <si>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</si>
  <si>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La Jornada Hidalgo</t>
  </si>
  <si>
    <t>Deportes</t>
  </si>
  <si>
    <t>Negativa</t>
  </si>
  <si>
    <t>Alcalde</t>
  </si>
  <si>
    <t>Zunoticia</t>
  </si>
  <si>
    <t>Sipdus</t>
  </si>
  <si>
    <t>Aumento Tarifa De Transporte</t>
  </si>
  <si>
    <t>INAH</t>
  </si>
  <si>
    <t>Criterio</t>
  </si>
  <si>
    <t>Temas internacionales</t>
  </si>
  <si>
    <t>Effetá</t>
  </si>
  <si>
    <t>Editorial</t>
  </si>
  <si>
    <t>PC</t>
  </si>
  <si>
    <t>Modernización Tuzobús</t>
  </si>
  <si>
    <t>Sitmah</t>
  </si>
  <si>
    <t>Medio ambiente</t>
  </si>
  <si>
    <t>BTS visita Palacio Nacional</t>
  </si>
  <si>
    <t>Relación bilateral</t>
  </si>
  <si>
    <t>Credencial para votar, puedes hacer el trámite desde casa</t>
  </si>
  <si>
    <t>Credencialización</t>
  </si>
  <si>
    <t>Exigen solución a mosco Culex y lirio acuático</t>
  </si>
  <si>
    <t>Conagua</t>
  </si>
  <si>
    <t>Presa Endhó</t>
  </si>
  <si>
    <t>Realizan con éxito simulacro</t>
  </si>
  <si>
    <t>Simulacro Sismo</t>
  </si>
  <si>
    <t>Pega el cáncer a más jóvenes en Hidalgo</t>
  </si>
  <si>
    <t>IMSS</t>
  </si>
  <si>
    <t>Cáncer De Mama</t>
  </si>
  <si>
    <t>Ya cobran pasaje con el aumento</t>
  </si>
  <si>
    <t>El Universal Hidalgo</t>
  </si>
  <si>
    <t>Calurosa bienvenida al grupo BTS</t>
  </si>
  <si>
    <t>Simulacro nacional 2026</t>
  </si>
  <si>
    <t>Pemex dona a Hidalgo maquinaria para limpieza de presa</t>
  </si>
  <si>
    <t>Donación Pemex</t>
  </si>
  <si>
    <t>Alistan crédito global tras vaguada</t>
  </si>
  <si>
    <t>Huracán Priscilla</t>
  </si>
  <si>
    <t>Bares no podrán extender horarios</t>
  </si>
  <si>
    <t>Mundial De Futbol</t>
  </si>
  <si>
    <t>Habilitan nueva celda en relleno de Tula</t>
  </si>
  <si>
    <t>Relleno Sanitario</t>
  </si>
  <si>
    <t>Sin tarifario y a pesar del aumento, el pasaje, en $10</t>
  </si>
  <si>
    <t>Se reforzarán seguridad en varios sitios arqueológicos</t>
  </si>
  <si>
    <t>Zona Arqueológica</t>
  </si>
  <si>
    <t>Nueva celda tiene un año de vida útil: Semarnath</t>
  </si>
  <si>
    <t>Presenta JMS una propuesta para la nueva ley de notarios</t>
  </si>
  <si>
    <t>Iniciativa</t>
  </si>
  <si>
    <t>Nueva batalla por la final</t>
  </si>
  <si>
    <t>Hidalgo se suma al simulacro nacional</t>
  </si>
  <si>
    <t>Las denuncias por extorsión se redujeron 42% en un año</t>
  </si>
  <si>
    <t>Combate a la extorsión</t>
  </si>
  <si>
    <t>EU alerta que se hará cargo si hay un país que no puede con el narco... ""o no quiere""</t>
  </si>
  <si>
    <t>El Ejecutivo envía iniciativa de ley para regular la entrega de fiats</t>
  </si>
  <si>
    <t>Entra en vigor nueva tarifa de transporte</t>
  </si>
  <si>
    <t>Otorga IMPI distintivo al chile rayado</t>
  </si>
  <si>
    <t>IMPI</t>
  </si>
  <si>
    <t>Denominación de origen</t>
  </si>
  <si>
    <t>K-Pop. Prende BTS desde un balcón de Palacio</t>
  </si>
  <si>
    <t>Hay tres nuevos casos de miasis en humanos</t>
  </si>
  <si>
    <t>Salud</t>
  </si>
  <si>
    <t>Gusano barrenador</t>
  </si>
  <si>
    <t>Buscan aliviar deudas de productores</t>
  </si>
  <si>
    <t>Apoyo Al Agro</t>
  </si>
  <si>
    <t>Otra amenaza de Trump para intervenir en México</t>
  </si>
  <si>
    <t>Bloquean el tren   México-Querétaro  ante crisis por mosco</t>
  </si>
  <si>
    <t>Tren México Querétaro</t>
  </si>
  <si>
    <t>Promesa cumplida: BTS en Palacio Nacional</t>
  </si>
  <si>
    <t>A veces da risa. Y a veces preocupa. Porque una cosa es criticar al  gobierno —que claro que se debe hacer— y otra muy distinta es aplaudir  cualquier cosa que venga de Estados Unidos nomás porque sirve para  pegarle a la 4T”.</t>
  </si>
  <si>
    <t>Síntesis</t>
  </si>
  <si>
    <t>Recibe Hidalgo donación de Pemex por 84.6 mdp</t>
  </si>
  <si>
    <t>Entra en vigor aumento al pasaje del transporte público colectivo</t>
  </si>
  <si>
    <t>Triunfa universitario hidalguense en competencia nacional de ciclismo</t>
  </si>
  <si>
    <t>Justa Deportiva</t>
  </si>
  <si>
    <t>Alistan primera Feria del Taco  en Pachuca; pretenden romper  récord Guinness</t>
  </si>
  <si>
    <t>Festival Gastronómico</t>
  </si>
  <si>
    <t>Arrancan en Yahualica las Rutas de la Transformación</t>
  </si>
  <si>
    <t>Ruta de la Transformación</t>
  </si>
  <si>
    <t>Realizan primer simulacro nacional en el Hospital Regional de la Huasteca</t>
  </si>
  <si>
    <t>Reducirán días de permanencia de comerciantes en el Centro Histórico</t>
  </si>
  <si>
    <t>Ambulantaje</t>
  </si>
  <si>
    <t>Parque Ecológico se alista para recibir visitantes por el Día de las Madres</t>
  </si>
  <si>
    <t>Día de las Madres</t>
  </si>
  <si>
    <t>Anuncia Edda Vite mejoras a los Centros de Rehabilitación Integral Regional en Hidalgo</t>
  </si>
  <si>
    <t>CAIC</t>
  </si>
  <si>
    <t>Pemex inyecta 84.6 millones a Hidalgo</t>
  </si>
  <si>
    <t>Advierte Menchaca a taxistas: no hay autorización para subir tarifas</t>
  </si>
  <si>
    <t>Abusos taxistas</t>
  </si>
  <si>
    <t>INAH coloca sellos de suspensión en luminarias instaladas por Sipdus frente a la Casa Rule</t>
  </si>
  <si>
    <t>Luminarias</t>
  </si>
  <si>
    <t>Alertan por falsos notarios en Hidalgo</t>
  </si>
  <si>
    <t>Notarías</t>
  </si>
  <si>
    <t>¡Hartazgo en la presa Endhó!</t>
  </si>
  <si>
    <t>Anuncia Edda Vite mejoras para centros de rehabilitación</t>
  </si>
  <si>
    <t>Marfeca</t>
  </si>
  <si>
    <t>Pachuca y Conafor unen fuerzas contra plaga que amenaza árboles</t>
  </si>
  <si>
    <t>Control de plagas</t>
  </si>
  <si>
    <t>Gobierno de Hidalgo y Pemex consolidan alianza para el fortalecimiento de servicios públicos</t>
  </si>
  <si>
    <t>SNTE Hidalgo reconoce a las mujeres del magisterio</t>
  </si>
  <si>
    <t>Día del maestro</t>
  </si>
  <si>
    <t>Gobierno de Hidalgo participa en el Primer Simulacro Nacional 2026</t>
  </si>
  <si>
    <t>Con éxito se llevó a cabo el Primer Simulacro nacional en Tlaxcoapan</t>
  </si>
  <si>
    <t>Participa Atitalaquia en simulacro</t>
  </si>
  <si>
    <t>En Tlahuelilpan realizan Capacitación regional sobre el Gusano Barrenador</t>
  </si>
  <si>
    <t>Han llegado 38 de 80 nuevas unidades para Tuzobús; gobierno prevé licitar otras 40</t>
  </si>
  <si>
    <t>Gobierno de Hidalgo cobra renta al Club Pachuca por Museo del Fútbol y estadio Hidalgo</t>
  </si>
  <si>
    <t>Estadio Hidalgo</t>
  </si>
  <si>
    <t>Cristhian Martínez entrega obras en las comunidades de Nantzha y San Andres Tultepec</t>
  </si>
  <si>
    <t>Entrega de obra</t>
  </si>
  <si>
    <t>Plaza Juárez</t>
  </si>
  <si>
    <t>Entra en vigor nueva tarifa del transporte público</t>
  </si>
  <si>
    <t>Pachuca va por un nuevo récord Guinness</t>
  </si>
  <si>
    <t>Van nuevos cargos del gobierno de EU contra más pollticos mexicanos involucrados con los narcos: Trump está decidido a ir por todos los implicados, n tanto muchos polticos deben estar temblando, no hay duda ...</t>
  </si>
  <si>
    <t>oitros</t>
  </si>
  <si>
    <t>Hidalgo participó en Simulacro Nacional 2026</t>
  </si>
  <si>
    <t>"Si México no hace su trabajo, nosotros lo haremos"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</si>
</sst>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1" totalsRowShown="0" headerRowDxfId="5" headerRowBorderDxfId="4">
  <autoFilter ref="A1:J61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1"/>
  <sheetViews>
    <sheetView tabSelected="1" workbookViewId="0">
      <selection activeCell="A2" sqref="A2:H61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25">
      <c r="A2" s="5">
        <v>46149</v>
      </c>
      <c r="B2" t="s">
        <v>69</v>
      </c>
      <c r="C2" s="6" t="s">
        <v>87</v>
      </c>
      <c r="D2" t="s">
        <v>12</v>
      </c>
      <c r="E2" t="s">
        <v>14</v>
      </c>
      <c r="F2" t="s">
        <v>14</v>
      </c>
      <c r="G2" t="s">
        <v>88</v>
      </c>
      <c r="H2" t="s">
        <v>11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ht="30" x14ac:dyDescent="0.25">
      <c r="A3" s="5">
        <v>46149</v>
      </c>
      <c r="B3" t="s">
        <v>69</v>
      </c>
      <c r="C3" s="6" t="s">
        <v>89</v>
      </c>
      <c r="D3" t="s">
        <v>12</v>
      </c>
      <c r="E3" t="s">
        <v>10</v>
      </c>
      <c r="F3" t="s">
        <v>10</v>
      </c>
      <c r="G3" t="s">
        <v>90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46149</v>
      </c>
      <c r="B4" t="s">
        <v>69</v>
      </c>
      <c r="C4" s="6" t="s">
        <v>91</v>
      </c>
      <c r="D4" t="s">
        <v>9</v>
      </c>
      <c r="E4" t="s">
        <v>14</v>
      </c>
      <c r="F4" t="s">
        <v>92</v>
      </c>
      <c r="G4" t="s">
        <v>93</v>
      </c>
      <c r="H4" t="s">
        <v>73</v>
      </c>
      <c r="I4" t="str">
        <f>_xlfn.XLOOKUP(Tabla1[[#This Row],[Dependencia]],Tabla2[Dependencia],Tabla2[Clasificación],"No indexado")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46149</v>
      </c>
      <c r="B5" t="s">
        <v>69</v>
      </c>
      <c r="C5" s="6" t="s">
        <v>94</v>
      </c>
      <c r="D5" t="s">
        <v>12</v>
      </c>
      <c r="E5" t="s">
        <v>23</v>
      </c>
      <c r="F5" t="s">
        <v>83</v>
      </c>
      <c r="G5" t="s">
        <v>95</v>
      </c>
      <c r="H5" t="s">
        <v>11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5">
        <v>46149</v>
      </c>
      <c r="B6" t="s">
        <v>69</v>
      </c>
      <c r="C6" s="6" t="s">
        <v>96</v>
      </c>
      <c r="D6" t="s">
        <v>13</v>
      </c>
      <c r="E6" t="s">
        <v>14</v>
      </c>
      <c r="F6" t="s">
        <v>97</v>
      </c>
      <c r="G6" t="s">
        <v>98</v>
      </c>
      <c r="H6" t="s">
        <v>11</v>
      </c>
      <c r="I6" t="str">
        <f>_xlfn.XLOOKUP(Tabla1[[#This Row],[Dependencia]],Tabla2[Dependencia],Tabla2[Clasificación],"No indexado")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46149</v>
      </c>
      <c r="B7" t="s">
        <v>69</v>
      </c>
      <c r="C7" s="6" t="s">
        <v>99</v>
      </c>
      <c r="D7" t="s">
        <v>12</v>
      </c>
      <c r="E7" t="s">
        <v>27</v>
      </c>
      <c r="F7" t="s">
        <v>27</v>
      </c>
      <c r="G7" t="s">
        <v>77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5">
        <v>46149</v>
      </c>
      <c r="B8" t="s">
        <v>100</v>
      </c>
      <c r="C8" s="6" t="s">
        <v>101</v>
      </c>
      <c r="D8" t="s">
        <v>12</v>
      </c>
      <c r="E8" t="s">
        <v>14</v>
      </c>
      <c r="F8" t="s">
        <v>14</v>
      </c>
      <c r="G8" t="s">
        <v>88</v>
      </c>
      <c r="H8" t="s">
        <v>11</v>
      </c>
      <c r="I8" t="str">
        <f>_xlfn.XLOOKUP(Tabla1[[#This Row],[Dependencia]],Tabla2[Dependencia],Tabla2[Clasificación],"No indexado")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46149</v>
      </c>
      <c r="B9" t="s">
        <v>100</v>
      </c>
      <c r="C9" s="6" t="s">
        <v>102</v>
      </c>
      <c r="D9" t="s">
        <v>9</v>
      </c>
      <c r="E9" t="s">
        <v>24</v>
      </c>
      <c r="F9" t="s">
        <v>24</v>
      </c>
      <c r="G9" t="s">
        <v>95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Gobernador</v>
      </c>
    </row>
    <row r="10" spans="1:10" ht="30" x14ac:dyDescent="0.25">
      <c r="A10" s="5">
        <v>46149</v>
      </c>
      <c r="B10" t="s">
        <v>100</v>
      </c>
      <c r="C10" s="6" t="s">
        <v>103</v>
      </c>
      <c r="D10" t="s">
        <v>13</v>
      </c>
      <c r="E10" t="s">
        <v>24</v>
      </c>
      <c r="F10" t="s">
        <v>24</v>
      </c>
      <c r="G10" t="s">
        <v>104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25">
      <c r="A11" s="5">
        <v>46149</v>
      </c>
      <c r="B11" t="s">
        <v>100</v>
      </c>
      <c r="C11" s="6" t="s">
        <v>105</v>
      </c>
      <c r="D11" t="s">
        <v>12</v>
      </c>
      <c r="E11" t="s">
        <v>34</v>
      </c>
      <c r="F11" t="s">
        <v>34</v>
      </c>
      <c r="G11" t="s">
        <v>106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46149</v>
      </c>
      <c r="B12" t="s">
        <v>100</v>
      </c>
      <c r="C12" s="6" t="s">
        <v>107</v>
      </c>
      <c r="D12" t="s">
        <v>12</v>
      </c>
      <c r="E12" t="s">
        <v>16</v>
      </c>
      <c r="F12" t="s">
        <v>16</v>
      </c>
      <c r="G12" t="s">
        <v>108</v>
      </c>
      <c r="H12" t="s">
        <v>11</v>
      </c>
      <c r="I12" t="str">
        <f>_xlfn.XLOOKUP(Tabla1[[#This Row],[Dependencia]],Tabla2[Dependencia],Tabla2[Clasificación],"No indexado")</f>
        <v>Alcaldías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46149</v>
      </c>
      <c r="B13" t="s">
        <v>100</v>
      </c>
      <c r="C13" s="6" t="s">
        <v>109</v>
      </c>
      <c r="D13" t="s">
        <v>12</v>
      </c>
      <c r="E13" t="s">
        <v>20</v>
      </c>
      <c r="F13" t="s">
        <v>20</v>
      </c>
      <c r="G13" t="s">
        <v>110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5">
        <v>46149</v>
      </c>
      <c r="B14" t="s">
        <v>79</v>
      </c>
      <c r="C14" s="6" t="s">
        <v>111</v>
      </c>
      <c r="D14" t="s">
        <v>12</v>
      </c>
      <c r="E14" t="s">
        <v>27</v>
      </c>
      <c r="F14" t="s">
        <v>27</v>
      </c>
      <c r="G14" t="s">
        <v>77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5">
        <v>46149</v>
      </c>
      <c r="B15" t="s">
        <v>79</v>
      </c>
      <c r="C15" s="6" t="s">
        <v>112</v>
      </c>
      <c r="D15" t="s">
        <v>12</v>
      </c>
      <c r="E15" t="s">
        <v>14</v>
      </c>
      <c r="F15" t="s">
        <v>78</v>
      </c>
      <c r="G15" t="s">
        <v>113</v>
      </c>
      <c r="H15" t="s">
        <v>11</v>
      </c>
      <c r="I15" t="str">
        <f>_xlfn.XLOOKUP(Tabla1[[#This Row],[Dependencia]],Tabla2[Dependencia],Tabla2[Clasificación],"No indexado")</f>
        <v>Presidencia de la República</v>
      </c>
      <c r="J15" t="str">
        <f>_xlfn.XLOOKUP(Tabla1[[#This Row],[Dependencia]],Tabla3[Dependencia],Tabla3[Nivel],"otros",0)</f>
        <v>otros</v>
      </c>
    </row>
    <row r="16" spans="1:10" x14ac:dyDescent="0.25">
      <c r="A16" s="5">
        <v>46149</v>
      </c>
      <c r="B16" t="s">
        <v>79</v>
      </c>
      <c r="C16" s="6" t="s">
        <v>114</v>
      </c>
      <c r="D16" t="s">
        <v>12</v>
      </c>
      <c r="E16" t="s">
        <v>20</v>
      </c>
      <c r="F16" t="s">
        <v>20</v>
      </c>
      <c r="G16" t="s">
        <v>110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5">
        <v>46149</v>
      </c>
      <c r="B17" t="s">
        <v>79</v>
      </c>
      <c r="C17" s="6" t="s">
        <v>115</v>
      </c>
      <c r="D17" t="s">
        <v>13</v>
      </c>
      <c r="E17" t="s">
        <v>24</v>
      </c>
      <c r="F17" t="s">
        <v>24</v>
      </c>
      <c r="G17" t="s">
        <v>116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Gobernador</v>
      </c>
    </row>
    <row r="18" spans="1:10" x14ac:dyDescent="0.25">
      <c r="A18" s="5">
        <v>46149</v>
      </c>
      <c r="B18" t="s">
        <v>79</v>
      </c>
      <c r="C18" s="6" t="s">
        <v>117</v>
      </c>
      <c r="D18" t="s">
        <v>12</v>
      </c>
      <c r="E18" t="s">
        <v>10</v>
      </c>
      <c r="F18" t="s">
        <v>10</v>
      </c>
      <c r="G18" t="s">
        <v>72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5">
        <v>46149</v>
      </c>
      <c r="B19" t="s">
        <v>79</v>
      </c>
      <c r="C19" s="6" t="s">
        <v>118</v>
      </c>
      <c r="D19" t="s">
        <v>9</v>
      </c>
      <c r="E19" t="s">
        <v>24</v>
      </c>
      <c r="F19" t="s">
        <v>24</v>
      </c>
      <c r="G19" t="s">
        <v>95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Gobernador</v>
      </c>
    </row>
    <row r="20" spans="1:10" ht="30" x14ac:dyDescent="0.25">
      <c r="A20" s="5">
        <v>46149</v>
      </c>
      <c r="B20" t="s">
        <v>68</v>
      </c>
      <c r="C20" s="6" t="s">
        <v>119</v>
      </c>
      <c r="D20" t="s">
        <v>13</v>
      </c>
      <c r="E20" t="s">
        <v>22</v>
      </c>
      <c r="F20" t="s">
        <v>22</v>
      </c>
      <c r="G20" t="s">
        <v>120</v>
      </c>
      <c r="H20" t="s">
        <v>70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5">
        <v>46149</v>
      </c>
      <c r="B21" t="s">
        <v>68</v>
      </c>
      <c r="C21" s="6" t="s">
        <v>121</v>
      </c>
      <c r="D21" t="s">
        <v>12</v>
      </c>
      <c r="E21" t="s">
        <v>10</v>
      </c>
      <c r="F21" t="s">
        <v>10</v>
      </c>
      <c r="G21" t="s">
        <v>80</v>
      </c>
      <c r="H21" t="s">
        <v>73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ht="30" x14ac:dyDescent="0.25">
      <c r="A22" s="5">
        <v>46149</v>
      </c>
      <c r="B22" t="s">
        <v>68</v>
      </c>
      <c r="C22" s="6" t="s">
        <v>122</v>
      </c>
      <c r="D22" t="s">
        <v>12</v>
      </c>
      <c r="E22" t="s">
        <v>24</v>
      </c>
      <c r="F22" t="s">
        <v>24</v>
      </c>
      <c r="G22" t="s">
        <v>116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Gobernador</v>
      </c>
    </row>
    <row r="23" spans="1:10" x14ac:dyDescent="0.25">
      <c r="A23" s="5">
        <v>46149</v>
      </c>
      <c r="B23" t="s">
        <v>68</v>
      </c>
      <c r="C23" s="6" t="s">
        <v>123</v>
      </c>
      <c r="D23" t="s">
        <v>12</v>
      </c>
      <c r="E23" t="s">
        <v>27</v>
      </c>
      <c r="F23" t="s">
        <v>27</v>
      </c>
      <c r="G23" t="s">
        <v>77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5">
        <v>46149</v>
      </c>
      <c r="B24" t="s">
        <v>68</v>
      </c>
      <c r="C24" s="6" t="s">
        <v>124</v>
      </c>
      <c r="D24" t="s">
        <v>12</v>
      </c>
      <c r="E24" t="s">
        <v>14</v>
      </c>
      <c r="F24" t="s">
        <v>125</v>
      </c>
      <c r="G24" t="s">
        <v>126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46149</v>
      </c>
      <c r="B25" t="s">
        <v>68</v>
      </c>
      <c r="C25" s="6" t="s">
        <v>127</v>
      </c>
      <c r="D25" t="s">
        <v>9</v>
      </c>
      <c r="E25" t="s">
        <v>14</v>
      </c>
      <c r="F25" t="s">
        <v>14</v>
      </c>
      <c r="G25" t="s">
        <v>88</v>
      </c>
      <c r="H25" t="s">
        <v>11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46149</v>
      </c>
      <c r="B26" t="s">
        <v>71</v>
      </c>
      <c r="C26" s="6" t="s">
        <v>128</v>
      </c>
      <c r="D26" t="s">
        <v>12</v>
      </c>
      <c r="E26" t="s">
        <v>14</v>
      </c>
      <c r="F26" t="s">
        <v>129</v>
      </c>
      <c r="G26" t="s">
        <v>130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25">
      <c r="A27" s="5">
        <v>46149</v>
      </c>
      <c r="B27" t="s">
        <v>71</v>
      </c>
      <c r="C27" s="6" t="s">
        <v>131</v>
      </c>
      <c r="D27" t="s">
        <v>12</v>
      </c>
      <c r="E27" t="s">
        <v>14</v>
      </c>
      <c r="F27" t="s">
        <v>14</v>
      </c>
      <c r="G27" t="s">
        <v>132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46149</v>
      </c>
      <c r="B28" t="s">
        <v>71</v>
      </c>
      <c r="C28" s="6" t="s">
        <v>133</v>
      </c>
      <c r="D28" t="s">
        <v>12</v>
      </c>
      <c r="E28" t="s">
        <v>10</v>
      </c>
      <c r="F28" t="s">
        <v>10</v>
      </c>
      <c r="G28" t="s">
        <v>80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46149</v>
      </c>
      <c r="B29" t="s">
        <v>71</v>
      </c>
      <c r="C29" s="6" t="s">
        <v>134</v>
      </c>
      <c r="D29" t="s">
        <v>13</v>
      </c>
      <c r="E29" t="s">
        <v>14</v>
      </c>
      <c r="F29" t="s">
        <v>14</v>
      </c>
      <c r="G29" t="s">
        <v>135</v>
      </c>
      <c r="H29" t="s">
        <v>73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25">
      <c r="A30" s="5">
        <v>46149</v>
      </c>
      <c r="B30" t="s">
        <v>71</v>
      </c>
      <c r="C30" s="6" t="s">
        <v>136</v>
      </c>
      <c r="D30" t="s">
        <v>9</v>
      </c>
      <c r="E30" t="s">
        <v>14</v>
      </c>
      <c r="F30" t="s">
        <v>14</v>
      </c>
      <c r="G30" t="s">
        <v>88</v>
      </c>
      <c r="H30" t="s">
        <v>11</v>
      </c>
      <c r="I30" t="str">
        <f>_xlfn.XLOOKUP(Tabla1[[#This Row],[Dependencia]],Tabla2[Dependencia],Tabla2[Clasificación],"No indexado")</f>
        <v>Presidencia de la República</v>
      </c>
      <c r="J30" t="str">
        <f>_xlfn.XLOOKUP(Tabla1[[#This Row],[Dependencia]],Tabla3[Dependencia],Tabla3[Nivel],"otros",0)</f>
        <v>otros</v>
      </c>
    </row>
    <row r="31" spans="1:10" ht="75" x14ac:dyDescent="0.25">
      <c r="A31" s="5">
        <v>46149</v>
      </c>
      <c r="B31" t="s">
        <v>71</v>
      </c>
      <c r="C31" s="6" t="s">
        <v>137</v>
      </c>
      <c r="D31" t="s">
        <v>12</v>
      </c>
      <c r="E31" t="s">
        <v>14</v>
      </c>
      <c r="F31" t="s">
        <v>14</v>
      </c>
      <c r="G31" t="s">
        <v>80</v>
      </c>
      <c r="H31" t="s">
        <v>11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x14ac:dyDescent="0.25">
      <c r="A32" s="5">
        <v>46149</v>
      </c>
      <c r="B32" t="s">
        <v>138</v>
      </c>
      <c r="C32" s="6" t="s">
        <v>139</v>
      </c>
      <c r="D32" t="s">
        <v>13</v>
      </c>
      <c r="E32" t="s">
        <v>24</v>
      </c>
      <c r="F32" t="s">
        <v>24</v>
      </c>
      <c r="G32" t="s">
        <v>104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ht="30" x14ac:dyDescent="0.25">
      <c r="A33" s="5">
        <v>46149</v>
      </c>
      <c r="B33" t="s">
        <v>138</v>
      </c>
      <c r="C33" s="6" t="s">
        <v>140</v>
      </c>
      <c r="D33" t="s">
        <v>12</v>
      </c>
      <c r="E33" t="s">
        <v>27</v>
      </c>
      <c r="F33" t="s">
        <v>27</v>
      </c>
      <c r="G33" t="s">
        <v>77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5">
        <v>46149</v>
      </c>
      <c r="B34" t="s">
        <v>138</v>
      </c>
      <c r="C34" s="6" t="s">
        <v>141</v>
      </c>
      <c r="D34" t="s">
        <v>12</v>
      </c>
      <c r="E34" t="s">
        <v>26</v>
      </c>
      <c r="F34" t="s">
        <v>26</v>
      </c>
      <c r="G34" t="s">
        <v>142</v>
      </c>
      <c r="H34" t="s">
        <v>70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46149</v>
      </c>
      <c r="B35" t="s">
        <v>138</v>
      </c>
      <c r="C35" s="6" t="s">
        <v>143</v>
      </c>
      <c r="D35" t="s">
        <v>12</v>
      </c>
      <c r="E35" t="s">
        <v>16</v>
      </c>
      <c r="F35" t="s">
        <v>16</v>
      </c>
      <c r="G35" t="s">
        <v>144</v>
      </c>
      <c r="H35" t="s">
        <v>11</v>
      </c>
      <c r="I35" t="str">
        <f>_xlfn.XLOOKUP(Tabla1[[#This Row],[Dependencia]],Tabla2[Dependencia],Tabla2[Clasificación],"No indexado")</f>
        <v>Alcaldías</v>
      </c>
      <c r="J35" t="str">
        <f>_xlfn.XLOOKUP(Tabla1[[#This Row],[Dependencia]],Tabla3[Dependencia],Tabla3[Nivel],"otros",0)</f>
        <v>otros</v>
      </c>
    </row>
    <row r="36" spans="1:10" x14ac:dyDescent="0.25">
      <c r="A36" s="5">
        <v>46149</v>
      </c>
      <c r="B36" t="s">
        <v>75</v>
      </c>
      <c r="C36" s="6" t="s">
        <v>145</v>
      </c>
      <c r="D36" t="s">
        <v>13</v>
      </c>
      <c r="E36" t="s">
        <v>24</v>
      </c>
      <c r="F36" t="s">
        <v>24</v>
      </c>
      <c r="G36" t="s">
        <v>146</v>
      </c>
      <c r="H36" t="s">
        <v>70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ht="30" x14ac:dyDescent="0.25">
      <c r="A37" s="5">
        <v>46149</v>
      </c>
      <c r="B37" t="s">
        <v>75</v>
      </c>
      <c r="C37" s="6" t="s">
        <v>147</v>
      </c>
      <c r="D37" t="s">
        <v>12</v>
      </c>
      <c r="E37" t="s">
        <v>14</v>
      </c>
      <c r="F37" t="s">
        <v>97</v>
      </c>
      <c r="G37" t="s">
        <v>95</v>
      </c>
      <c r="H37" t="s">
        <v>11</v>
      </c>
      <c r="I37" t="str">
        <f>_xlfn.XLOOKUP(Tabla1[[#This Row],[Dependencia]],Tabla2[Dependencia],Tabla2[Clasificación],"No indexado")</f>
        <v>Presidencia de la República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46149</v>
      </c>
      <c r="B38" t="s">
        <v>75</v>
      </c>
      <c r="C38" s="6" t="s">
        <v>148</v>
      </c>
      <c r="D38" t="s">
        <v>12</v>
      </c>
      <c r="E38" t="s">
        <v>16</v>
      </c>
      <c r="F38" t="s">
        <v>16</v>
      </c>
      <c r="G38" t="s">
        <v>149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46149</v>
      </c>
      <c r="B39" t="s">
        <v>75</v>
      </c>
      <c r="C39" s="6" t="s">
        <v>150</v>
      </c>
      <c r="D39" t="s">
        <v>12</v>
      </c>
      <c r="E39" t="s">
        <v>16</v>
      </c>
      <c r="F39" t="s">
        <v>16</v>
      </c>
      <c r="G39" t="s">
        <v>151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46149</v>
      </c>
      <c r="B40" t="s">
        <v>75</v>
      </c>
      <c r="C40" s="6" t="s">
        <v>152</v>
      </c>
      <c r="D40" t="s">
        <v>12</v>
      </c>
      <c r="E40" t="s">
        <v>37</v>
      </c>
      <c r="F40" t="s">
        <v>2</v>
      </c>
      <c r="G40" t="s">
        <v>153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5">
        <v>46149</v>
      </c>
      <c r="B41" t="s">
        <v>81</v>
      </c>
      <c r="C41" s="6" t="s">
        <v>154</v>
      </c>
      <c r="D41" t="s">
        <v>9</v>
      </c>
      <c r="E41" t="s">
        <v>24</v>
      </c>
      <c r="F41" t="s">
        <v>24</v>
      </c>
      <c r="G41" t="s">
        <v>104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Gobernador</v>
      </c>
    </row>
    <row r="42" spans="1:10" ht="30" x14ac:dyDescent="0.25">
      <c r="A42" s="5">
        <v>46149</v>
      </c>
      <c r="B42" t="s">
        <v>81</v>
      </c>
      <c r="C42" s="6" t="s">
        <v>155</v>
      </c>
      <c r="D42" t="s">
        <v>13</v>
      </c>
      <c r="E42" t="s">
        <v>24</v>
      </c>
      <c r="F42" t="s">
        <v>24</v>
      </c>
      <c r="G42" t="s">
        <v>156</v>
      </c>
      <c r="H42" t="s">
        <v>70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Gobernador</v>
      </c>
    </row>
    <row r="43" spans="1:10" ht="30" x14ac:dyDescent="0.25">
      <c r="A43" s="5">
        <v>46149</v>
      </c>
      <c r="B43" t="s">
        <v>81</v>
      </c>
      <c r="C43" s="6" t="s">
        <v>157</v>
      </c>
      <c r="D43" t="s">
        <v>12</v>
      </c>
      <c r="E43" t="s">
        <v>76</v>
      </c>
      <c r="F43" t="s">
        <v>76</v>
      </c>
      <c r="G43" t="s">
        <v>158</v>
      </c>
      <c r="H43" t="s">
        <v>73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25">
      <c r="A44" s="5">
        <v>46149</v>
      </c>
      <c r="B44" t="s">
        <v>81</v>
      </c>
      <c r="C44" s="6" t="s">
        <v>159</v>
      </c>
      <c r="D44" t="s">
        <v>12</v>
      </c>
      <c r="E44" t="s">
        <v>17</v>
      </c>
      <c r="F44" t="s">
        <v>17</v>
      </c>
      <c r="G44" t="s">
        <v>160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25">
      <c r="A45" s="5">
        <v>46149</v>
      </c>
      <c r="B45" t="s">
        <v>81</v>
      </c>
      <c r="C45" s="6" t="s">
        <v>161</v>
      </c>
      <c r="D45" t="s">
        <v>12</v>
      </c>
      <c r="E45" t="s">
        <v>14</v>
      </c>
      <c r="F45" t="s">
        <v>86</v>
      </c>
      <c r="G45" t="s">
        <v>93</v>
      </c>
      <c r="H45" t="s">
        <v>73</v>
      </c>
      <c r="I45" t="str">
        <f>_xlfn.XLOOKUP(Tabla1[[#This Row],[Dependencia]],Tabla2[Dependencia],Tabla2[Clasificación],"No indexado")</f>
        <v>Presidencia de la República</v>
      </c>
      <c r="J45" t="str">
        <f>_xlfn.XLOOKUP(Tabla1[[#This Row],[Dependencia]],Tabla3[Dependencia],Tabla3[Nivel],"otros",0)</f>
        <v>otros</v>
      </c>
    </row>
    <row r="46" spans="1:10" ht="30" x14ac:dyDescent="0.25">
      <c r="A46" s="5">
        <v>46149</v>
      </c>
      <c r="B46" t="s">
        <v>81</v>
      </c>
      <c r="C46" s="6" t="s">
        <v>162</v>
      </c>
      <c r="D46" t="s">
        <v>12</v>
      </c>
      <c r="E46" t="s">
        <v>37</v>
      </c>
      <c r="F46" t="s">
        <v>2</v>
      </c>
      <c r="G46" t="s">
        <v>153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46149</v>
      </c>
      <c r="B47" t="s">
        <v>163</v>
      </c>
      <c r="C47" s="6" t="s">
        <v>164</v>
      </c>
      <c r="D47" t="s">
        <v>12</v>
      </c>
      <c r="E47" t="s">
        <v>16</v>
      </c>
      <c r="F47" t="s">
        <v>74</v>
      </c>
      <c r="G47" t="s">
        <v>165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46149</v>
      </c>
      <c r="B48" t="s">
        <v>163</v>
      </c>
      <c r="C48" s="6" t="s">
        <v>166</v>
      </c>
      <c r="D48" t="s">
        <v>13</v>
      </c>
      <c r="E48" t="s">
        <v>24</v>
      </c>
      <c r="F48" t="s">
        <v>24</v>
      </c>
      <c r="G48" t="s">
        <v>104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Gobernador</v>
      </c>
    </row>
    <row r="49" spans="1:10" x14ac:dyDescent="0.25">
      <c r="A49" s="5">
        <v>46149</v>
      </c>
      <c r="B49" t="s">
        <v>163</v>
      </c>
      <c r="C49" s="6" t="s">
        <v>167</v>
      </c>
      <c r="D49" t="s">
        <v>12</v>
      </c>
      <c r="E49" t="s">
        <v>10</v>
      </c>
      <c r="F49" t="s">
        <v>10</v>
      </c>
      <c r="G49" t="s">
        <v>168</v>
      </c>
      <c r="H49" t="s">
        <v>11</v>
      </c>
      <c r="I49" t="str">
        <f>_xlfn.XLOOKUP(Tabla1[[#This Row],[Dependencia]],Tabla2[Dependencia],Tabla2[Clasificación],"No indexado")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46149</v>
      </c>
      <c r="B50" t="s">
        <v>163</v>
      </c>
      <c r="C50" s="6" t="s">
        <v>169</v>
      </c>
      <c r="D50" t="s">
        <v>12</v>
      </c>
      <c r="E50" t="s">
        <v>24</v>
      </c>
      <c r="F50" t="s">
        <v>24</v>
      </c>
      <c r="G50" t="s">
        <v>95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Gobernador</v>
      </c>
    </row>
    <row r="51" spans="1:10" ht="30" x14ac:dyDescent="0.25">
      <c r="A51" s="5">
        <v>46149</v>
      </c>
      <c r="B51" t="s">
        <v>163</v>
      </c>
      <c r="C51" s="6" t="s">
        <v>170</v>
      </c>
      <c r="D51" t="s">
        <v>12</v>
      </c>
      <c r="E51" t="s">
        <v>16</v>
      </c>
      <c r="F51" t="s">
        <v>16</v>
      </c>
      <c r="G51" t="s">
        <v>95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x14ac:dyDescent="0.25">
      <c r="A52" s="5">
        <v>46149</v>
      </c>
      <c r="B52" t="s">
        <v>163</v>
      </c>
      <c r="C52" s="6" t="s">
        <v>171</v>
      </c>
      <c r="D52" t="s">
        <v>12</v>
      </c>
      <c r="E52" t="s">
        <v>16</v>
      </c>
      <c r="F52" t="s">
        <v>16</v>
      </c>
      <c r="G52" t="s">
        <v>95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46149</v>
      </c>
      <c r="B53" t="s">
        <v>163</v>
      </c>
      <c r="C53" s="6" t="s">
        <v>172</v>
      </c>
      <c r="D53" t="s">
        <v>12</v>
      </c>
      <c r="E53" t="s">
        <v>16</v>
      </c>
      <c r="F53" t="s">
        <v>16</v>
      </c>
      <c r="G53" t="s">
        <v>130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46149</v>
      </c>
      <c r="B54" t="s">
        <v>163</v>
      </c>
      <c r="C54" s="6" t="s">
        <v>173</v>
      </c>
      <c r="D54" t="s">
        <v>12</v>
      </c>
      <c r="E54" t="s">
        <v>27</v>
      </c>
      <c r="F54" t="s">
        <v>85</v>
      </c>
      <c r="G54" t="s">
        <v>84</v>
      </c>
      <c r="H54" t="s">
        <v>70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46149</v>
      </c>
      <c r="B55" t="s">
        <v>163</v>
      </c>
      <c r="C55" s="6" t="s">
        <v>174</v>
      </c>
      <c r="D55" t="s">
        <v>12</v>
      </c>
      <c r="E55" t="s">
        <v>21</v>
      </c>
      <c r="F55" t="s">
        <v>21</v>
      </c>
      <c r="G55" t="s">
        <v>175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5">
        <v>46149</v>
      </c>
      <c r="B56" t="s">
        <v>163</v>
      </c>
      <c r="C56" s="6" t="s">
        <v>176</v>
      </c>
      <c r="D56" t="s">
        <v>12</v>
      </c>
      <c r="E56" t="s">
        <v>16</v>
      </c>
      <c r="F56" t="s">
        <v>16</v>
      </c>
      <c r="G56" t="s">
        <v>177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25">
      <c r="A57" s="5">
        <v>46149</v>
      </c>
      <c r="B57" t="s">
        <v>178</v>
      </c>
      <c r="C57" s="6" t="s">
        <v>179</v>
      </c>
      <c r="D57" t="s">
        <v>13</v>
      </c>
      <c r="E57" t="s">
        <v>27</v>
      </c>
      <c r="F57" t="s">
        <v>27</v>
      </c>
      <c r="G57" t="s">
        <v>77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5">
        <v>46149</v>
      </c>
      <c r="B58" t="s">
        <v>178</v>
      </c>
      <c r="C58" s="6" t="s">
        <v>180</v>
      </c>
      <c r="D58" t="s">
        <v>12</v>
      </c>
      <c r="E58" t="s">
        <v>16</v>
      </c>
      <c r="F58" t="s">
        <v>16</v>
      </c>
      <c r="G58" t="s">
        <v>144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ht="75" x14ac:dyDescent="0.25">
      <c r="A59" s="5">
        <v>46149</v>
      </c>
      <c r="B59" t="s">
        <v>178</v>
      </c>
      <c r="C59" s="6" t="s">
        <v>181</v>
      </c>
      <c r="D59" t="s">
        <v>82</v>
      </c>
      <c r="E59" t="s">
        <v>10</v>
      </c>
      <c r="F59" t="s">
        <v>182</v>
      </c>
      <c r="G59" t="s">
        <v>80</v>
      </c>
      <c r="H59" t="s">
        <v>73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x14ac:dyDescent="0.25">
      <c r="A60" s="5">
        <v>46149</v>
      </c>
      <c r="B60" t="s">
        <v>178</v>
      </c>
      <c r="C60" s="6" t="s">
        <v>183</v>
      </c>
      <c r="D60" t="s">
        <v>12</v>
      </c>
      <c r="E60" t="s">
        <v>39</v>
      </c>
      <c r="F60" t="s">
        <v>39</v>
      </c>
      <c r="G60" t="s">
        <v>95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5">
        <v>46149</v>
      </c>
      <c r="B61" t="s">
        <v>178</v>
      </c>
      <c r="C61" s="6" t="s">
        <v>184</v>
      </c>
      <c r="D61" t="s">
        <v>12</v>
      </c>
      <c r="E61" t="s">
        <v>10</v>
      </c>
      <c r="F61" t="s">
        <v>10</v>
      </c>
      <c r="G61" t="s">
        <v>80</v>
      </c>
      <c r="H61" t="s">
        <v>73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66</v>
      </c>
    </row>
    <row r="2" spans="1:5" x14ac:dyDescent="0.25">
      <c r="A2" t="s">
        <v>62</v>
      </c>
      <c r="B2" t="s">
        <v>63</v>
      </c>
      <c r="D2" s="10" t="s">
        <v>19</v>
      </c>
      <c r="E2" t="s">
        <v>67</v>
      </c>
    </row>
    <row r="3" spans="1:5" x14ac:dyDescent="0.25">
      <c r="A3" t="s">
        <v>16</v>
      </c>
      <c r="B3" t="s">
        <v>31</v>
      </c>
      <c r="D3" s="9" t="s">
        <v>33</v>
      </c>
      <c r="E3" t="s">
        <v>67</v>
      </c>
    </row>
    <row r="4" spans="1:5" x14ac:dyDescent="0.25">
      <c r="A4" t="s">
        <v>19</v>
      </c>
      <c r="B4" t="s">
        <v>32</v>
      </c>
      <c r="D4" s="9" t="s">
        <v>35</v>
      </c>
      <c r="E4" t="s">
        <v>67</v>
      </c>
    </row>
    <row r="5" spans="1:5" x14ac:dyDescent="0.25">
      <c r="A5" t="s">
        <v>61</v>
      </c>
      <c r="B5" t="s">
        <v>10</v>
      </c>
      <c r="D5" s="10" t="s">
        <v>28</v>
      </c>
      <c r="E5" t="s">
        <v>67</v>
      </c>
    </row>
    <row r="6" spans="1:5" x14ac:dyDescent="0.25">
      <c r="A6" t="s">
        <v>33</v>
      </c>
      <c r="B6" t="s">
        <v>32</v>
      </c>
      <c r="D6" s="10" t="s">
        <v>36</v>
      </c>
      <c r="E6" t="s">
        <v>67</v>
      </c>
    </row>
    <row r="7" spans="1:5" x14ac:dyDescent="0.25">
      <c r="A7" t="s">
        <v>34</v>
      </c>
      <c r="B7" t="s">
        <v>10</v>
      </c>
      <c r="D7" s="9" t="s">
        <v>37</v>
      </c>
      <c r="E7" t="s">
        <v>67</v>
      </c>
    </row>
    <row r="8" spans="1:5" x14ac:dyDescent="0.25">
      <c r="A8" t="s">
        <v>35</v>
      </c>
      <c r="B8" t="s">
        <v>32</v>
      </c>
      <c r="D8" s="9" t="s">
        <v>37</v>
      </c>
      <c r="E8" t="s">
        <v>67</v>
      </c>
    </row>
    <row r="9" spans="1:5" x14ac:dyDescent="0.25">
      <c r="A9" t="s">
        <v>28</v>
      </c>
      <c r="B9" t="s">
        <v>32</v>
      </c>
      <c r="D9" s="9" t="s">
        <v>38</v>
      </c>
      <c r="E9" t="s">
        <v>67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2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2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2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2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2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2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2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2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2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2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2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2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2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2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2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48</v>
      </c>
      <c r="B29" t="s">
        <v>32</v>
      </c>
    </row>
    <row r="30" spans="1:5" x14ac:dyDescent="0.25">
      <c r="A30" t="s">
        <v>49</v>
      </c>
      <c r="B30" t="s">
        <v>45</v>
      </c>
    </row>
    <row r="31" spans="1:5" x14ac:dyDescent="0.25">
      <c r="A31" t="s">
        <v>14</v>
      </c>
      <c r="B31" t="s">
        <v>50</v>
      </c>
    </row>
    <row r="32" spans="1:5" x14ac:dyDescent="0.25">
      <c r="A32" t="s">
        <v>51</v>
      </c>
      <c r="B32" t="s">
        <v>45</v>
      </c>
    </row>
    <row r="33" spans="1:2" x14ac:dyDescent="0.25">
      <c r="A33" t="s">
        <v>52</v>
      </c>
      <c r="B33" t="s">
        <v>45</v>
      </c>
    </row>
    <row r="34" spans="1:2" x14ac:dyDescent="0.25">
      <c r="A34" t="s">
        <v>53</v>
      </c>
      <c r="B34" t="s">
        <v>45</v>
      </c>
    </row>
    <row r="35" spans="1:2" x14ac:dyDescent="0.25">
      <c r="A35" t="s">
        <v>54</v>
      </c>
      <c r="B35" t="s">
        <v>32</v>
      </c>
    </row>
    <row r="36" spans="1:2" x14ac:dyDescent="0.25">
      <c r="A36" t="s">
        <v>55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56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57</v>
      </c>
      <c r="B44" t="s">
        <v>32</v>
      </c>
    </row>
    <row r="45" spans="1:2" x14ac:dyDescent="0.25">
      <c r="A45" t="s">
        <v>58</v>
      </c>
      <c r="B45" t="s">
        <v>10</v>
      </c>
    </row>
    <row r="46" spans="1:2" x14ac:dyDescent="0.25">
      <c r="A46" t="s">
        <v>59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2026-05-07T16:03:01Z</dcterms:modified>
</cp:coreProperties>
</file>