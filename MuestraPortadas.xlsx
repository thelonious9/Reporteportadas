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DF297DE0-8C92-4885-8BC9-4CA4004047EB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I2" i="1"/>
  <c r="J2" i="1"/>
</calcChain>
</file>

<file path=xl/sharedStrings.xml><?xml version="1.0" encoding="utf-8"?>
<sst xmlns="http://schemas.openxmlformats.org/spreadsheetml/2006/main" count="559" uniqueCount="180">
  <si>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</si>
  <si>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</si>
  <si>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</si>
  <si>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</si>
  <si>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</si>
  <si>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</si>
  <si>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</si>
  <si>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</si>
  <si>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</si>
  <si>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</si>
  <si>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</si>
  <si>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</si>
  <si>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</si>
  <si>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</si>
  <si>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</si>
  <si>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</si>
  <si>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</si>
  <si>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</si>
  <si>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</si>
  <si>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</si>
  <si>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</si>
  <si>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</si>
  <si>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</si>
  <si>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</si>
  <si>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</si>
  <si>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</si>
  <si>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</si>
  <si>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</si>
  <si>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</si>
  <si>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</si>
  <si>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</si>
  <si>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</si>
  <si>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</si>
  <si>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</si>
  <si>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</si>
  <si>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</si>
  <si>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</si>
  <si>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</si>
  <si>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</si>
  <si>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</si>
  <si>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</si>
  <si>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</si>
  <si>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</si>
  <si>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</si>
  <si>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</si>
  <si>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</si>
  <si>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</si>
  <si>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</si>
  <si>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</si>
  <si>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</si>
  <si>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</si>
  <si>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</si>
  <si>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</si>
  <si>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</si>
  <si>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</si>
  <si>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</si>
  <si>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</si>
  <si>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</si>
  <si>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</si>
  <si>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</si>
  <si>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</si>
  <si>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</si>
  <si>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</si>
  <si>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</si>
  <si>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</si>
  <si>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</si>
  <si>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</si>
  <si>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Nivel</t>
  </si>
  <si>
    <t>Gabinete</t>
  </si>
  <si>
    <t>Milenio Hidalgo</t>
  </si>
  <si>
    <t>El Sol de Hidalgo</t>
  </si>
  <si>
    <t>Positiva</t>
  </si>
  <si>
    <t>La Jornada Hidalgo</t>
  </si>
  <si>
    <t>Deportes</t>
  </si>
  <si>
    <t>Negativa</t>
  </si>
  <si>
    <t>Alcalde</t>
  </si>
  <si>
    <t>Zunoticia</t>
  </si>
  <si>
    <t>Pachuca Brilla</t>
  </si>
  <si>
    <t>Publicidad</t>
  </si>
  <si>
    <t>Sipdus</t>
  </si>
  <si>
    <t>Policía municipal</t>
  </si>
  <si>
    <t>Aumento Tarifa De Transporte</t>
  </si>
  <si>
    <t>Drones</t>
  </si>
  <si>
    <t>Videovigilancia</t>
  </si>
  <si>
    <t>Fortalecimiento Policiaco</t>
  </si>
  <si>
    <t>INAH</t>
  </si>
  <si>
    <t>Vestigios Arqueológicos</t>
  </si>
  <si>
    <t>Liberación Fauna Silvestre</t>
  </si>
  <si>
    <t>Criterio</t>
  </si>
  <si>
    <t>Temas internacionales</t>
  </si>
  <si>
    <t>Effetá</t>
  </si>
  <si>
    <t>Editorial</t>
  </si>
  <si>
    <t>PC</t>
  </si>
  <si>
    <t>Amanda Miguel</t>
  </si>
  <si>
    <t>Publicidad comercial</t>
  </si>
  <si>
    <t>Modernización Tuzobús</t>
  </si>
  <si>
    <t>Sheinbaum defiende la soberanía</t>
  </si>
  <si>
    <t>Conmemoración Aniversario</t>
  </si>
  <si>
    <t>Anticipan alza en flores previo al 10 de mayo</t>
  </si>
  <si>
    <t>Señalan tips para comprar carne fresca</t>
  </si>
  <si>
    <t>Más de 40 años de servicio de partera</t>
  </si>
  <si>
    <t>Ixmiquilpan lidera la capacitación de remesas</t>
  </si>
  <si>
    <t>Gobernación</t>
  </si>
  <si>
    <t>Remesas</t>
  </si>
  <si>
    <t>Listas para operar</t>
  </si>
  <si>
    <t>Sitmah</t>
  </si>
  <si>
    <t>Pachuca prepara elección de delegados y subdelegados</t>
  </si>
  <si>
    <t>Elecciones</t>
  </si>
  <si>
    <t>Regularizan credencialización de salud</t>
  </si>
  <si>
    <t>Salud universal</t>
  </si>
  <si>
    <t>Claridad en reglas de postulación</t>
  </si>
  <si>
    <t>Alianzas Electorales</t>
  </si>
  <si>
    <t>Próxima rehabilitación</t>
  </si>
  <si>
    <t>Rehabilitación de instalaciones</t>
  </si>
  <si>
    <t>SOLARI, ENTRE TÉCNICOS TOP</t>
  </si>
  <si>
    <t>REVANCHA PARA EL RAMBO TORRES</t>
  </si>
  <si>
    <t>LA CANASTA BÁSICA  SUPERA EL LÍMITE DEL  GOBIERNO FEDERAL</t>
  </si>
  <si>
    <t>TUZOBÚS SUMA 38 UNIDADES MÁS PARA LAS RUTAS ALIMENTADORAS</t>
  </si>
  <si>
    <t>VEN INSUFICIENTE AUMENTO DE 20% EN EL TRANSPORTE</t>
  </si>
  <si>
    <t>PROTESTAN POR EL CIERRE DE ESPACIO DEBAJO DE PUENTE</t>
  </si>
  <si>
    <t>Glorieta 24 Horas</t>
  </si>
  <si>
    <t>Reclaman faltas en los avances de investigación</t>
  </si>
  <si>
    <t>Exigen esclarecer homicidio</t>
  </si>
  <si>
    <t>En tres años caen de 5 mil presuntos delincuentes: SSPH</t>
  </si>
  <si>
    <t>Combate a la delincuencia</t>
  </si>
  <si>
    <t>Detienen a siete personas con drogas y armas largas</t>
  </si>
  <si>
    <t>Exigen justicia tras crimen de guardia de seguridad</t>
  </si>
  <si>
    <t>Alza de pasaje hasta $146... pero Tuzobús sin incremento</t>
  </si>
  <si>
    <t>La Secretaría de Movilidad reportó listas 38 nuevas unidades alimentadoras del Tuzobús, que renovarán el parque vehicular</t>
  </si>
  <si>
    <t>En la Barranca de Metztitlán liberan once ejemplares</t>
  </si>
  <si>
    <t>Sheinbaum condena la injerencia y dictado de potencias extranjeras</t>
  </si>
  <si>
    <t>China ofrece apoyo firme en defensa de la independencia</t>
  </si>
  <si>
    <t>Generación Z retrasa su paso a la vida adulta</t>
  </si>
  <si>
    <t>De Über ni hablar</t>
  </si>
  <si>
    <t>Apps de transporte</t>
  </si>
  <si>
    <t>Llevan ante la Procuraduría caso de maltrato animal</t>
  </si>
  <si>
    <t>Maltrato animal</t>
  </si>
  <si>
    <t>Analizan recuperar 50 inmuebles en municipios</t>
  </si>
  <si>
    <t>Recuperación Del Patrimonio</t>
  </si>
  <si>
    <t>Empresas buscan chicanada legal para verter residuos tóxicos</t>
  </si>
  <si>
    <t>Clausura de empresa contaminante</t>
  </si>
  <si>
    <t>Pipa choca con tren en Querétaro: dos muertos</t>
  </si>
  <si>
    <t>Accidente De Pipa</t>
  </si>
  <si>
    <t>Sheinbaum lanza mensaje en defensa de la soberanía</t>
  </si>
  <si>
    <t>El movimiento feminista exige un sistema nacional de cuidados,  porque criar y cuidar a cualquier persona es una tarea titánica,  cansadísima, costosa, muy importante y de todas las personas”.</t>
  </si>
  <si>
    <t>Apoyo a personas cuidadoras</t>
  </si>
  <si>
    <t>Julio Menchaca fortalece estrategia de seguridad y con nuevas unidades y equipo</t>
  </si>
  <si>
    <t>Alfredo San Román reconoce a las parteras</t>
  </si>
  <si>
    <t>Parteras Tradicionales</t>
  </si>
  <si>
    <t>Conmemoran en Huejutla el 164 aniversario de la Batalla de Puebla</t>
  </si>
  <si>
    <t>Cedspi reconoce la labor de las parteras</t>
  </si>
  <si>
    <t>Cedspi</t>
  </si>
  <si>
    <t>Tuzobús se fortalece sin afectar el bolsillo de las familias</t>
  </si>
  <si>
    <t>¿será ?  Alcaldesa de Huichapan plantea bajarse sueldo de 94 mil pesos, pero "oposición lo frena"</t>
  </si>
  <si>
    <t>Tabulador salarial</t>
  </si>
  <si>
    <t>Alcaldesa denuncia a regidor... de su mismo partido</t>
  </si>
  <si>
    <t>Denuncia regidor</t>
  </si>
  <si>
    <t>Hidalgo acumula 31 mil millones de pesos en subejercicios</t>
  </si>
  <si>
    <t>Cuenta pública</t>
  </si>
  <si>
    <t>Flotilla renovada</t>
  </si>
  <si>
    <t>Implicado en multihomicidio</t>
  </si>
  <si>
    <t>Vinculación A Proceso</t>
  </si>
  <si>
    <t>Recorte deja expuesto al IEEH: advierten riesgo en ciberseguridad</t>
  </si>
  <si>
    <t>Presupuesto IEEH</t>
  </si>
  <si>
    <t>Investigan a mujer por asesinato de su bebé</t>
  </si>
  <si>
    <t>Aprehensión</t>
  </si>
  <si>
    <t>Mosquitos rebasan a Tepetitlán y exigen eliminar lirio en presa Endhó</t>
  </si>
  <si>
    <t>Medio ambiente</t>
  </si>
  <si>
    <t>Control lirio acuático</t>
  </si>
  <si>
    <t>Fortalecen Tuzobús con más unidades: costo del pasaje se mantiene</t>
  </si>
  <si>
    <t>Comenzó la fiebre del álbum del mundial con intercambios</t>
  </si>
  <si>
    <t>Detienen a siete con narcóticos y armas en Atitalaquia</t>
  </si>
  <si>
    <t>Combate Al Narcomenudeo</t>
  </si>
  <si>
    <t>Llega termómetro a los 29 grados en Pachuca; habrá más lluvia</t>
  </si>
  <si>
    <t>Alerta Meteorológica</t>
  </si>
  <si>
    <t>Gregjosh</t>
  </si>
  <si>
    <t>Confirma INAH hallazgo de cárneos en Huapalcalco</t>
  </si>
  <si>
    <t>Ninguna potencia extranjera va a decir cómo nos gobernamos""</t>
  </si>
  <si>
    <t>Urge mejorar el transporte público en Pachuca, porque ya es una ciudad media con transporte de pueblo; y también la entrada de Über sería sin duda una medida sana</t>
  </si>
  <si>
    <t>Llegan 38 nuevas unidades para las alimentadoras del Tuzobús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</si>
</sst>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8" totalsRowShown="0" headerRowDxfId="5" headerRowBorderDxfId="4">
  <autoFilter ref="A1:J58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8"/>
  <sheetViews>
    <sheetView tabSelected="1" workbookViewId="0">
      <selection activeCell="A2" sqref="A2:H58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67</v>
      </c>
    </row>
    <row r="2" spans="1:10" x14ac:dyDescent="0.35">
      <c r="A2" s="5">
        <v>46148</v>
      </c>
      <c r="B2" t="s">
        <v>70</v>
      </c>
      <c r="C2" s="6" t="s">
        <v>96</v>
      </c>
      <c r="D2" t="s">
        <v>12</v>
      </c>
      <c r="E2" t="s">
        <v>14</v>
      </c>
      <c r="F2" t="s">
        <v>14</v>
      </c>
      <c r="G2" t="s">
        <v>97</v>
      </c>
      <c r="H2" t="s">
        <v>11</v>
      </c>
      <c r="I2" t="str">
        <f>_xlfn.XLOOKUP(Tabla1[[#This Row],[Dependencia]],Tabla2[Dependencia],Tabla2[Clasificación],"No indexado")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46148</v>
      </c>
      <c r="B3" t="s">
        <v>70</v>
      </c>
      <c r="C3" s="6" t="s">
        <v>98</v>
      </c>
      <c r="D3" t="s">
        <v>9</v>
      </c>
      <c r="E3" t="s">
        <v>10</v>
      </c>
      <c r="F3" t="s">
        <v>10</v>
      </c>
      <c r="G3" t="s">
        <v>66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46148</v>
      </c>
      <c r="B4" t="s">
        <v>70</v>
      </c>
      <c r="C4" s="6" t="s">
        <v>99</v>
      </c>
      <c r="D4" t="s">
        <v>12</v>
      </c>
      <c r="E4" t="s">
        <v>10</v>
      </c>
      <c r="F4" t="s">
        <v>10</v>
      </c>
      <c r="G4" t="s">
        <v>66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46148</v>
      </c>
      <c r="B5" t="s">
        <v>70</v>
      </c>
      <c r="C5" s="6" t="s">
        <v>100</v>
      </c>
      <c r="D5" t="s">
        <v>12</v>
      </c>
      <c r="E5" t="s">
        <v>10</v>
      </c>
      <c r="F5" t="s">
        <v>10</v>
      </c>
      <c r="G5" t="s">
        <v>66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46148</v>
      </c>
      <c r="B6" t="s">
        <v>70</v>
      </c>
      <c r="C6" s="6" t="s">
        <v>101</v>
      </c>
      <c r="D6" t="s">
        <v>13</v>
      </c>
      <c r="E6" t="s">
        <v>14</v>
      </c>
      <c r="F6" t="s">
        <v>102</v>
      </c>
      <c r="G6" t="s">
        <v>103</v>
      </c>
      <c r="H6" t="s">
        <v>11</v>
      </c>
      <c r="I6" t="str">
        <f>_xlfn.XLOOKUP(Tabla1[[#This Row],[Dependencia]],Tabla2[Dependencia],Tabla2[Clasificación],"No indexado")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35">
      <c r="A7" s="5">
        <v>46148</v>
      </c>
      <c r="B7" t="s">
        <v>70</v>
      </c>
      <c r="C7" s="6" t="s">
        <v>104</v>
      </c>
      <c r="D7" t="s">
        <v>9</v>
      </c>
      <c r="E7" t="s">
        <v>27</v>
      </c>
      <c r="F7" t="s">
        <v>105</v>
      </c>
      <c r="G7" t="s">
        <v>95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35">
      <c r="A8" s="5">
        <v>46148</v>
      </c>
      <c r="B8" t="s">
        <v>70</v>
      </c>
      <c r="C8" s="6" t="s">
        <v>106</v>
      </c>
      <c r="D8" t="s">
        <v>13</v>
      </c>
      <c r="E8" t="s">
        <v>16</v>
      </c>
      <c r="F8" t="s">
        <v>16</v>
      </c>
      <c r="G8" t="s">
        <v>107</v>
      </c>
      <c r="H8" t="s">
        <v>11</v>
      </c>
      <c r="I8" t="str">
        <f>_xlfn.XLOOKUP(Tabla1[[#This Row],[Dependencia]],Tabla2[Dependencia],Tabla2[Clasificación],"No indexado")</f>
        <v>Alcaldías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46148</v>
      </c>
      <c r="B9" t="s">
        <v>70</v>
      </c>
      <c r="C9" s="6" t="s">
        <v>108</v>
      </c>
      <c r="D9" t="s">
        <v>12</v>
      </c>
      <c r="E9" t="s">
        <v>25</v>
      </c>
      <c r="F9" t="s">
        <v>25</v>
      </c>
      <c r="G9" t="s">
        <v>109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46148</v>
      </c>
      <c r="B10" t="s">
        <v>70</v>
      </c>
      <c r="C10" s="6" t="s">
        <v>110</v>
      </c>
      <c r="D10" t="s">
        <v>12</v>
      </c>
      <c r="E10" t="s">
        <v>18</v>
      </c>
      <c r="F10" t="s">
        <v>18</v>
      </c>
      <c r="G10" t="s">
        <v>111</v>
      </c>
      <c r="H10" t="s">
        <v>11</v>
      </c>
      <c r="I10" t="str">
        <f>_xlfn.XLOOKUP(Tabla1[[#This Row],[Dependencia]],Tabla2[Dependencia],Tabla2[Clasificación],"No indexado")</f>
        <v>Partidos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46148</v>
      </c>
      <c r="B11" t="s">
        <v>70</v>
      </c>
      <c r="C11" s="6" t="s">
        <v>112</v>
      </c>
      <c r="D11" t="s">
        <v>12</v>
      </c>
      <c r="E11" t="s">
        <v>79</v>
      </c>
      <c r="F11" t="s">
        <v>79</v>
      </c>
      <c r="G11" t="s">
        <v>113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35">
      <c r="A12" s="5">
        <v>46148</v>
      </c>
      <c r="B12" t="s">
        <v>88</v>
      </c>
      <c r="C12" s="6" t="s">
        <v>114</v>
      </c>
      <c r="D12" t="s">
        <v>12</v>
      </c>
      <c r="E12" t="s">
        <v>10</v>
      </c>
      <c r="F12" t="s">
        <v>10</v>
      </c>
      <c r="G12" t="s">
        <v>73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46148</v>
      </c>
      <c r="B13" t="s">
        <v>88</v>
      </c>
      <c r="C13" s="6" t="s">
        <v>115</v>
      </c>
      <c r="D13" t="s">
        <v>12</v>
      </c>
      <c r="E13" t="s">
        <v>10</v>
      </c>
      <c r="F13" t="s">
        <v>10</v>
      </c>
      <c r="G13" t="s">
        <v>73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ht="29" x14ac:dyDescent="0.35">
      <c r="A14" s="5">
        <v>46148</v>
      </c>
      <c r="B14" t="s">
        <v>88</v>
      </c>
      <c r="C14" s="6" t="s">
        <v>116</v>
      </c>
      <c r="D14" t="s">
        <v>12</v>
      </c>
      <c r="E14" t="s">
        <v>10</v>
      </c>
      <c r="F14" t="s">
        <v>10</v>
      </c>
      <c r="G14" t="s">
        <v>66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ht="29" x14ac:dyDescent="0.35">
      <c r="A15" s="5">
        <v>46148</v>
      </c>
      <c r="B15" t="s">
        <v>88</v>
      </c>
      <c r="C15" s="6" t="s">
        <v>117</v>
      </c>
      <c r="D15" t="s">
        <v>12</v>
      </c>
      <c r="E15" t="s">
        <v>27</v>
      </c>
      <c r="F15" t="s">
        <v>105</v>
      </c>
      <c r="G15" t="s">
        <v>95</v>
      </c>
      <c r="H15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35">
      <c r="A16" s="5">
        <v>46148</v>
      </c>
      <c r="B16" t="s">
        <v>88</v>
      </c>
      <c r="C16" s="6" t="s">
        <v>118</v>
      </c>
      <c r="D16" t="s">
        <v>13</v>
      </c>
      <c r="E16" t="s">
        <v>27</v>
      </c>
      <c r="F16" t="s">
        <v>27</v>
      </c>
      <c r="G16" t="s">
        <v>81</v>
      </c>
      <c r="H16" t="s">
        <v>74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5">
        <v>46148</v>
      </c>
      <c r="B17" t="s">
        <v>88</v>
      </c>
      <c r="C17" s="6" t="s">
        <v>119</v>
      </c>
      <c r="D17" t="s">
        <v>9</v>
      </c>
      <c r="E17" t="s">
        <v>79</v>
      </c>
      <c r="F17" t="s">
        <v>79</v>
      </c>
      <c r="G17" t="s">
        <v>120</v>
      </c>
      <c r="H17" t="s">
        <v>74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5">
        <v>46148</v>
      </c>
      <c r="B18" t="s">
        <v>88</v>
      </c>
      <c r="C18" s="6" t="s">
        <v>121</v>
      </c>
      <c r="D18" t="s">
        <v>12</v>
      </c>
      <c r="E18" t="s">
        <v>17</v>
      </c>
      <c r="F18" t="s">
        <v>17</v>
      </c>
      <c r="G18" t="s">
        <v>122</v>
      </c>
      <c r="H18" t="s">
        <v>74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35">
      <c r="A19" s="5">
        <v>46148</v>
      </c>
      <c r="B19" t="s">
        <v>69</v>
      </c>
      <c r="C19" s="6" t="s">
        <v>123</v>
      </c>
      <c r="D19" t="s">
        <v>13</v>
      </c>
      <c r="E19" t="s">
        <v>22</v>
      </c>
      <c r="F19" t="s">
        <v>22</v>
      </c>
      <c r="G19" t="s">
        <v>124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5">
        <v>46148</v>
      </c>
      <c r="B20" t="s">
        <v>69</v>
      </c>
      <c r="C20" s="6" t="s">
        <v>125</v>
      </c>
      <c r="D20" t="s">
        <v>12</v>
      </c>
      <c r="E20" t="s">
        <v>22</v>
      </c>
      <c r="F20" t="s">
        <v>22</v>
      </c>
      <c r="G20" t="s">
        <v>124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5">
        <v>46148</v>
      </c>
      <c r="B21" t="s">
        <v>69</v>
      </c>
      <c r="C21" s="6" t="s">
        <v>126</v>
      </c>
      <c r="D21" t="s">
        <v>12</v>
      </c>
      <c r="E21" t="s">
        <v>17</v>
      </c>
      <c r="F21" t="s">
        <v>17</v>
      </c>
      <c r="G21" t="s">
        <v>122</v>
      </c>
      <c r="H21" t="s">
        <v>74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35">
      <c r="A22" s="5">
        <v>46148</v>
      </c>
      <c r="B22" t="s">
        <v>69</v>
      </c>
      <c r="C22" s="6" t="s">
        <v>127</v>
      </c>
      <c r="D22" t="s">
        <v>12</v>
      </c>
      <c r="E22" t="s">
        <v>27</v>
      </c>
      <c r="F22" t="s">
        <v>27</v>
      </c>
      <c r="G22" t="s">
        <v>81</v>
      </c>
      <c r="H22" t="s">
        <v>74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ht="43.5" x14ac:dyDescent="0.35">
      <c r="A23" s="5">
        <v>46148</v>
      </c>
      <c r="B23" t="s">
        <v>69</v>
      </c>
      <c r="C23" s="6" t="s">
        <v>128</v>
      </c>
      <c r="D23" t="s">
        <v>9</v>
      </c>
      <c r="E23" t="s">
        <v>27</v>
      </c>
      <c r="F23" t="s">
        <v>105</v>
      </c>
      <c r="G23" t="s">
        <v>95</v>
      </c>
      <c r="H23" t="s">
        <v>71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35">
      <c r="A24" s="5">
        <v>46148</v>
      </c>
      <c r="B24" t="s">
        <v>69</v>
      </c>
      <c r="C24" s="6" t="s">
        <v>129</v>
      </c>
      <c r="D24" t="s">
        <v>12</v>
      </c>
      <c r="E24" t="s">
        <v>16</v>
      </c>
      <c r="F24" t="s">
        <v>16</v>
      </c>
      <c r="G24" t="s">
        <v>87</v>
      </c>
      <c r="H24" t="s">
        <v>11</v>
      </c>
      <c r="I24" t="str">
        <f>_xlfn.XLOOKUP(Tabla1[[#This Row],[Dependencia]],Tabla2[Dependencia],Tabla2[Clasificación],"No indexado")</f>
        <v>Alcaldías</v>
      </c>
      <c r="J24" t="str">
        <f>_xlfn.XLOOKUP(Tabla1[[#This Row],[Dependencia]],Tabla3[Dependencia],Tabla3[Nivel],"otros",0)</f>
        <v>otros</v>
      </c>
    </row>
    <row r="25" spans="1:10" ht="29" x14ac:dyDescent="0.35">
      <c r="A25" s="5">
        <v>46148</v>
      </c>
      <c r="B25" t="s">
        <v>69</v>
      </c>
      <c r="C25" s="6" t="s">
        <v>130</v>
      </c>
      <c r="D25" t="s">
        <v>12</v>
      </c>
      <c r="E25" t="s">
        <v>14</v>
      </c>
      <c r="F25" t="s">
        <v>14</v>
      </c>
      <c r="G25" t="s">
        <v>97</v>
      </c>
      <c r="H25" t="s">
        <v>11</v>
      </c>
      <c r="I25" t="str">
        <f>_xlfn.XLOOKUP(Tabla1[[#This Row],[Dependencia]],Tabla2[Dependencia],Tabla2[Clasificación],"No indexado")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46148</v>
      </c>
      <c r="B26" t="s">
        <v>69</v>
      </c>
      <c r="C26" s="6" t="s">
        <v>131</v>
      </c>
      <c r="D26" t="s">
        <v>12</v>
      </c>
      <c r="E26" t="s">
        <v>14</v>
      </c>
      <c r="F26" t="s">
        <v>14</v>
      </c>
      <c r="G26" t="s">
        <v>89</v>
      </c>
      <c r="H26" t="s">
        <v>71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46148</v>
      </c>
      <c r="B27" t="s">
        <v>69</v>
      </c>
      <c r="C27" s="6" t="s">
        <v>132</v>
      </c>
      <c r="D27" t="s">
        <v>12</v>
      </c>
      <c r="E27" t="s">
        <v>10</v>
      </c>
      <c r="F27" t="s">
        <v>10</v>
      </c>
      <c r="G27" t="s">
        <v>66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46148</v>
      </c>
      <c r="B28" t="s">
        <v>69</v>
      </c>
      <c r="C28" s="6" t="s">
        <v>133</v>
      </c>
      <c r="D28" t="s">
        <v>12</v>
      </c>
      <c r="E28" t="s">
        <v>24</v>
      </c>
      <c r="F28" t="s">
        <v>24</v>
      </c>
      <c r="G28" t="s">
        <v>134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Gobernador</v>
      </c>
    </row>
    <row r="29" spans="1:10" x14ac:dyDescent="0.35">
      <c r="A29" s="5">
        <v>46148</v>
      </c>
      <c r="B29" t="s">
        <v>69</v>
      </c>
      <c r="C29" s="6" t="s">
        <v>135</v>
      </c>
      <c r="D29" t="s">
        <v>12</v>
      </c>
      <c r="E29" t="s">
        <v>17</v>
      </c>
      <c r="F29" t="s">
        <v>17</v>
      </c>
      <c r="G29" t="s">
        <v>136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35">
      <c r="A30" s="5">
        <v>46148</v>
      </c>
      <c r="B30" t="s">
        <v>72</v>
      </c>
      <c r="C30" s="6" t="s">
        <v>137</v>
      </c>
      <c r="D30" t="s">
        <v>12</v>
      </c>
      <c r="E30" t="s">
        <v>21</v>
      </c>
      <c r="F30" t="s">
        <v>21</v>
      </c>
      <c r="G30" t="s">
        <v>138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29" x14ac:dyDescent="0.35">
      <c r="A31" s="5">
        <v>46148</v>
      </c>
      <c r="B31" t="s">
        <v>72</v>
      </c>
      <c r="C31" s="6" t="s">
        <v>139</v>
      </c>
      <c r="D31" t="s">
        <v>13</v>
      </c>
      <c r="E31" t="s">
        <v>16</v>
      </c>
      <c r="F31" t="s">
        <v>75</v>
      </c>
      <c r="G31" t="s">
        <v>140</v>
      </c>
      <c r="H31" t="s">
        <v>11</v>
      </c>
      <c r="I31" t="str">
        <f>_xlfn.XLOOKUP(Tabla1[[#This Row],[Dependencia]],Tabla2[Dependencia],Tabla2[Clasificación],"No indexado")</f>
        <v>Alcaldías</v>
      </c>
      <c r="J31" t="str">
        <f>_xlfn.XLOOKUP(Tabla1[[#This Row],[Dependencia]],Tabla3[Dependencia],Tabla3[Nivel],"otros",0)</f>
        <v>otros</v>
      </c>
    </row>
    <row r="32" spans="1:10" x14ac:dyDescent="0.35">
      <c r="A32" s="5">
        <v>46148</v>
      </c>
      <c r="B32" t="s">
        <v>72</v>
      </c>
      <c r="C32" s="6" t="s">
        <v>141</v>
      </c>
      <c r="D32" t="s">
        <v>12</v>
      </c>
      <c r="E32" t="s">
        <v>10</v>
      </c>
      <c r="F32" t="s">
        <v>10</v>
      </c>
      <c r="G32" t="s">
        <v>142</v>
      </c>
      <c r="H32" t="s">
        <v>74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x14ac:dyDescent="0.35">
      <c r="A33" s="5">
        <v>46148</v>
      </c>
      <c r="B33" t="s">
        <v>72</v>
      </c>
      <c r="C33" s="6" t="s">
        <v>143</v>
      </c>
      <c r="D33" t="s">
        <v>9</v>
      </c>
      <c r="E33" t="s">
        <v>14</v>
      </c>
      <c r="F33" t="s">
        <v>14</v>
      </c>
      <c r="G33" t="s">
        <v>97</v>
      </c>
      <c r="H33" t="s">
        <v>11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ht="58" x14ac:dyDescent="0.35">
      <c r="A34" s="5">
        <v>46148</v>
      </c>
      <c r="B34" t="s">
        <v>72</v>
      </c>
      <c r="C34" s="6" t="s">
        <v>144</v>
      </c>
      <c r="D34" t="s">
        <v>12</v>
      </c>
      <c r="E34" t="s">
        <v>14</v>
      </c>
      <c r="F34" t="s">
        <v>14</v>
      </c>
      <c r="G34" t="s">
        <v>145</v>
      </c>
      <c r="H34" t="s">
        <v>11</v>
      </c>
      <c r="I34" t="str">
        <f>_xlfn.XLOOKUP(Tabla1[[#This Row],[Dependencia]],Tabla2[Dependencia],Tabla2[Clasificación],"No indexado")</f>
        <v>Presidencia de la República</v>
      </c>
      <c r="J34" t="str">
        <f>_xlfn.XLOOKUP(Tabla1[[#This Row],[Dependencia]],Tabla3[Dependencia],Tabla3[Nivel],"otros",0)</f>
        <v>otros</v>
      </c>
    </row>
    <row r="35" spans="1:10" ht="29" x14ac:dyDescent="0.35">
      <c r="A35" s="5">
        <v>46148</v>
      </c>
      <c r="B35" t="s">
        <v>76</v>
      </c>
      <c r="C35" s="6" t="s">
        <v>146</v>
      </c>
      <c r="D35" t="s">
        <v>13</v>
      </c>
      <c r="E35" t="s">
        <v>24</v>
      </c>
      <c r="F35" t="s">
        <v>24</v>
      </c>
      <c r="G35" t="s">
        <v>84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Gobernador</v>
      </c>
    </row>
    <row r="36" spans="1:10" x14ac:dyDescent="0.35">
      <c r="A36" s="5">
        <v>46148</v>
      </c>
      <c r="B36" t="s">
        <v>76</v>
      </c>
      <c r="C36" s="6" t="s">
        <v>147</v>
      </c>
      <c r="D36" t="s">
        <v>12</v>
      </c>
      <c r="E36" t="s">
        <v>16</v>
      </c>
      <c r="F36" t="s">
        <v>75</v>
      </c>
      <c r="G36" t="s">
        <v>148</v>
      </c>
      <c r="H36" t="s">
        <v>11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ht="29" x14ac:dyDescent="0.35">
      <c r="A37" s="5">
        <v>46148</v>
      </c>
      <c r="B37" t="s">
        <v>76</v>
      </c>
      <c r="C37" s="6" t="s">
        <v>149</v>
      </c>
      <c r="D37" t="s">
        <v>12</v>
      </c>
      <c r="E37" t="s">
        <v>16</v>
      </c>
      <c r="F37" t="s">
        <v>16</v>
      </c>
      <c r="G37" t="s">
        <v>97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x14ac:dyDescent="0.35">
      <c r="A38" s="5">
        <v>46148</v>
      </c>
      <c r="B38" t="s">
        <v>76</v>
      </c>
      <c r="C38" s="6" t="s">
        <v>150</v>
      </c>
      <c r="D38" t="s">
        <v>12</v>
      </c>
      <c r="E38" t="s">
        <v>48</v>
      </c>
      <c r="F38" t="s">
        <v>151</v>
      </c>
      <c r="G38" t="s">
        <v>148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35">
      <c r="A39" s="5">
        <v>46148</v>
      </c>
      <c r="B39" t="s">
        <v>76</v>
      </c>
      <c r="C39" s="6" t="s">
        <v>152</v>
      </c>
      <c r="D39" t="s">
        <v>12</v>
      </c>
      <c r="E39" t="s">
        <v>27</v>
      </c>
      <c r="F39" t="s">
        <v>105</v>
      </c>
      <c r="G39" t="s">
        <v>95</v>
      </c>
      <c r="H39" t="s">
        <v>71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ht="29" x14ac:dyDescent="0.35">
      <c r="A40" s="5">
        <v>46148</v>
      </c>
      <c r="B40" t="s">
        <v>90</v>
      </c>
      <c r="C40" s="6" t="s">
        <v>153</v>
      </c>
      <c r="D40" t="s">
        <v>12</v>
      </c>
      <c r="E40" t="s">
        <v>16</v>
      </c>
      <c r="F40" t="s">
        <v>75</v>
      </c>
      <c r="G40" t="s">
        <v>154</v>
      </c>
      <c r="H40" t="s">
        <v>11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x14ac:dyDescent="0.35">
      <c r="A41" s="5">
        <v>46148</v>
      </c>
      <c r="B41" t="s">
        <v>90</v>
      </c>
      <c r="C41" s="6" t="s">
        <v>155</v>
      </c>
      <c r="D41" t="s">
        <v>12</v>
      </c>
      <c r="E41" t="s">
        <v>16</v>
      </c>
      <c r="F41" t="s">
        <v>75</v>
      </c>
      <c r="G41" t="s">
        <v>156</v>
      </c>
      <c r="H41" t="s">
        <v>74</v>
      </c>
      <c r="I41" t="str">
        <f>_xlfn.XLOOKUP(Tabla1[[#This Row],[Dependencia]],Tabla2[Dependencia],Tabla2[Clasificación],"No indexado")</f>
        <v>Alcaldías</v>
      </c>
      <c r="J41" t="str">
        <f>_xlfn.XLOOKUP(Tabla1[[#This Row],[Dependencia]],Tabla3[Dependencia],Tabla3[Nivel],"otros",0)</f>
        <v>otros</v>
      </c>
    </row>
    <row r="42" spans="1:10" x14ac:dyDescent="0.35">
      <c r="A42" s="5">
        <v>46148</v>
      </c>
      <c r="B42" t="s">
        <v>90</v>
      </c>
      <c r="C42" s="6" t="s">
        <v>157</v>
      </c>
      <c r="D42" t="s">
        <v>13</v>
      </c>
      <c r="E42" t="s">
        <v>39</v>
      </c>
      <c r="F42" t="s">
        <v>39</v>
      </c>
      <c r="G42" t="s">
        <v>158</v>
      </c>
      <c r="H42" t="s">
        <v>74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35">
      <c r="A43" s="5">
        <v>46148</v>
      </c>
      <c r="B43" t="s">
        <v>90</v>
      </c>
      <c r="C43" s="6" t="s">
        <v>159</v>
      </c>
      <c r="D43" t="s">
        <v>9</v>
      </c>
      <c r="E43" t="s">
        <v>27</v>
      </c>
      <c r="F43" t="s">
        <v>105</v>
      </c>
      <c r="G43" t="s">
        <v>95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35">
      <c r="A44" s="5">
        <v>46148</v>
      </c>
      <c r="B44" t="s">
        <v>90</v>
      </c>
      <c r="C44" s="6" t="s">
        <v>160</v>
      </c>
      <c r="D44" t="s">
        <v>12</v>
      </c>
      <c r="E44" t="s">
        <v>17</v>
      </c>
      <c r="F44" t="s">
        <v>17</v>
      </c>
      <c r="G44" t="s">
        <v>161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Gabinete</v>
      </c>
    </row>
    <row r="45" spans="1:10" ht="29" x14ac:dyDescent="0.35">
      <c r="A45" s="5">
        <v>46148</v>
      </c>
      <c r="B45" t="s">
        <v>90</v>
      </c>
      <c r="C45" s="6" t="s">
        <v>162</v>
      </c>
      <c r="D45" t="s">
        <v>12</v>
      </c>
      <c r="E45" t="s">
        <v>41</v>
      </c>
      <c r="F45" t="s">
        <v>41</v>
      </c>
      <c r="G45" t="s">
        <v>163</v>
      </c>
      <c r="H45" t="s">
        <v>11</v>
      </c>
      <c r="I45" t="str">
        <f>_xlfn.XLOOKUP(Tabla1[[#This Row],[Dependencia]],Tabla2[Dependencia],Tabla2[Clasificación],"No indexado")</f>
        <v>Otros</v>
      </c>
      <c r="J45" t="str">
        <f>_xlfn.XLOOKUP(Tabla1[[#This Row],[Dependencia]],Tabla3[Dependencia],Tabla3[Nivel],"otros",0)</f>
        <v>otros</v>
      </c>
    </row>
    <row r="46" spans="1:10" x14ac:dyDescent="0.35">
      <c r="A46" s="5">
        <v>46148</v>
      </c>
      <c r="B46" t="s">
        <v>90</v>
      </c>
      <c r="C46" s="6" t="s">
        <v>164</v>
      </c>
      <c r="D46" t="s">
        <v>12</v>
      </c>
      <c r="E46" t="s">
        <v>17</v>
      </c>
      <c r="F46" t="s">
        <v>17</v>
      </c>
      <c r="G46" t="s">
        <v>165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29" x14ac:dyDescent="0.35">
      <c r="A47" s="5">
        <v>46148</v>
      </c>
      <c r="B47" t="s">
        <v>90</v>
      </c>
      <c r="C47" s="6" t="s">
        <v>166</v>
      </c>
      <c r="D47" t="s">
        <v>12</v>
      </c>
      <c r="E47" t="s">
        <v>14</v>
      </c>
      <c r="F47" t="s">
        <v>167</v>
      </c>
      <c r="G47" t="s">
        <v>168</v>
      </c>
      <c r="H47" t="s">
        <v>74</v>
      </c>
      <c r="I47" t="str">
        <f>_xlfn.XLOOKUP(Tabla1[[#This Row],[Dependencia]],Tabla2[Dependencia],Tabla2[Clasificación],"No indexado")</f>
        <v>Presidencia de la República</v>
      </c>
      <c r="J47" t="str">
        <f>_xlfn.XLOOKUP(Tabla1[[#This Row],[Dependencia]],Tabla3[Dependencia],Tabla3[Nivel],"otros",0)</f>
        <v>otros</v>
      </c>
    </row>
    <row r="48" spans="1:10" ht="29" x14ac:dyDescent="0.35">
      <c r="A48" s="5">
        <v>46148</v>
      </c>
      <c r="B48" t="s">
        <v>77</v>
      </c>
      <c r="C48" s="6" t="s">
        <v>169</v>
      </c>
      <c r="D48" t="s">
        <v>13</v>
      </c>
      <c r="E48" t="s">
        <v>27</v>
      </c>
      <c r="F48" t="s">
        <v>105</v>
      </c>
      <c r="G48" t="s">
        <v>95</v>
      </c>
      <c r="H48" t="s">
        <v>71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35">
      <c r="A49" s="5">
        <v>46148</v>
      </c>
      <c r="B49" t="s">
        <v>77</v>
      </c>
      <c r="C49" s="6" t="s">
        <v>170</v>
      </c>
      <c r="D49" t="s">
        <v>12</v>
      </c>
      <c r="E49" t="s">
        <v>10</v>
      </c>
      <c r="F49" t="s">
        <v>10</v>
      </c>
      <c r="G49" t="s">
        <v>73</v>
      </c>
      <c r="H49" t="s">
        <v>11</v>
      </c>
      <c r="I49" t="str">
        <f>_xlfn.XLOOKUP(Tabla1[[#This Row],[Dependencia]],Tabla2[Dependencia],Tabla2[Clasificación],"No indexado")</f>
        <v>Otros</v>
      </c>
      <c r="J49" t="str">
        <f>_xlfn.XLOOKUP(Tabla1[[#This Row],[Dependencia]],Tabla3[Dependencia],Tabla3[Nivel],"otros",0)</f>
        <v>otros</v>
      </c>
    </row>
    <row r="50" spans="1:10" x14ac:dyDescent="0.35">
      <c r="A50" s="5">
        <v>46148</v>
      </c>
      <c r="B50" t="s">
        <v>77</v>
      </c>
      <c r="C50" s="6" t="s">
        <v>171</v>
      </c>
      <c r="D50" t="s">
        <v>12</v>
      </c>
      <c r="E50" t="s">
        <v>17</v>
      </c>
      <c r="F50" t="s">
        <v>17</v>
      </c>
      <c r="G50" t="s">
        <v>172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ht="29" x14ac:dyDescent="0.35">
      <c r="A51" s="5">
        <v>46148</v>
      </c>
      <c r="B51" t="s">
        <v>77</v>
      </c>
      <c r="C51" s="6" t="s">
        <v>173</v>
      </c>
      <c r="D51" t="s">
        <v>12</v>
      </c>
      <c r="E51" t="s">
        <v>23</v>
      </c>
      <c r="F51" t="s">
        <v>92</v>
      </c>
      <c r="G51" t="s">
        <v>174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35">
      <c r="A52" s="5">
        <v>46148</v>
      </c>
      <c r="B52" t="s">
        <v>77</v>
      </c>
      <c r="C52" s="6" t="s">
        <v>93</v>
      </c>
      <c r="D52" t="s">
        <v>78</v>
      </c>
      <c r="E52" t="s">
        <v>10</v>
      </c>
      <c r="F52" t="s">
        <v>10</v>
      </c>
      <c r="G52" t="s">
        <v>94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x14ac:dyDescent="0.35">
      <c r="A53" s="5">
        <v>46148</v>
      </c>
      <c r="B53" t="s">
        <v>77</v>
      </c>
      <c r="C53" s="6" t="s">
        <v>82</v>
      </c>
      <c r="D53" t="s">
        <v>78</v>
      </c>
      <c r="E53" t="s">
        <v>16</v>
      </c>
      <c r="F53" t="s">
        <v>80</v>
      </c>
      <c r="G53" t="s">
        <v>83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x14ac:dyDescent="0.35">
      <c r="A54" s="5">
        <v>46148</v>
      </c>
      <c r="B54" t="s">
        <v>77</v>
      </c>
      <c r="C54" s="6" t="s">
        <v>175</v>
      </c>
      <c r="D54" t="s">
        <v>78</v>
      </c>
      <c r="E54" t="s">
        <v>10</v>
      </c>
      <c r="F54" t="s">
        <v>10</v>
      </c>
      <c r="G54" t="s">
        <v>94</v>
      </c>
      <c r="H54" t="s">
        <v>11</v>
      </c>
      <c r="I54" t="str">
        <f>_xlfn.XLOOKUP(Tabla1[[#This Row],[Dependencia]],Tabla2[Dependencia],Tabla2[Clasificación],"No indexado")</f>
        <v>Otros</v>
      </c>
      <c r="J54" t="str">
        <f>_xlfn.XLOOKUP(Tabla1[[#This Row],[Dependencia]],Tabla3[Dependencia],Tabla3[Nivel],"otros",0)</f>
        <v>otros</v>
      </c>
    </row>
    <row r="55" spans="1:10" x14ac:dyDescent="0.35">
      <c r="A55" s="5">
        <v>46148</v>
      </c>
      <c r="B55" t="s">
        <v>77</v>
      </c>
      <c r="C55" s="6" t="s">
        <v>176</v>
      </c>
      <c r="D55" t="s">
        <v>13</v>
      </c>
      <c r="E55" t="s">
        <v>14</v>
      </c>
      <c r="F55" t="s">
        <v>85</v>
      </c>
      <c r="G55" t="s">
        <v>86</v>
      </c>
      <c r="H55" t="s">
        <v>11</v>
      </c>
      <c r="I55" t="str">
        <f>_xlfn.XLOOKUP(Tabla1[[#This Row],[Dependencia]],Tabla2[Dependencia],Tabla2[Clasificación],"No indexado")</f>
        <v>Presidencia de la República</v>
      </c>
      <c r="J55" t="str">
        <f>_xlfn.XLOOKUP(Tabla1[[#This Row],[Dependencia]],Tabla3[Dependencia],Tabla3[Nivel],"otros",0)</f>
        <v>otros</v>
      </c>
    </row>
    <row r="56" spans="1:10" ht="29" x14ac:dyDescent="0.35">
      <c r="A56" s="5">
        <v>46148</v>
      </c>
      <c r="B56" t="s">
        <v>77</v>
      </c>
      <c r="C56" s="6" t="s">
        <v>177</v>
      </c>
      <c r="D56" t="s">
        <v>12</v>
      </c>
      <c r="E56" t="s">
        <v>14</v>
      </c>
      <c r="F56" t="s">
        <v>14</v>
      </c>
      <c r="G56" t="s">
        <v>97</v>
      </c>
      <c r="H56" t="s">
        <v>11</v>
      </c>
      <c r="I56" t="str">
        <f>_xlfn.XLOOKUP(Tabla1[[#This Row],[Dependencia]],Tabla2[Dependencia],Tabla2[Clasificación],"No indexado")</f>
        <v>Presidencia de la República</v>
      </c>
      <c r="J56" t="str">
        <f>_xlfn.XLOOKUP(Tabla1[[#This Row],[Dependencia]],Tabla3[Dependencia],Tabla3[Nivel],"otros",0)</f>
        <v>otros</v>
      </c>
    </row>
    <row r="57" spans="1:10" ht="43.5" x14ac:dyDescent="0.35">
      <c r="A57" s="5">
        <v>46148</v>
      </c>
      <c r="B57" t="s">
        <v>77</v>
      </c>
      <c r="C57" s="6" t="s">
        <v>178</v>
      </c>
      <c r="D57" t="s">
        <v>91</v>
      </c>
      <c r="E57" t="s">
        <v>27</v>
      </c>
      <c r="F57" t="s">
        <v>27</v>
      </c>
      <c r="G57" t="s">
        <v>134</v>
      </c>
      <c r="H57" t="s">
        <v>74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ht="29" x14ac:dyDescent="0.35">
      <c r="A58" s="5">
        <v>46148</v>
      </c>
      <c r="B58" t="s">
        <v>77</v>
      </c>
      <c r="C58" s="6" t="s">
        <v>179</v>
      </c>
      <c r="D58" t="s">
        <v>12</v>
      </c>
      <c r="E58" t="s">
        <v>27</v>
      </c>
      <c r="F58" t="s">
        <v>105</v>
      </c>
      <c r="G58" t="s">
        <v>95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67</v>
      </c>
    </row>
    <row r="2" spans="1:5" x14ac:dyDescent="0.35">
      <c r="A2" t="s">
        <v>62</v>
      </c>
      <c r="B2" t="s">
        <v>63</v>
      </c>
      <c r="D2" s="10" t="s">
        <v>19</v>
      </c>
      <c r="E2" t="s">
        <v>68</v>
      </c>
    </row>
    <row r="3" spans="1:5" x14ac:dyDescent="0.35">
      <c r="A3" t="s">
        <v>16</v>
      </c>
      <c r="B3" t="s">
        <v>31</v>
      </c>
      <c r="D3" s="9" t="s">
        <v>33</v>
      </c>
      <c r="E3" t="s">
        <v>68</v>
      </c>
    </row>
    <row r="4" spans="1:5" x14ac:dyDescent="0.35">
      <c r="A4" t="s">
        <v>19</v>
      </c>
      <c r="B4" t="s">
        <v>32</v>
      </c>
      <c r="D4" s="9" t="s">
        <v>35</v>
      </c>
      <c r="E4" t="s">
        <v>68</v>
      </c>
    </row>
    <row r="5" spans="1:5" x14ac:dyDescent="0.35">
      <c r="A5" t="s">
        <v>61</v>
      </c>
      <c r="B5" t="s">
        <v>10</v>
      </c>
      <c r="D5" s="10" t="s">
        <v>28</v>
      </c>
      <c r="E5" t="s">
        <v>68</v>
      </c>
    </row>
    <row r="6" spans="1:5" x14ac:dyDescent="0.35">
      <c r="A6" t="s">
        <v>33</v>
      </c>
      <c r="B6" t="s">
        <v>32</v>
      </c>
      <c r="D6" s="10" t="s">
        <v>36</v>
      </c>
      <c r="E6" t="s">
        <v>68</v>
      </c>
    </row>
    <row r="7" spans="1:5" x14ac:dyDescent="0.35">
      <c r="A7" t="s">
        <v>34</v>
      </c>
      <c r="B7" t="s">
        <v>10</v>
      </c>
      <c r="D7" s="9" t="s">
        <v>37</v>
      </c>
      <c r="E7" t="s">
        <v>68</v>
      </c>
    </row>
    <row r="8" spans="1:5" x14ac:dyDescent="0.35">
      <c r="A8" t="s">
        <v>35</v>
      </c>
      <c r="B8" t="s">
        <v>32</v>
      </c>
      <c r="D8" s="9" t="s">
        <v>37</v>
      </c>
      <c r="E8" t="s">
        <v>68</v>
      </c>
    </row>
    <row r="9" spans="1:5" x14ac:dyDescent="0.35">
      <c r="A9" t="s">
        <v>28</v>
      </c>
      <c r="B9" t="s">
        <v>32</v>
      </c>
      <c r="D9" s="9" t="s">
        <v>38</v>
      </c>
      <c r="E9" t="s">
        <v>68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36</v>
      </c>
      <c r="B11" t="s">
        <v>32</v>
      </c>
      <c r="D11" s="9" t="s">
        <v>39</v>
      </c>
      <c r="E11" t="s">
        <v>68</v>
      </c>
    </row>
    <row r="12" spans="1:5" x14ac:dyDescent="0.35">
      <c r="A12" t="s">
        <v>37</v>
      </c>
      <c r="B12" t="s">
        <v>32</v>
      </c>
      <c r="D12" s="10" t="s">
        <v>40</v>
      </c>
      <c r="E12" t="s">
        <v>68</v>
      </c>
    </row>
    <row r="13" spans="1:5" x14ac:dyDescent="0.35">
      <c r="A13" t="s">
        <v>37</v>
      </c>
      <c r="B13" t="s">
        <v>32</v>
      </c>
      <c r="D13" s="10" t="s">
        <v>40</v>
      </c>
      <c r="E13" t="s">
        <v>68</v>
      </c>
    </row>
    <row r="14" spans="1:5" x14ac:dyDescent="0.35">
      <c r="A14" t="s">
        <v>64</v>
      </c>
      <c r="B14" t="s">
        <v>45</v>
      </c>
      <c r="D14" s="9" t="s">
        <v>21</v>
      </c>
      <c r="E14" t="s">
        <v>68</v>
      </c>
    </row>
    <row r="15" spans="1:5" x14ac:dyDescent="0.35">
      <c r="A15" t="s">
        <v>38</v>
      </c>
      <c r="B15" t="s">
        <v>32</v>
      </c>
      <c r="D15" s="10" t="s">
        <v>17</v>
      </c>
      <c r="E15" t="s">
        <v>68</v>
      </c>
    </row>
    <row r="16" spans="1:5" x14ac:dyDescent="0.35">
      <c r="A16" t="s">
        <v>24</v>
      </c>
      <c r="B16" t="s">
        <v>32</v>
      </c>
      <c r="D16" s="9" t="s">
        <v>48</v>
      </c>
      <c r="E16" t="s">
        <v>68</v>
      </c>
    </row>
    <row r="17" spans="1:5" x14ac:dyDescent="0.35">
      <c r="A17" t="s">
        <v>39</v>
      </c>
      <c r="B17" t="s">
        <v>32</v>
      </c>
      <c r="D17" s="9" t="s">
        <v>54</v>
      </c>
      <c r="E17" t="s">
        <v>68</v>
      </c>
    </row>
    <row r="18" spans="1:5" x14ac:dyDescent="0.35">
      <c r="A18" t="s">
        <v>40</v>
      </c>
      <c r="B18" t="s">
        <v>32</v>
      </c>
      <c r="D18" s="9" t="s">
        <v>55</v>
      </c>
      <c r="E18" t="s">
        <v>68</v>
      </c>
    </row>
    <row r="19" spans="1:5" x14ac:dyDescent="0.35">
      <c r="A19" t="s">
        <v>41</v>
      </c>
      <c r="B19" t="s">
        <v>10</v>
      </c>
      <c r="D19" s="9" t="s">
        <v>23</v>
      </c>
      <c r="E19" t="s">
        <v>68</v>
      </c>
    </row>
    <row r="20" spans="1:5" x14ac:dyDescent="0.35">
      <c r="A20" t="s">
        <v>42</v>
      </c>
      <c r="B20" t="s">
        <v>43</v>
      </c>
      <c r="D20" s="10" t="s">
        <v>20</v>
      </c>
      <c r="E20" t="s">
        <v>68</v>
      </c>
    </row>
    <row r="21" spans="1:5" x14ac:dyDescent="0.35">
      <c r="A21" t="s">
        <v>44</v>
      </c>
      <c r="B21" t="s">
        <v>45</v>
      </c>
      <c r="D21" s="9" t="s">
        <v>27</v>
      </c>
      <c r="E21" t="s">
        <v>68</v>
      </c>
    </row>
    <row r="22" spans="1:5" x14ac:dyDescent="0.35">
      <c r="A22" t="s">
        <v>18</v>
      </c>
      <c r="B22" t="s">
        <v>45</v>
      </c>
      <c r="D22" s="10" t="s">
        <v>26</v>
      </c>
      <c r="E22" t="s">
        <v>68</v>
      </c>
    </row>
    <row r="23" spans="1:5" x14ac:dyDescent="0.35">
      <c r="A23" t="s">
        <v>21</v>
      </c>
      <c r="B23" t="s">
        <v>32</v>
      </c>
      <c r="D23" s="9" t="s">
        <v>56</v>
      </c>
      <c r="E23" t="s">
        <v>68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68</v>
      </c>
    </row>
    <row r="25" spans="1:5" x14ac:dyDescent="0.35">
      <c r="A25" t="s">
        <v>46</v>
      </c>
      <c r="B25" t="s">
        <v>45</v>
      </c>
      <c r="D25" s="10" t="s">
        <v>22</v>
      </c>
      <c r="E25" t="s">
        <v>68</v>
      </c>
    </row>
    <row r="26" spans="1:5" x14ac:dyDescent="0.35">
      <c r="A26" t="s">
        <v>47</v>
      </c>
      <c r="B26" t="s">
        <v>45</v>
      </c>
      <c r="D26" s="9" t="s">
        <v>57</v>
      </c>
      <c r="E26" t="s">
        <v>68</v>
      </c>
    </row>
    <row r="27" spans="1:5" x14ac:dyDescent="0.35">
      <c r="A27" t="s">
        <v>65</v>
      </c>
      <c r="B27" t="s">
        <v>45</v>
      </c>
      <c r="D27" s="11" t="s">
        <v>29</v>
      </c>
      <c r="E27" t="s">
        <v>68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48</v>
      </c>
      <c r="B29" t="s">
        <v>32</v>
      </c>
    </row>
    <row r="30" spans="1:5" x14ac:dyDescent="0.35">
      <c r="A30" t="s">
        <v>49</v>
      </c>
      <c r="B30" t="s">
        <v>45</v>
      </c>
    </row>
    <row r="31" spans="1:5" x14ac:dyDescent="0.35">
      <c r="A31" t="s">
        <v>14</v>
      </c>
      <c r="B31" t="s">
        <v>50</v>
      </c>
    </row>
    <row r="32" spans="1:5" x14ac:dyDescent="0.35">
      <c r="A32" t="s">
        <v>51</v>
      </c>
      <c r="B32" t="s">
        <v>45</v>
      </c>
    </row>
    <row r="33" spans="1:2" x14ac:dyDescent="0.35">
      <c r="A33" t="s">
        <v>52</v>
      </c>
      <c r="B33" t="s">
        <v>45</v>
      </c>
    </row>
    <row r="34" spans="1:2" x14ac:dyDescent="0.35">
      <c r="A34" t="s">
        <v>53</v>
      </c>
      <c r="B34" t="s">
        <v>45</v>
      </c>
    </row>
    <row r="35" spans="1:2" x14ac:dyDescent="0.35">
      <c r="A35" t="s">
        <v>54</v>
      </c>
      <c r="B35" t="s">
        <v>32</v>
      </c>
    </row>
    <row r="36" spans="1:2" x14ac:dyDescent="0.35">
      <c r="A36" t="s">
        <v>55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56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57</v>
      </c>
      <c r="B44" t="s">
        <v>32</v>
      </c>
    </row>
    <row r="45" spans="1:2" x14ac:dyDescent="0.35">
      <c r="A45" t="s">
        <v>58</v>
      </c>
      <c r="B45" t="s">
        <v>10</v>
      </c>
    </row>
    <row r="46" spans="1:2" x14ac:dyDescent="0.35">
      <c r="A46" t="s">
        <v>59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2026-05-06T18:56:12Z</dcterms:modified>
</cp:coreProperties>
</file>